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80D8A158-3B14-485F-8C17-51C45041BC68}" xr6:coauthVersionLast="47" xr6:coauthVersionMax="47" xr10:uidLastSave="{00000000-0000-0000-0000-000000000000}"/>
  <bookViews>
    <workbookView xWindow="-108" yWindow="-108" windowWidth="23256" windowHeight="12456" tabRatio="780" activeTab="4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行事曆!$A$1:$I$1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[4]客服登錄資料!#REF!</definedName>
    <definedName name="客服登錄資料" localSheetId="14">[3]客服登錄資料!#REF!</definedName>
    <definedName name="客服登錄資料" localSheetId="11">[4]客服登錄資料!#REF!</definedName>
    <definedName name="客服登錄資料" localSheetId="15">[4]客服登錄資料!#REF!</definedName>
    <definedName name="客服登錄資料">[3]客服登錄資料!#REF!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B8" i="16" s="1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B18" i="16" s="1"/>
  <c r="W10" i="16"/>
  <c r="AQ9" i="16"/>
  <c r="AG9" i="16"/>
  <c r="W9" i="16"/>
  <c r="AQ8" i="16"/>
  <c r="AG8" i="16"/>
  <c r="W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/>
  <c r="Y309" i="13"/>
  <c r="W309" i="13"/>
  <c r="V309" i="13"/>
  <c r="U309" i="13"/>
  <c r="AA308" i="13"/>
  <c r="Z308" i="13"/>
  <c r="Y308" i="13"/>
  <c r="W308" i="13"/>
  <c r="V308" i="13"/>
  <c r="U308" i="13"/>
  <c r="AA307" i="13"/>
  <c r="Z307" i="13"/>
  <c r="Y307" i="13"/>
  <c r="W307" i="13"/>
  <c r="V307" i="13"/>
  <c r="U307" i="13"/>
  <c r="AA306" i="13"/>
  <c r="Z306" i="13" s="1"/>
  <c r="Y306" i="13"/>
  <c r="W306" i="13"/>
  <c r="V306" i="13"/>
  <c r="U306" i="13"/>
  <c r="AA305" i="13"/>
  <c r="Z305" i="13"/>
  <c r="W305" i="13"/>
  <c r="V305" i="13"/>
  <c r="Y305" i="13" s="1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W302" i="13"/>
  <c r="V302" i="13"/>
  <c r="Y302" i="13" s="1"/>
  <c r="U302" i="13"/>
  <c r="AA301" i="13"/>
  <c r="Z301" i="13"/>
  <c r="Y301" i="13"/>
  <c r="W301" i="13"/>
  <c r="V301" i="13"/>
  <c r="U301" i="13"/>
  <c r="AA300" i="13"/>
  <c r="Z300" i="13"/>
  <c r="Y300" i="13"/>
  <c r="W300" i="13"/>
  <c r="V300" i="13"/>
  <c r="U300" i="13"/>
  <c r="AA299" i="13"/>
  <c r="Z299" i="13"/>
  <c r="Y299" i="13"/>
  <c r="W299" i="13"/>
  <c r="V299" i="13"/>
  <c r="U299" i="13"/>
  <c r="AA298" i="13"/>
  <c r="Z298" i="13" s="1"/>
  <c r="Y298" i="13"/>
  <c r="W298" i="13"/>
  <c r="V298" i="13"/>
  <c r="U298" i="13"/>
  <c r="AA297" i="13"/>
  <c r="Z297" i="13"/>
  <c r="W297" i="13"/>
  <c r="V297" i="13"/>
  <c r="Y297" i="13" s="1"/>
  <c r="U297" i="13"/>
  <c r="AA296" i="13"/>
  <c r="Z296" i="13" s="1"/>
  <c r="W296" i="13"/>
  <c r="V296" i="13"/>
  <c r="Y296" i="13" s="1"/>
  <c r="U296" i="13"/>
  <c r="AA295" i="13"/>
  <c r="Z295" i="13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/>
  <c r="Y293" i="13"/>
  <c r="W293" i="13"/>
  <c r="V293" i="13"/>
  <c r="U293" i="13"/>
  <c r="AA292" i="13"/>
  <c r="Z292" i="13"/>
  <c r="Y292" i="13"/>
  <c r="W292" i="13"/>
  <c r="V292" i="13"/>
  <c r="U292" i="13"/>
  <c r="AA291" i="13"/>
  <c r="Z291" i="13"/>
  <c r="Y291" i="13"/>
  <c r="W291" i="13"/>
  <c r="V291" i="13"/>
  <c r="U291" i="13"/>
  <c r="AA290" i="13"/>
  <c r="Z290" i="13" s="1"/>
  <c r="Y290" i="13"/>
  <c r="W290" i="13"/>
  <c r="V290" i="13"/>
  <c r="U290" i="13"/>
  <c r="AA289" i="13"/>
  <c r="Z289" i="13"/>
  <c r="W289" i="13"/>
  <c r="V289" i="13"/>
  <c r="Y289" i="13" s="1"/>
  <c r="U289" i="13"/>
  <c r="AA288" i="13"/>
  <c r="Z288" i="13" s="1"/>
  <c r="Y288" i="13"/>
  <c r="W288" i="13"/>
  <c r="V288" i="13"/>
  <c r="U288" i="13"/>
  <c r="AA287" i="13"/>
  <c r="Z287" i="13"/>
  <c r="W287" i="13"/>
  <c r="V287" i="13"/>
  <c r="Y287" i="13" s="1"/>
  <c r="U287" i="13"/>
  <c r="AA286" i="13"/>
  <c r="Z286" i="13" s="1"/>
  <c r="W286" i="13"/>
  <c r="V286" i="13"/>
  <c r="Y286" i="13" s="1"/>
  <c r="U286" i="13"/>
  <c r="AA285" i="13"/>
  <c r="Z285" i="13"/>
  <c r="Y285" i="13"/>
  <c r="W285" i="13"/>
  <c r="V285" i="13"/>
  <c r="U285" i="13"/>
  <c r="AA284" i="13"/>
  <c r="Z284" i="13"/>
  <c r="Y284" i="13"/>
  <c r="W284" i="13"/>
  <c r="V284" i="13"/>
  <c r="U284" i="13"/>
  <c r="AA283" i="13"/>
  <c r="Z283" i="13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/>
  <c r="W281" i="13"/>
  <c r="V281" i="13"/>
  <c r="Y281" i="13" s="1"/>
  <c r="U281" i="13"/>
  <c r="AA280" i="13"/>
  <c r="Z280" i="13" s="1"/>
  <c r="Y280" i="13"/>
  <c r="W280" i="13"/>
  <c r="V280" i="13"/>
  <c r="U280" i="13"/>
  <c r="AA279" i="13"/>
  <c r="Z279" i="13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/>
  <c r="Y277" i="13"/>
  <c r="W277" i="13"/>
  <c r="V277" i="13"/>
  <c r="U277" i="13"/>
  <c r="AA276" i="13"/>
  <c r="Z276" i="13"/>
  <c r="Y276" i="13"/>
  <c r="W276" i="13"/>
  <c r="V276" i="13"/>
  <c r="U276" i="13"/>
  <c r="AA275" i="13"/>
  <c r="Z275" i="13"/>
  <c r="Y275" i="13"/>
  <c r="W275" i="13"/>
  <c r="V275" i="13"/>
  <c r="U275" i="13"/>
  <c r="AA274" i="13"/>
  <c r="Z274" i="13" s="1"/>
  <c r="Y274" i="13"/>
  <c r="W274" i="13"/>
  <c r="V274" i="13"/>
  <c r="U274" i="13"/>
  <c r="AA273" i="13"/>
  <c r="Z273" i="13"/>
  <c r="W273" i="13"/>
  <c r="V273" i="13"/>
  <c r="Y273" i="13" s="1"/>
  <c r="U273" i="13"/>
  <c r="AA272" i="13"/>
  <c r="Z272" i="13" s="1"/>
  <c r="W272" i="13"/>
  <c r="V272" i="13"/>
  <c r="Y272" i="13" s="1"/>
  <c r="U272" i="13"/>
  <c r="AA271" i="13"/>
  <c r="Z271" i="13"/>
  <c r="W271" i="13"/>
  <c r="V271" i="13"/>
  <c r="Y271" i="13" s="1"/>
  <c r="U271" i="13"/>
  <c r="AA270" i="13"/>
  <c r="Z270" i="13" s="1"/>
  <c r="W270" i="13"/>
  <c r="V270" i="13"/>
  <c r="Y270" i="13" s="1"/>
  <c r="U270" i="13"/>
  <c r="AA269" i="13"/>
  <c r="Z269" i="13"/>
  <c r="Y269" i="13"/>
  <c r="W269" i="13"/>
  <c r="V269" i="13"/>
  <c r="U269" i="13"/>
  <c r="AA268" i="13"/>
  <c r="Z268" i="13"/>
  <c r="Y268" i="13"/>
  <c r="W268" i="13"/>
  <c r="V268" i="13"/>
  <c r="U268" i="13"/>
  <c r="AA267" i="13"/>
  <c r="Z267" i="13"/>
  <c r="Y267" i="13"/>
  <c r="W267" i="13"/>
  <c r="V267" i="13"/>
  <c r="U267" i="13"/>
  <c r="AA266" i="13"/>
  <c r="Z266" i="13" s="1"/>
  <c r="Y266" i="13"/>
  <c r="W266" i="13"/>
  <c r="V266" i="13"/>
  <c r="U266" i="13"/>
  <c r="AA265" i="13"/>
  <c r="Z265" i="13"/>
  <c r="W265" i="13"/>
  <c r="V265" i="13"/>
  <c r="Y265" i="13" s="1"/>
  <c r="U265" i="13"/>
  <c r="AA264" i="13"/>
  <c r="Z264" i="13" s="1"/>
  <c r="W264" i="13"/>
  <c r="V264" i="13"/>
  <c r="Y264" i="13" s="1"/>
  <c r="U264" i="13"/>
  <c r="AA263" i="13"/>
  <c r="Z263" i="13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/>
  <c r="Y261" i="13"/>
  <c r="W261" i="13"/>
  <c r="V261" i="13"/>
  <c r="U261" i="13"/>
  <c r="AA260" i="13"/>
  <c r="Z260" i="13"/>
  <c r="Y260" i="13"/>
  <c r="W260" i="13"/>
  <c r="V260" i="13"/>
  <c r="U260" i="13"/>
  <c r="AA259" i="13"/>
  <c r="Z259" i="13"/>
  <c r="Y259" i="13"/>
  <c r="W259" i="13"/>
  <c r="V259" i="13"/>
  <c r="U259" i="13"/>
  <c r="AA258" i="13"/>
  <c r="Z258" i="13" s="1"/>
  <c r="Y258" i="13"/>
  <c r="W258" i="13"/>
  <c r="V258" i="13"/>
  <c r="U258" i="13"/>
  <c r="AA257" i="13"/>
  <c r="Z257" i="13"/>
  <c r="W257" i="13"/>
  <c r="V257" i="13"/>
  <c r="Y257" i="13" s="1"/>
  <c r="U257" i="13"/>
  <c r="AA256" i="13"/>
  <c r="Z256" i="13" s="1"/>
  <c r="Y256" i="13"/>
  <c r="W256" i="13"/>
  <c r="V256" i="13"/>
  <c r="U256" i="13"/>
  <c r="AA255" i="13"/>
  <c r="Z255" i="13"/>
  <c r="W255" i="13"/>
  <c r="V255" i="13"/>
  <c r="Y255" i="13" s="1"/>
  <c r="U255" i="13"/>
  <c r="AA254" i="13"/>
  <c r="Z254" i="13" s="1"/>
  <c r="W254" i="13"/>
  <c r="V254" i="13"/>
  <c r="Y254" i="13" s="1"/>
  <c r="U254" i="13"/>
  <c r="AA253" i="13"/>
  <c r="Z253" i="13"/>
  <c r="Y253" i="13"/>
  <c r="W253" i="13"/>
  <c r="V253" i="13"/>
  <c r="U253" i="13"/>
  <c r="AA252" i="13"/>
  <c r="Z252" i="13"/>
  <c r="Y252" i="13"/>
  <c r="W252" i="13"/>
  <c r="V252" i="13"/>
  <c r="U252" i="13"/>
  <c r="AA251" i="13"/>
  <c r="Z251" i="13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/>
  <c r="W249" i="13"/>
  <c r="V249" i="13"/>
  <c r="Y249" i="13" s="1"/>
  <c r="U249" i="13"/>
  <c r="AA248" i="13"/>
  <c r="Z248" i="13" s="1"/>
  <c r="Y248" i="13"/>
  <c r="W248" i="13"/>
  <c r="V248" i="13"/>
  <c r="U248" i="13"/>
  <c r="AA247" i="13"/>
  <c r="Z247" i="13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Y245" i="13"/>
  <c r="W245" i="13"/>
  <c r="V245" i="13"/>
  <c r="U245" i="13"/>
  <c r="AA244" i="13"/>
  <c r="Z244" i="13"/>
  <c r="Y244" i="13"/>
  <c r="W244" i="13"/>
  <c r="V244" i="13"/>
  <c r="U244" i="13"/>
  <c r="AA243" i="13"/>
  <c r="Z243" i="13"/>
  <c r="Y243" i="13"/>
  <c r="W243" i="13"/>
  <c r="V243" i="13"/>
  <c r="U243" i="13"/>
  <c r="AA242" i="13"/>
  <c r="Z242" i="13" s="1"/>
  <c r="W242" i="13"/>
  <c r="V242" i="13"/>
  <c r="Y242" i="13" s="1"/>
  <c r="U242" i="13"/>
  <c r="AA241" i="13"/>
  <c r="Z241" i="13"/>
  <c r="W241" i="13"/>
  <c r="V241" i="13"/>
  <c r="Y241" i="13" s="1"/>
  <c r="U241" i="13"/>
  <c r="AA240" i="13"/>
  <c r="Z240" i="13" s="1"/>
  <c r="W240" i="13"/>
  <c r="V240" i="13"/>
  <c r="Y240" i="13" s="1"/>
  <c r="U240" i="13"/>
  <c r="AA239" i="13"/>
  <c r="Z239" i="13"/>
  <c r="W239" i="13"/>
  <c r="V239" i="13"/>
  <c r="Y239" i="13" s="1"/>
  <c r="U239" i="13"/>
  <c r="AA238" i="13"/>
  <c r="Z238" i="13" s="1"/>
  <c r="W238" i="13"/>
  <c r="V238" i="13"/>
  <c r="Y238" i="13" s="1"/>
  <c r="U238" i="13"/>
  <c r="AA237" i="13"/>
  <c r="Z237" i="13"/>
  <c r="Y237" i="13"/>
  <c r="W237" i="13"/>
  <c r="V237" i="13"/>
  <c r="U237" i="13"/>
  <c r="AA236" i="13"/>
  <c r="Z236" i="13"/>
  <c r="Y236" i="13"/>
  <c r="W236" i="13"/>
  <c r="V236" i="13"/>
  <c r="U236" i="13"/>
  <c r="AA235" i="13"/>
  <c r="Z235" i="13"/>
  <c r="Y235" i="13"/>
  <c r="W235" i="13"/>
  <c r="V235" i="13"/>
  <c r="U235" i="13"/>
  <c r="AA234" i="13"/>
  <c r="Z234" i="13" s="1"/>
  <c r="Y234" i="13"/>
  <c r="W234" i="13"/>
  <c r="V234" i="13"/>
  <c r="U234" i="13"/>
  <c r="AA233" i="13"/>
  <c r="Z233" i="13"/>
  <c r="W233" i="13"/>
  <c r="V233" i="13"/>
  <c r="Y233" i="13" s="1"/>
  <c r="U233" i="13"/>
  <c r="AA232" i="13"/>
  <c r="Z232" i="13" s="1"/>
  <c r="W232" i="13"/>
  <c r="V232" i="13"/>
  <c r="Y232" i="13" s="1"/>
  <c r="U232" i="13"/>
  <c r="AA231" i="13"/>
  <c r="Z231" i="13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/>
  <c r="Y229" i="13"/>
  <c r="W229" i="13"/>
  <c r="V229" i="13"/>
  <c r="U229" i="13"/>
  <c r="AA228" i="13"/>
  <c r="Z228" i="13"/>
  <c r="Y228" i="13"/>
  <c r="W228" i="13"/>
  <c r="V228" i="13"/>
  <c r="U228" i="13"/>
  <c r="AA227" i="13"/>
  <c r="Z227" i="13"/>
  <c r="Y227" i="13"/>
  <c r="W227" i="13"/>
  <c r="V227" i="13"/>
  <c r="U227" i="13"/>
  <c r="AA226" i="13"/>
  <c r="Z226" i="13" s="1"/>
  <c r="W226" i="13"/>
  <c r="V226" i="13"/>
  <c r="Y226" i="13" s="1"/>
  <c r="U226" i="13"/>
  <c r="AA225" i="13"/>
  <c r="Z225" i="13"/>
  <c r="W225" i="13"/>
  <c r="V225" i="13"/>
  <c r="Y225" i="13" s="1"/>
  <c r="U225" i="13"/>
  <c r="AA224" i="13"/>
  <c r="Z224" i="13" s="1"/>
  <c r="Y224" i="13"/>
  <c r="W224" i="13"/>
  <c r="V224" i="13"/>
  <c r="U224" i="13"/>
  <c r="AA223" i="13"/>
  <c r="Z223" i="13"/>
  <c r="W223" i="13"/>
  <c r="V223" i="13"/>
  <c r="Y223" i="13" s="1"/>
  <c r="U223" i="13"/>
  <c r="AA222" i="13"/>
  <c r="Z222" i="13" s="1"/>
  <c r="W222" i="13"/>
  <c r="V222" i="13"/>
  <c r="Y222" i="13" s="1"/>
  <c r="U222" i="13"/>
  <c r="AA221" i="13"/>
  <c r="Z221" i="13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/>
  <c r="Y219" i="13"/>
  <c r="W219" i="13"/>
  <c r="V219" i="13"/>
  <c r="U219" i="13"/>
  <c r="AA218" i="13"/>
  <c r="Z218" i="13" s="1"/>
  <c r="W218" i="13"/>
  <c r="V218" i="13"/>
  <c r="Y218" i="13" s="1"/>
  <c r="U218" i="13"/>
  <c r="AA217" i="13"/>
  <c r="Z217" i="13"/>
  <c r="W217" i="13"/>
  <c r="V217" i="13"/>
  <c r="Y217" i="13" s="1"/>
  <c r="U217" i="13"/>
  <c r="AA216" i="13"/>
  <c r="Z216" i="13" s="1"/>
  <c r="Y216" i="13"/>
  <c r="W216" i="13"/>
  <c r="V216" i="13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/>
  <c r="Y213" i="13"/>
  <c r="W213" i="13"/>
  <c r="V213" i="13"/>
  <c r="U213" i="13"/>
  <c r="AA212" i="13"/>
  <c r="Z212" i="13"/>
  <c r="Y212" i="13"/>
  <c r="W212" i="13"/>
  <c r="V212" i="13"/>
  <c r="U212" i="13"/>
  <c r="AA211" i="13"/>
  <c r="Z211" i="13"/>
  <c r="Y211" i="13"/>
  <c r="W211" i="13"/>
  <c r="V211" i="13"/>
  <c r="U211" i="13"/>
  <c r="AA210" i="13"/>
  <c r="Z210" i="13" s="1"/>
  <c r="Y210" i="13"/>
  <c r="W210" i="13"/>
  <c r="V210" i="13"/>
  <c r="U210" i="13"/>
  <c r="AA209" i="13"/>
  <c r="Z209" i="13"/>
  <c r="W209" i="13"/>
  <c r="V209" i="13"/>
  <c r="Y209" i="13" s="1"/>
  <c r="U209" i="13"/>
  <c r="AA208" i="13"/>
  <c r="Z208" i="13" s="1"/>
  <c r="W208" i="13"/>
  <c r="V208" i="13"/>
  <c r="Y208" i="13" s="1"/>
  <c r="U208" i="13"/>
  <c r="AA207" i="13"/>
  <c r="Z207" i="13"/>
  <c r="W207" i="13"/>
  <c r="V207" i="13"/>
  <c r="Y207" i="13" s="1"/>
  <c r="U207" i="13"/>
  <c r="AA206" i="13"/>
  <c r="Z206" i="13" s="1"/>
  <c r="W206" i="13"/>
  <c r="V206" i="13"/>
  <c r="Y206" i="13" s="1"/>
  <c r="U206" i="13"/>
  <c r="AA205" i="13"/>
  <c r="Z205" i="13"/>
  <c r="Y205" i="13"/>
  <c r="W205" i="13"/>
  <c r="V205" i="13"/>
  <c r="U205" i="13"/>
  <c r="AA204" i="13"/>
  <c r="Y204" i="13"/>
  <c r="W204" i="13"/>
  <c r="V204" i="13"/>
  <c r="U204" i="13"/>
  <c r="AA203" i="13"/>
  <c r="W203" i="13"/>
  <c r="V203" i="13"/>
  <c r="Y203" i="13" s="1"/>
  <c r="U203" i="13"/>
  <c r="AA202" i="13"/>
  <c r="Z202" i="13" s="1"/>
  <c r="Y202" i="13"/>
  <c r="W202" i="13"/>
  <c r="V202" i="13"/>
  <c r="U202" i="13"/>
  <c r="AA201" i="13"/>
  <c r="Z201" i="13"/>
  <c r="W201" i="13"/>
  <c r="V201" i="13"/>
  <c r="Y201" i="13" s="1"/>
  <c r="U201" i="13"/>
  <c r="AA200" i="13"/>
  <c r="Z200" i="13" s="1"/>
  <c r="W200" i="13"/>
  <c r="V200" i="13"/>
  <c r="Y200" i="13" s="1"/>
  <c r="U200" i="13"/>
  <c r="AA199" i="13"/>
  <c r="Z199" i="13" s="1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/>
  <c r="W195" i="13"/>
  <c r="V195" i="13"/>
  <c r="Y195" i="13" s="1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Y192" i="13"/>
  <c r="W192" i="13"/>
  <c r="V192" i="13"/>
  <c r="U192" i="13"/>
  <c r="AA191" i="13"/>
  <c r="Z191" i="13" s="1"/>
  <c r="Y191" i="13"/>
  <c r="W191" i="13"/>
  <c r="V191" i="13"/>
  <c r="U191" i="13"/>
  <c r="AA190" i="13"/>
  <c r="Z190" i="13" s="1"/>
  <c r="Y190" i="13"/>
  <c r="W190" i="13"/>
  <c r="V190" i="13"/>
  <c r="U190" i="13"/>
  <c r="AA189" i="13"/>
  <c r="Z189" i="13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Y186" i="13"/>
  <c r="W186" i="13"/>
  <c r="V186" i="13"/>
  <c r="U186" i="13"/>
  <c r="AA185" i="13"/>
  <c r="Z185" i="13"/>
  <c r="W185" i="13"/>
  <c r="V185" i="13"/>
  <c r="Y185" i="13" s="1"/>
  <c r="U185" i="13"/>
  <c r="AA184" i="13"/>
  <c r="Z184" i="13"/>
  <c r="Y184" i="13"/>
  <c r="W184" i="13"/>
  <c r="V184" i="13"/>
  <c r="U184" i="13"/>
  <c r="AA183" i="13"/>
  <c r="Z183" i="13" s="1"/>
  <c r="Y183" i="13"/>
  <c r="W183" i="13"/>
  <c r="V183" i="13"/>
  <c r="U183" i="13"/>
  <c r="AA182" i="13"/>
  <c r="Z182" i="13"/>
  <c r="W182" i="13"/>
  <c r="V182" i="13"/>
  <c r="Y182" i="13" s="1"/>
  <c r="U182" i="13"/>
  <c r="AA181" i="13"/>
  <c r="Z181" i="13"/>
  <c r="Y181" i="13"/>
  <c r="W181" i="13"/>
  <c r="V181" i="13"/>
  <c r="U181" i="13"/>
  <c r="AA180" i="13"/>
  <c r="Z180" i="13"/>
  <c r="Y180" i="13"/>
  <c r="W180" i="13"/>
  <c r="V180" i="13"/>
  <c r="U180" i="13"/>
  <c r="AA179" i="13"/>
  <c r="Z179" i="13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/>
  <c r="Y175" i="13"/>
  <c r="W175" i="13"/>
  <c r="V175" i="13"/>
  <c r="U175" i="13"/>
  <c r="AA174" i="13"/>
  <c r="Z174" i="13"/>
  <c r="Y174" i="13"/>
  <c r="W174" i="13"/>
  <c r="V174" i="13"/>
  <c r="U174" i="13"/>
  <c r="AA173" i="13"/>
  <c r="Z173" i="13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/>
  <c r="W171" i="13"/>
  <c r="V171" i="13"/>
  <c r="Y171" i="13" s="1"/>
  <c r="U171" i="13"/>
  <c r="AA170" i="13"/>
  <c r="Z170" i="13" s="1"/>
  <c r="Y170" i="13"/>
  <c r="W170" i="13"/>
  <c r="V170" i="13"/>
  <c r="U170" i="13"/>
  <c r="AA169" i="13"/>
  <c r="Z169" i="13"/>
  <c r="W169" i="13"/>
  <c r="V169" i="13"/>
  <c r="Y169" i="13" s="1"/>
  <c r="U169" i="13"/>
  <c r="AA168" i="13"/>
  <c r="Z168" i="13"/>
  <c r="W168" i="13"/>
  <c r="V168" i="13"/>
  <c r="Y168" i="13" s="1"/>
  <c r="U168" i="13"/>
  <c r="AA167" i="13"/>
  <c r="Z167" i="13"/>
  <c r="Y167" i="13"/>
  <c r="W167" i="13"/>
  <c r="V167" i="13"/>
  <c r="U167" i="13"/>
  <c r="AA166" i="13"/>
  <c r="Z166" i="13" s="1"/>
  <c r="W166" i="13"/>
  <c r="V166" i="13"/>
  <c r="Y166" i="13" s="1"/>
  <c r="U166" i="13"/>
  <c r="AA165" i="13"/>
  <c r="Z165" i="13"/>
  <c r="W165" i="13"/>
  <c r="V165" i="13"/>
  <c r="Y165" i="13" s="1"/>
  <c r="U165" i="13"/>
  <c r="AA164" i="13"/>
  <c r="Z164" i="13"/>
  <c r="Y164" i="13"/>
  <c r="W164" i="13"/>
  <c r="V164" i="13"/>
  <c r="U164" i="13"/>
  <c r="AA163" i="13"/>
  <c r="Z163" i="13"/>
  <c r="Y163" i="13"/>
  <c r="W163" i="13"/>
  <c r="V163" i="13"/>
  <c r="U163" i="13"/>
  <c r="AA162" i="13"/>
  <c r="Z162" i="13" s="1"/>
  <c r="W162" i="13"/>
  <c r="V162" i="13"/>
  <c r="Y162" i="13" s="1"/>
  <c r="U162" i="13"/>
  <c r="AA161" i="13"/>
  <c r="Z161" i="13"/>
  <c r="W161" i="13"/>
  <c r="V161" i="13"/>
  <c r="Y161" i="13" s="1"/>
  <c r="U161" i="13"/>
  <c r="AA160" i="13"/>
  <c r="Z160" i="13"/>
  <c r="W160" i="13"/>
  <c r="V160" i="13"/>
  <c r="Y160" i="13" s="1"/>
  <c r="U160" i="13"/>
  <c r="AA159" i="13"/>
  <c r="Z159" i="13"/>
  <c r="Y159" i="13"/>
  <c r="W159" i="13"/>
  <c r="V159" i="13"/>
  <c r="U159" i="13"/>
  <c r="AA158" i="13"/>
  <c r="Z158" i="13"/>
  <c r="Y158" i="13"/>
  <c r="W158" i="13"/>
  <c r="V158" i="13"/>
  <c r="U158" i="13"/>
  <c r="AA157" i="13"/>
  <c r="Z157" i="13"/>
  <c r="Y157" i="13"/>
  <c r="W157" i="13"/>
  <c r="V157" i="13"/>
  <c r="U157" i="13"/>
  <c r="AA156" i="13"/>
  <c r="Z156" i="13"/>
  <c r="W156" i="13"/>
  <c r="V156" i="13"/>
  <c r="Y156" i="13" s="1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/>
  <c r="Y152" i="13"/>
  <c r="W152" i="13"/>
  <c r="V152" i="13"/>
  <c r="U152" i="13"/>
  <c r="AA151" i="13"/>
  <c r="Z151" i="13" s="1"/>
  <c r="W151" i="13"/>
  <c r="V151" i="13"/>
  <c r="Y151" i="13" s="1"/>
  <c r="U151" i="13"/>
  <c r="AA150" i="13"/>
  <c r="Z150" i="13"/>
  <c r="Y150" i="13"/>
  <c r="W150" i="13"/>
  <c r="V150" i="13"/>
  <c r="U150" i="13"/>
  <c r="AA149" i="13"/>
  <c r="Z149" i="13" s="1"/>
  <c r="W149" i="13"/>
  <c r="V149" i="13"/>
  <c r="Y149" i="13" s="1"/>
  <c r="U149" i="13"/>
  <c r="AA148" i="13"/>
  <c r="Z148" i="13"/>
  <c r="W148" i="13"/>
  <c r="V148" i="13"/>
  <c r="Y148" i="13" s="1"/>
  <c r="U148" i="13"/>
  <c r="AA147" i="13"/>
  <c r="Z147" i="13" s="1"/>
  <c r="Y147" i="13"/>
  <c r="W147" i="13"/>
  <c r="V147" i="13"/>
  <c r="U147" i="13"/>
  <c r="AA146" i="13"/>
  <c r="Z146" i="13"/>
  <c r="W146" i="13"/>
  <c r="V146" i="13"/>
  <c r="Y146" i="13" s="1"/>
  <c r="U146" i="13"/>
  <c r="AA145" i="13"/>
  <c r="Z145" i="13"/>
  <c r="W145" i="13"/>
  <c r="V145" i="13"/>
  <c r="Y145" i="13" s="1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/>
  <c r="W142" i="13"/>
  <c r="V142" i="13"/>
  <c r="Y142" i="13" s="1"/>
  <c r="U142" i="13"/>
  <c r="AA141" i="13"/>
  <c r="Z141" i="13" s="1"/>
  <c r="Y141" i="13"/>
  <c r="W141" i="13"/>
  <c r="V141" i="13"/>
  <c r="AA140" i="13"/>
  <c r="Z140" i="13" s="1"/>
  <c r="Y140" i="13"/>
  <c r="W140" i="13"/>
  <c r="V140" i="13"/>
  <c r="U140" i="13"/>
  <c r="AA139" i="13"/>
  <c r="Z139" i="13"/>
  <c r="W139" i="13"/>
  <c r="V139" i="13"/>
  <c r="Y139" i="13" s="1"/>
  <c r="U139" i="13"/>
  <c r="AA138" i="13"/>
  <c r="Z138" i="13"/>
  <c r="W138" i="13"/>
  <c r="V138" i="13"/>
  <c r="Y138" i="13" s="1"/>
  <c r="U138" i="13"/>
  <c r="AA137" i="13"/>
  <c r="Z137" i="13" s="1"/>
  <c r="Y137" i="13"/>
  <c r="W137" i="13"/>
  <c r="V137" i="13"/>
  <c r="U137" i="13"/>
  <c r="AA136" i="13"/>
  <c r="Z136" i="13"/>
  <c r="Y136" i="13"/>
  <c r="W136" i="13"/>
  <c r="V136" i="13"/>
  <c r="U136" i="13"/>
  <c r="AA135" i="13"/>
  <c r="Z135" i="13" s="1"/>
  <c r="Y135" i="13"/>
  <c r="W135" i="13"/>
  <c r="V135" i="13"/>
  <c r="U135" i="13"/>
  <c r="AA134" i="13"/>
  <c r="Z134" i="13" s="1"/>
  <c r="W134" i="13"/>
  <c r="V134" i="13"/>
  <c r="Y134" i="13" s="1"/>
  <c r="U134" i="13"/>
  <c r="AA133" i="13"/>
  <c r="Z133" i="13"/>
  <c r="W133" i="13"/>
  <c r="V133" i="13"/>
  <c r="Y133" i="13" s="1"/>
  <c r="U133" i="13"/>
  <c r="AA132" i="13"/>
  <c r="Z132" i="13" s="1"/>
  <c r="W132" i="13"/>
  <c r="V132" i="13"/>
  <c r="Y132" i="13" s="1"/>
  <c r="U132" i="13"/>
  <c r="AA131" i="13"/>
  <c r="Z131" i="13"/>
  <c r="W131" i="13"/>
  <c r="V131" i="13"/>
  <c r="Y131" i="13" s="1"/>
  <c r="U131" i="13"/>
  <c r="AA130" i="13"/>
  <c r="Z130" i="13"/>
  <c r="Y130" i="13"/>
  <c r="W130" i="13"/>
  <c r="V130" i="13"/>
  <c r="L34" i="11" s="1"/>
  <c r="U130" i="13"/>
  <c r="AA129" i="13"/>
  <c r="Z129" i="13" s="1"/>
  <c r="Y129" i="13"/>
  <c r="W129" i="13"/>
  <c r="V129" i="13"/>
  <c r="U129" i="13"/>
  <c r="AA128" i="13"/>
  <c r="Z128" i="13"/>
  <c r="Y128" i="13"/>
  <c r="W128" i="13"/>
  <c r="V128" i="13"/>
  <c r="L10" i="11" s="1"/>
  <c r="U128" i="13"/>
  <c r="AA127" i="13"/>
  <c r="Z127" i="13"/>
  <c r="Y127" i="13"/>
  <c r="W127" i="13"/>
  <c r="V127" i="13"/>
  <c r="U127" i="13"/>
  <c r="AA126" i="13"/>
  <c r="Z126" i="13"/>
  <c r="W126" i="13"/>
  <c r="V126" i="13"/>
  <c r="Y126" i="13" s="1"/>
  <c r="U126" i="13"/>
  <c r="AA125" i="13"/>
  <c r="Z125" i="13"/>
  <c r="Y125" i="13"/>
  <c r="W125" i="13"/>
  <c r="V125" i="13"/>
  <c r="U125" i="13"/>
  <c r="AA124" i="13"/>
  <c r="Z124" i="13" s="1"/>
  <c r="W124" i="13"/>
  <c r="V124" i="13"/>
  <c r="Y124" i="13" s="1"/>
  <c r="U124" i="13"/>
  <c r="AA123" i="13"/>
  <c r="Z123" i="13"/>
  <c r="W123" i="13"/>
  <c r="V123" i="13"/>
  <c r="Y123" i="13" s="1"/>
  <c r="U123" i="13"/>
  <c r="AA122" i="13"/>
  <c r="Z122" i="13"/>
  <c r="W122" i="13"/>
  <c r="V122" i="13"/>
  <c r="Y122" i="13" s="1"/>
  <c r="U122" i="13"/>
  <c r="AA121" i="13"/>
  <c r="Z121" i="13" s="1"/>
  <c r="Y121" i="13"/>
  <c r="W121" i="13"/>
  <c r="V121" i="13"/>
  <c r="U121" i="13"/>
  <c r="AA120" i="13"/>
  <c r="Z120" i="13"/>
  <c r="W120" i="13"/>
  <c r="V120" i="13"/>
  <c r="U120" i="13"/>
  <c r="AA119" i="13"/>
  <c r="Z119" i="13"/>
  <c r="W119" i="13"/>
  <c r="V119" i="13"/>
  <c r="Y119" i="13" s="1"/>
  <c r="U119" i="13"/>
  <c r="AA118" i="13"/>
  <c r="Z118" i="13"/>
  <c r="Y118" i="13"/>
  <c r="W118" i="13"/>
  <c r="V118" i="13"/>
  <c r="U118" i="13"/>
  <c r="AA117" i="13"/>
  <c r="Z117" i="13"/>
  <c r="W117" i="13"/>
  <c r="V117" i="13"/>
  <c r="U117" i="13"/>
  <c r="AA116" i="13"/>
  <c r="Z116" i="13" s="1"/>
  <c r="Y116" i="13"/>
  <c r="W116" i="13"/>
  <c r="V116" i="13"/>
  <c r="L42" i="11" s="1"/>
  <c r="U116" i="13"/>
  <c r="AA115" i="13"/>
  <c r="Z115" i="13" s="1"/>
  <c r="W115" i="13"/>
  <c r="V115" i="13"/>
  <c r="U115" i="13"/>
  <c r="AA114" i="13"/>
  <c r="Z114" i="13"/>
  <c r="Y114" i="13"/>
  <c r="W114" i="13"/>
  <c r="V114" i="13"/>
  <c r="L22" i="11" s="1"/>
  <c r="U114" i="13"/>
  <c r="AA113" i="13"/>
  <c r="Z113" i="13" s="1"/>
  <c r="Y113" i="13"/>
  <c r="W113" i="13"/>
  <c r="V113" i="13"/>
  <c r="U113" i="13"/>
  <c r="AA112" i="13"/>
  <c r="Z112" i="13"/>
  <c r="W112" i="13"/>
  <c r="V112" i="13"/>
  <c r="Y112" i="13" s="1"/>
  <c r="U112" i="13"/>
  <c r="AA111" i="13"/>
  <c r="Z111" i="13" s="1"/>
  <c r="Y111" i="13"/>
  <c r="W111" i="13"/>
  <c r="V111" i="13"/>
  <c r="L14" i="11" s="1"/>
  <c r="U111" i="13"/>
  <c r="AA110" i="13"/>
  <c r="Z110" i="13"/>
  <c r="W110" i="13"/>
  <c r="V110" i="13"/>
  <c r="U110" i="13"/>
  <c r="AA109" i="13"/>
  <c r="Z109" i="13"/>
  <c r="W109" i="13"/>
  <c r="V109" i="13"/>
  <c r="Y109" i="13" s="1"/>
  <c r="U109" i="13"/>
  <c r="AA108" i="13"/>
  <c r="Z108" i="13" s="1"/>
  <c r="Y108" i="13"/>
  <c r="W108" i="13"/>
  <c r="V108" i="13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/>
  <c r="Y105" i="13"/>
  <c r="W105" i="13"/>
  <c r="V105" i="13"/>
  <c r="U105" i="13"/>
  <c r="AA104" i="13"/>
  <c r="Z104" i="13" s="1"/>
  <c r="W104" i="13"/>
  <c r="V104" i="13"/>
  <c r="Y104" i="13" s="1"/>
  <c r="U104" i="13"/>
  <c r="AA103" i="13"/>
  <c r="Z103" i="13" s="1"/>
  <c r="W103" i="13"/>
  <c r="V103" i="13"/>
  <c r="Y103" i="13" s="1"/>
  <c r="U103" i="13"/>
  <c r="AA102" i="13"/>
  <c r="Z102" i="13"/>
  <c r="Y102" i="13"/>
  <c r="W102" i="13"/>
  <c r="V102" i="13"/>
  <c r="U102" i="13"/>
  <c r="AA101" i="13"/>
  <c r="Z101" i="13" s="1"/>
  <c r="Y101" i="13"/>
  <c r="W101" i="13"/>
  <c r="V101" i="13"/>
  <c r="U101" i="13"/>
  <c r="AA100" i="13"/>
  <c r="Z100" i="13"/>
  <c r="W100" i="13"/>
  <c r="V100" i="13"/>
  <c r="Y100" i="13" s="1"/>
  <c r="U100" i="13"/>
  <c r="AA99" i="13"/>
  <c r="Z99" i="13" s="1"/>
  <c r="W99" i="13"/>
  <c r="V99" i="13"/>
  <c r="Y99" i="13" s="1"/>
  <c r="U99" i="13"/>
  <c r="AA98" i="13"/>
  <c r="Z98" i="13"/>
  <c r="Y98" i="13"/>
  <c r="W98" i="13"/>
  <c r="V98" i="13"/>
  <c r="U98" i="13"/>
  <c r="AA97" i="13"/>
  <c r="Z97" i="13" s="1"/>
  <c r="Y97" i="13"/>
  <c r="W97" i="13"/>
  <c r="V97" i="13"/>
  <c r="U97" i="13"/>
  <c r="AA96" i="13"/>
  <c r="Z96" i="13"/>
  <c r="Y96" i="13"/>
  <c r="W96" i="13"/>
  <c r="V96" i="13"/>
  <c r="U96" i="13"/>
  <c r="AA95" i="13"/>
  <c r="Z95" i="13"/>
  <c r="W95" i="13"/>
  <c r="V95" i="13"/>
  <c r="Y95" i="13" s="1"/>
  <c r="U95" i="13"/>
  <c r="AA94" i="13"/>
  <c r="Z94" i="13"/>
  <c r="Y94" i="13"/>
  <c r="W94" i="13"/>
  <c r="V94" i="13"/>
  <c r="U94" i="13"/>
  <c r="AA93" i="13"/>
  <c r="Z93" i="13" s="1"/>
  <c r="W93" i="13"/>
  <c r="V93" i="13"/>
  <c r="Y93" i="13" s="1"/>
  <c r="U93" i="13"/>
  <c r="AA92" i="13"/>
  <c r="Z92" i="13" s="1"/>
  <c r="W92" i="13"/>
  <c r="V92" i="13"/>
  <c r="Y92" i="13" s="1"/>
  <c r="U92" i="13"/>
  <c r="AA91" i="13"/>
  <c r="Z91" i="13" s="1"/>
  <c r="Y91" i="13"/>
  <c r="W91" i="13"/>
  <c r="V91" i="13"/>
  <c r="U91" i="13"/>
  <c r="AA90" i="13"/>
  <c r="Z90" i="13"/>
  <c r="Y90" i="13"/>
  <c r="W90" i="13"/>
  <c r="V90" i="13"/>
  <c r="U90" i="13"/>
  <c r="AA89" i="13"/>
  <c r="Z89" i="13"/>
  <c r="Y89" i="13"/>
  <c r="W89" i="13"/>
  <c r="V89" i="13"/>
  <c r="U89" i="13"/>
  <c r="AA88" i="13"/>
  <c r="Z88" i="13" s="1"/>
  <c r="W88" i="13"/>
  <c r="V88" i="13"/>
  <c r="Y88" i="13" s="1"/>
  <c r="U88" i="13"/>
  <c r="AA87" i="13"/>
  <c r="Z87" i="13" s="1"/>
  <c r="Y87" i="13"/>
  <c r="W87" i="13"/>
  <c r="V87" i="13"/>
  <c r="U87" i="13"/>
  <c r="AA86" i="13"/>
  <c r="Z86" i="13" s="1"/>
  <c r="W86" i="13"/>
  <c r="V86" i="13"/>
  <c r="Y86" i="13" s="1"/>
  <c r="U86" i="13"/>
  <c r="AA85" i="13"/>
  <c r="Z85" i="13"/>
  <c r="W85" i="13"/>
  <c r="V85" i="13"/>
  <c r="Y85" i="13" s="1"/>
  <c r="U85" i="13"/>
  <c r="AA84" i="13"/>
  <c r="Z84" i="13"/>
  <c r="Y84" i="13"/>
  <c r="W84" i="13"/>
  <c r="V84" i="13"/>
  <c r="U84" i="13"/>
  <c r="AA83" i="13"/>
  <c r="Z83" i="13" s="1"/>
  <c r="W83" i="13"/>
  <c r="V83" i="13"/>
  <c r="Y83" i="13" s="1"/>
  <c r="U83" i="13"/>
  <c r="AA82" i="13"/>
  <c r="Z82" i="13"/>
  <c r="W82" i="13"/>
  <c r="V82" i="13"/>
  <c r="Y82" i="13" s="1"/>
  <c r="U82" i="13"/>
  <c r="AA81" i="13"/>
  <c r="Z81" i="13"/>
  <c r="Y81" i="13"/>
  <c r="W81" i="13"/>
  <c r="V81" i="13"/>
  <c r="U81" i="13"/>
  <c r="AA80" i="13"/>
  <c r="Z80" i="13"/>
  <c r="Y80" i="13"/>
  <c r="W80" i="13"/>
  <c r="V80" i="13"/>
  <c r="U80" i="13"/>
  <c r="AA79" i="13"/>
  <c r="Z79" i="13" s="1"/>
  <c r="W79" i="13"/>
  <c r="V79" i="13"/>
  <c r="Y79" i="13" s="1"/>
  <c r="U79" i="13"/>
  <c r="AA78" i="13"/>
  <c r="Z78" i="13"/>
  <c r="W78" i="13"/>
  <c r="V78" i="13"/>
  <c r="Y78" i="13" s="1"/>
  <c r="U78" i="13"/>
  <c r="AA77" i="13"/>
  <c r="Z77" i="13" s="1"/>
  <c r="W77" i="13"/>
  <c r="V77" i="13"/>
  <c r="Y77" i="13" s="1"/>
  <c r="U77" i="13"/>
  <c r="AA76" i="13"/>
  <c r="Z76" i="13" s="1"/>
  <c r="Y76" i="13"/>
  <c r="W76" i="13"/>
  <c r="V76" i="13"/>
  <c r="U76" i="13"/>
  <c r="AA75" i="13"/>
  <c r="Z75" i="13"/>
  <c r="Y75" i="13"/>
  <c r="W75" i="13"/>
  <c r="V75" i="13"/>
  <c r="U75" i="13"/>
  <c r="AA74" i="13"/>
  <c r="Z74" i="13" s="1"/>
  <c r="W74" i="13"/>
  <c r="V74" i="13"/>
  <c r="Y74" i="13" s="1"/>
  <c r="U74" i="13"/>
  <c r="AA73" i="13"/>
  <c r="Z73" i="13"/>
  <c r="Y73" i="13"/>
  <c r="W73" i="13"/>
  <c r="V73" i="13"/>
  <c r="U73" i="13"/>
  <c r="AA72" i="13"/>
  <c r="Z72" i="13"/>
  <c r="Y72" i="13"/>
  <c r="W72" i="13"/>
  <c r="V72" i="13"/>
  <c r="U72" i="13"/>
  <c r="AA71" i="13"/>
  <c r="Z71" i="13" s="1"/>
  <c r="W71" i="13"/>
  <c r="V71" i="13"/>
  <c r="Y71" i="13" s="1"/>
  <c r="U71" i="13"/>
  <c r="AA70" i="13"/>
  <c r="Z70" i="13" s="1"/>
  <c r="W70" i="13"/>
  <c r="V70" i="13"/>
  <c r="Y70" i="13" s="1"/>
  <c r="U70" i="13"/>
  <c r="AA69" i="13"/>
  <c r="Z69" i="13" s="1"/>
  <c r="Y69" i="13"/>
  <c r="W69" i="13"/>
  <c r="V69" i="13"/>
  <c r="U69" i="13"/>
  <c r="AA68" i="13"/>
  <c r="Z68" i="13"/>
  <c r="Y68" i="13"/>
  <c r="W68" i="13"/>
  <c r="V68" i="13"/>
  <c r="U68" i="13"/>
  <c r="AA67" i="13"/>
  <c r="Z67" i="13"/>
  <c r="W67" i="13"/>
  <c r="V67" i="13"/>
  <c r="Y67" i="13" s="1"/>
  <c r="U67" i="13"/>
  <c r="AA66" i="13"/>
  <c r="Z66" i="13"/>
  <c r="Y66" i="13"/>
  <c r="W66" i="13"/>
  <c r="V66" i="13"/>
  <c r="U66" i="13"/>
  <c r="AA65" i="13"/>
  <c r="Z65" i="13"/>
  <c r="W65" i="13"/>
  <c r="V65" i="13"/>
  <c r="Y65" i="13" s="1"/>
  <c r="U65" i="13"/>
  <c r="AA64" i="13"/>
  <c r="Z64" i="13"/>
  <c r="Y64" i="13"/>
  <c r="W64" i="13"/>
  <c r="V64" i="13"/>
  <c r="U64" i="13"/>
  <c r="AA63" i="13"/>
  <c r="Z63" i="13" s="1"/>
  <c r="W63" i="13"/>
  <c r="V63" i="13"/>
  <c r="Y63" i="13" s="1"/>
  <c r="U63" i="13"/>
  <c r="AA62" i="13"/>
  <c r="Z62" i="13"/>
  <c r="W62" i="13"/>
  <c r="V62" i="13"/>
  <c r="Y62" i="13" s="1"/>
  <c r="U62" i="13"/>
  <c r="AA61" i="13"/>
  <c r="Z61" i="13"/>
  <c r="Y61" i="13"/>
  <c r="W61" i="13"/>
  <c r="V61" i="13"/>
  <c r="U61" i="13"/>
  <c r="AA60" i="13"/>
  <c r="Z60" i="13" s="1"/>
  <c r="Y60" i="13"/>
  <c r="W60" i="13"/>
  <c r="V60" i="13"/>
  <c r="U60" i="13"/>
  <c r="AA59" i="13"/>
  <c r="Z59" i="13" s="1"/>
  <c r="W59" i="13"/>
  <c r="V59" i="13"/>
  <c r="Y59" i="13" s="1"/>
  <c r="U59" i="13"/>
  <c r="AA58" i="13"/>
  <c r="Z58" i="13"/>
  <c r="Y58" i="13"/>
  <c r="W58" i="13"/>
  <c r="V58" i="13"/>
  <c r="U58" i="13"/>
  <c r="AA57" i="13"/>
  <c r="Z57" i="13" s="1"/>
  <c r="W57" i="13"/>
  <c r="V57" i="13"/>
  <c r="Y57" i="13" s="1"/>
  <c r="U57" i="13"/>
  <c r="AA56" i="13"/>
  <c r="Z56" i="13"/>
  <c r="W56" i="13"/>
  <c r="V56" i="13"/>
  <c r="Y56" i="13" s="1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/>
  <c r="Y52" i="13"/>
  <c r="W52" i="13"/>
  <c r="V52" i="13"/>
  <c r="U52" i="13"/>
  <c r="AA51" i="13"/>
  <c r="Z51" i="13" s="1"/>
  <c r="Y51" i="13"/>
  <c r="W51" i="13"/>
  <c r="V51" i="13"/>
  <c r="U51" i="13"/>
  <c r="AA50" i="13"/>
  <c r="Z50" i="13" s="1"/>
  <c r="W50" i="13"/>
  <c r="V50" i="13"/>
  <c r="Y50" i="13" s="1"/>
  <c r="U50" i="13"/>
  <c r="AA49" i="13"/>
  <c r="Z49" i="13"/>
  <c r="Y49" i="13"/>
  <c r="W49" i="13"/>
  <c r="V49" i="13"/>
  <c r="U49" i="13"/>
  <c r="AA48" i="13"/>
  <c r="Z48" i="13"/>
  <c r="W48" i="13"/>
  <c r="V48" i="13"/>
  <c r="Y48" i="13" s="1"/>
  <c r="U48" i="13"/>
  <c r="AA47" i="13"/>
  <c r="Z47" i="13" s="1"/>
  <c r="Y47" i="13"/>
  <c r="W47" i="13"/>
  <c r="V47" i="13"/>
  <c r="U47" i="13"/>
  <c r="AA46" i="13"/>
  <c r="Z46" i="13"/>
  <c r="W46" i="13"/>
  <c r="V46" i="13"/>
  <c r="Y46" i="13" s="1"/>
  <c r="U46" i="13"/>
  <c r="AA45" i="13"/>
  <c r="Z45" i="13" s="1"/>
  <c r="W45" i="13"/>
  <c r="V45" i="13"/>
  <c r="Y45" i="13" s="1"/>
  <c r="U45" i="13"/>
  <c r="AA44" i="13"/>
  <c r="Z44" i="13"/>
  <c r="Y44" i="13"/>
  <c r="W44" i="13"/>
  <c r="V44" i="13"/>
  <c r="U44" i="13"/>
  <c r="AA43" i="13"/>
  <c r="Z43" i="13"/>
  <c r="Y43" i="13"/>
  <c r="W43" i="13"/>
  <c r="V43" i="13"/>
  <c r="U43" i="13"/>
  <c r="AA42" i="13"/>
  <c r="Z42" i="13" s="1"/>
  <c r="W42" i="13"/>
  <c r="V42" i="13"/>
  <c r="Y42" i="13" s="1"/>
  <c r="U42" i="13"/>
  <c r="AA41" i="13"/>
  <c r="Z41" i="13" s="1"/>
  <c r="Y41" i="13"/>
  <c r="W41" i="13"/>
  <c r="V41" i="13"/>
  <c r="U41" i="13"/>
  <c r="AA40" i="13"/>
  <c r="Z40" i="13"/>
  <c r="Y40" i="13"/>
  <c r="W40" i="13"/>
  <c r="V40" i="13"/>
  <c r="U40" i="13"/>
  <c r="AA39" i="13"/>
  <c r="Z39" i="13" s="1"/>
  <c r="W39" i="13"/>
  <c r="V39" i="13"/>
  <c r="Y39" i="13" s="1"/>
  <c r="U39" i="13"/>
  <c r="AA38" i="13"/>
  <c r="Z38" i="13"/>
  <c r="W38" i="13"/>
  <c r="V38" i="13"/>
  <c r="Y38" i="13" s="1"/>
  <c r="U38" i="13"/>
  <c r="AA37" i="13"/>
  <c r="Z37" i="13" s="1"/>
  <c r="W37" i="13"/>
  <c r="V37" i="13"/>
  <c r="Y37" i="13" s="1"/>
  <c r="U37" i="13"/>
  <c r="AA36" i="13"/>
  <c r="Z36" i="13" s="1"/>
  <c r="Y36" i="13"/>
  <c r="W36" i="13"/>
  <c r="V36" i="13"/>
  <c r="U36" i="13"/>
  <c r="AA35" i="13"/>
  <c r="Z35" i="13"/>
  <c r="Y35" i="13"/>
  <c r="W35" i="13"/>
  <c r="V35" i="13"/>
  <c r="U35" i="13"/>
  <c r="AA34" i="13"/>
  <c r="Z34" i="13"/>
  <c r="Y34" i="13"/>
  <c r="W34" i="13"/>
  <c r="V34" i="13"/>
  <c r="U34" i="13"/>
  <c r="AA33" i="13"/>
  <c r="Z33" i="13" s="1"/>
  <c r="W33" i="13"/>
  <c r="V33" i="13"/>
  <c r="Y33" i="13" s="1"/>
  <c r="U33" i="13"/>
  <c r="AA32" i="13"/>
  <c r="Y32" i="13"/>
  <c r="W32" i="13"/>
  <c r="V32" i="13"/>
  <c r="U32" i="13"/>
  <c r="AA31" i="13"/>
  <c r="Z31" i="13" s="1"/>
  <c r="W31" i="13"/>
  <c r="V31" i="13"/>
  <c r="Y31" i="13" s="1"/>
  <c r="U31" i="13"/>
  <c r="AA30" i="13"/>
  <c r="Z30" i="13" s="1"/>
  <c r="Y30" i="13"/>
  <c r="W30" i="13"/>
  <c r="V30" i="13"/>
  <c r="U30" i="13"/>
  <c r="AA29" i="13"/>
  <c r="Y29" i="13"/>
  <c r="W29" i="13"/>
  <c r="V29" i="13"/>
  <c r="U29" i="13"/>
  <c r="AA28" i="13"/>
  <c r="Z28" i="13" s="1"/>
  <c r="W28" i="13"/>
  <c r="V28" i="13"/>
  <c r="Y28" i="13" s="1"/>
  <c r="U28" i="13"/>
  <c r="AA27" i="13"/>
  <c r="Z27" i="13"/>
  <c r="Y27" i="13"/>
  <c r="W27" i="13"/>
  <c r="V27" i="13"/>
  <c r="U27" i="13"/>
  <c r="AA26" i="13"/>
  <c r="Z26" i="13"/>
  <c r="W26" i="13"/>
  <c r="V26" i="13"/>
  <c r="Y26" i="13" s="1"/>
  <c r="U26" i="13"/>
  <c r="AA25" i="13"/>
  <c r="Z25" i="13" s="1"/>
  <c r="Y25" i="13"/>
  <c r="W25" i="13"/>
  <c r="V25" i="13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/>
  <c r="Y22" i="13"/>
  <c r="W22" i="13"/>
  <c r="V22" i="13"/>
  <c r="U22" i="13"/>
  <c r="AA21" i="13"/>
  <c r="Z21" i="13"/>
  <c r="Y21" i="13"/>
  <c r="W21" i="13"/>
  <c r="V21" i="13"/>
  <c r="U21" i="13"/>
  <c r="AA20" i="13"/>
  <c r="Z20" i="13" s="1"/>
  <c r="W20" i="13"/>
  <c r="V20" i="13"/>
  <c r="Y20" i="13" s="1"/>
  <c r="U20" i="13"/>
  <c r="AA19" i="13"/>
  <c r="Z19" i="13" s="1"/>
  <c r="Y19" i="13"/>
  <c r="W19" i="13"/>
  <c r="V19" i="13"/>
  <c r="U19" i="13"/>
  <c r="AA18" i="13"/>
  <c r="Z18" i="13"/>
  <c r="Y18" i="13"/>
  <c r="W18" i="13"/>
  <c r="V18" i="13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Y14" i="13"/>
  <c r="W14" i="13"/>
  <c r="V14" i="13"/>
  <c r="U14" i="13"/>
  <c r="AA13" i="13"/>
  <c r="Z13" i="13" s="1"/>
  <c r="Y13" i="13"/>
  <c r="W13" i="13"/>
  <c r="V13" i="13"/>
  <c r="U13" i="13"/>
  <c r="AA12" i="13"/>
  <c r="Z12" i="13" s="1"/>
  <c r="Y12" i="13"/>
  <c r="W12" i="13"/>
  <c r="V12" i="13"/>
  <c r="U12" i="13"/>
  <c r="AA11" i="13"/>
  <c r="Z11" i="13"/>
  <c r="W11" i="13"/>
  <c r="V11" i="13"/>
  <c r="Y11" i="13" s="1"/>
  <c r="U11" i="13"/>
  <c r="AA10" i="13"/>
  <c r="Z10" i="13" s="1"/>
  <c r="W10" i="13"/>
  <c r="V10" i="13"/>
  <c r="Y10" i="13" s="1"/>
  <c r="U10" i="13"/>
  <c r="AA9" i="13"/>
  <c r="Z9" i="13" s="1"/>
  <c r="W9" i="13"/>
  <c r="V9" i="13"/>
  <c r="Y9" i="13" s="1"/>
  <c r="U9" i="13"/>
  <c r="AA8" i="13"/>
  <c r="Z8" i="13" s="1"/>
  <c r="Y8" i="13"/>
  <c r="W8" i="13"/>
  <c r="V8" i="13"/>
  <c r="U8" i="13"/>
  <c r="AA7" i="13"/>
  <c r="Z7" i="13"/>
  <c r="Y7" i="13"/>
  <c r="W7" i="13"/>
  <c r="V7" i="13"/>
  <c r="U7" i="13"/>
  <c r="AA6" i="13"/>
  <c r="Z6" i="13" s="1"/>
  <c r="Y6" i="13"/>
  <c r="W6" i="13"/>
  <c r="V6" i="13"/>
  <c r="U6" i="13"/>
  <c r="AA5" i="13"/>
  <c r="Z5" i="13"/>
  <c r="W5" i="13"/>
  <c r="V5" i="13"/>
  <c r="Y5" i="13" s="1"/>
  <c r="U5" i="13"/>
  <c r="AA4" i="13"/>
  <c r="Z4" i="13" s="1"/>
  <c r="W4" i="13"/>
  <c r="V4" i="13"/>
  <c r="Y4" i="13" s="1"/>
  <c r="U4" i="13"/>
  <c r="AA3" i="13"/>
  <c r="Z3" i="13"/>
  <c r="W3" i="13"/>
  <c r="V3" i="13"/>
  <c r="Y3" i="13" s="1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1" i="11"/>
  <c r="L40" i="11"/>
  <c r="L39" i="11"/>
  <c r="L37" i="11"/>
  <c r="L36" i="11"/>
  <c r="L35" i="11"/>
  <c r="L33" i="11"/>
  <c r="L32" i="11"/>
  <c r="L31" i="11"/>
  <c r="L29" i="11"/>
  <c r="L28" i="11"/>
  <c r="L27" i="11"/>
  <c r="L25" i="11"/>
  <c r="L24" i="11"/>
  <c r="L23" i="11"/>
  <c r="L21" i="11"/>
  <c r="L20" i="11"/>
  <c r="L19" i="11"/>
  <c r="L17" i="11"/>
  <c r="L16" i="11"/>
  <c r="L15" i="11"/>
  <c r="L13" i="11"/>
  <c r="L12" i="11"/>
  <c r="L11" i="11"/>
  <c r="L9" i="11"/>
  <c r="L8" i="11"/>
  <c r="C8" i="11"/>
  <c r="L7" i="11"/>
  <c r="J6" i="11"/>
  <c r="I6" i="11"/>
  <c r="G6" i="11"/>
  <c r="M5" i="11"/>
  <c r="H5" i="11"/>
  <c r="M4" i="11"/>
  <c r="H4" i="11"/>
  <c r="C4" i="11"/>
  <c r="B4" i="11"/>
  <c r="N3" i="11"/>
  <c r="M3" i="11"/>
  <c r="H3" i="11"/>
  <c r="D3" i="11"/>
  <c r="C3" i="11"/>
  <c r="B3" i="11"/>
  <c r="M2" i="11"/>
  <c r="D2" i="11"/>
  <c r="C2" i="11"/>
  <c r="C5" i="11" s="1"/>
  <c r="B2" i="11"/>
  <c r="M1" i="11"/>
  <c r="C39" i="11" s="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C83" i="10"/>
  <c r="L82" i="10"/>
  <c r="L81" i="10"/>
  <c r="L80" i="10"/>
  <c r="L79" i="10"/>
  <c r="C79" i="10"/>
  <c r="L78" i="10"/>
  <c r="L77" i="10"/>
  <c r="C77" i="10"/>
  <c r="L76" i="10"/>
  <c r="L75" i="10"/>
  <c r="L74" i="10"/>
  <c r="L73" i="10"/>
  <c r="L72" i="10"/>
  <c r="C72" i="10"/>
  <c r="L71" i="10"/>
  <c r="L70" i="10"/>
  <c r="C70" i="10"/>
  <c r="L69" i="10"/>
  <c r="L68" i="10"/>
  <c r="L67" i="10"/>
  <c r="L66" i="10"/>
  <c r="L65" i="10"/>
  <c r="C65" i="10"/>
  <c r="L64" i="10"/>
  <c r="L63" i="10"/>
  <c r="L62" i="10"/>
  <c r="L61" i="10"/>
  <c r="C61" i="10"/>
  <c r="L60" i="10"/>
  <c r="C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C48" i="10"/>
  <c r="L47" i="10"/>
  <c r="L46" i="10"/>
  <c r="C46" i="10"/>
  <c r="L45" i="10"/>
  <c r="C45" i="10"/>
  <c r="L44" i="10"/>
  <c r="L43" i="10"/>
  <c r="L42" i="10"/>
  <c r="L41" i="10"/>
  <c r="C41" i="10"/>
  <c r="L40" i="10"/>
  <c r="L39" i="10"/>
  <c r="C39" i="10"/>
  <c r="L38" i="10"/>
  <c r="L37" i="10"/>
  <c r="L36" i="10"/>
  <c r="C36" i="10"/>
  <c r="L35" i="10"/>
  <c r="L34" i="10"/>
  <c r="L33" i="10"/>
  <c r="L32" i="10"/>
  <c r="C32" i="10"/>
  <c r="L31" i="10"/>
  <c r="L30" i="10"/>
  <c r="C30" i="10"/>
  <c r="L29" i="10"/>
  <c r="L28" i="10"/>
  <c r="L27" i="10"/>
  <c r="L26" i="10"/>
  <c r="L25" i="10"/>
  <c r="L24" i="10"/>
  <c r="C24" i="10"/>
  <c r="L23" i="10"/>
  <c r="C23" i="10"/>
  <c r="L22" i="10"/>
  <c r="L21" i="10"/>
  <c r="L20" i="10"/>
  <c r="L19" i="10"/>
  <c r="L18" i="10"/>
  <c r="C18" i="10"/>
  <c r="L17" i="10"/>
  <c r="L16" i="10"/>
  <c r="C16" i="10"/>
  <c r="L15" i="10"/>
  <c r="C15" i="10"/>
  <c r="D15" i="10" s="1"/>
  <c r="L14" i="10"/>
  <c r="C14" i="10"/>
  <c r="D14" i="10" s="1"/>
  <c r="L13" i="10"/>
  <c r="D13" i="10"/>
  <c r="C13" i="10"/>
  <c r="L12" i="10"/>
  <c r="L11" i="10"/>
  <c r="L10" i="10"/>
  <c r="L9" i="10"/>
  <c r="D9" i="10"/>
  <c r="C9" i="10"/>
  <c r="L8" i="10"/>
  <c r="L7" i="10"/>
  <c r="C7" i="10"/>
  <c r="J6" i="10"/>
  <c r="I6" i="10"/>
  <c r="G6" i="10"/>
  <c r="M5" i="10"/>
  <c r="H5" i="10"/>
  <c r="C5" i="10"/>
  <c r="M4" i="10"/>
  <c r="H4" i="10"/>
  <c r="C4" i="10"/>
  <c r="B4" i="10"/>
  <c r="N3" i="10"/>
  <c r="M3" i="10"/>
  <c r="D18" i="10" s="1"/>
  <c r="H3" i="10"/>
  <c r="F3" i="10"/>
  <c r="D3" i="10"/>
  <c r="C3" i="10"/>
  <c r="B3" i="10"/>
  <c r="W2" i="10"/>
  <c r="M2" i="10"/>
  <c r="D2" i="10"/>
  <c r="C2" i="10"/>
  <c r="B2" i="10"/>
  <c r="M1" i="10"/>
  <c r="C108" i="10" s="1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C54" i="9"/>
  <c r="L53" i="9"/>
  <c r="L52" i="9"/>
  <c r="L51" i="9"/>
  <c r="L50" i="9"/>
  <c r="L49" i="9"/>
  <c r="L48" i="9"/>
  <c r="L47" i="9"/>
  <c r="L46" i="9"/>
  <c r="L45" i="9"/>
  <c r="L44" i="9"/>
  <c r="L43" i="9"/>
  <c r="C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C30" i="9"/>
  <c r="L29" i="9"/>
  <c r="L28" i="9"/>
  <c r="L27" i="9"/>
  <c r="L26" i="9"/>
  <c r="L25" i="9"/>
  <c r="L24" i="9"/>
  <c r="L23" i="9"/>
  <c r="L22" i="9"/>
  <c r="L21" i="9"/>
  <c r="L20" i="9"/>
  <c r="C20" i="9"/>
  <c r="L19" i="9"/>
  <c r="L18" i="9"/>
  <c r="L17" i="9"/>
  <c r="L16" i="9"/>
  <c r="L15" i="9"/>
  <c r="L14" i="9"/>
  <c r="L13" i="9"/>
  <c r="L12" i="9"/>
  <c r="L11" i="9"/>
  <c r="C11" i="9"/>
  <c r="L10" i="9"/>
  <c r="L9" i="9"/>
  <c r="L8" i="9"/>
  <c r="L7" i="9"/>
  <c r="J7" i="9"/>
  <c r="H7" i="9"/>
  <c r="G7" i="9"/>
  <c r="J6" i="9"/>
  <c r="I6" i="9"/>
  <c r="H6" i="9"/>
  <c r="M5" i="9"/>
  <c r="H5" i="9"/>
  <c r="I7" i="9" s="1"/>
  <c r="C5" i="9"/>
  <c r="M4" i="9"/>
  <c r="H4" i="9"/>
  <c r="C4" i="9"/>
  <c r="B4" i="9"/>
  <c r="N3" i="9"/>
  <c r="M3" i="9"/>
  <c r="D4" i="9" s="1"/>
  <c r="H3" i="9"/>
  <c r="D3" i="9"/>
  <c r="C3" i="9"/>
  <c r="B3" i="9"/>
  <c r="Z2" i="9"/>
  <c r="Y2" i="9"/>
  <c r="X2" i="9"/>
  <c r="W2" i="9"/>
  <c r="M2" i="9"/>
  <c r="F3" i="9" s="1"/>
  <c r="D2" i="9"/>
  <c r="C2" i="9"/>
  <c r="B2" i="9"/>
  <c r="M1" i="9"/>
  <c r="C60" i="9" s="1"/>
  <c r="L110" i="8"/>
  <c r="C110" i="8"/>
  <c r="L109" i="8"/>
  <c r="C109" i="8"/>
  <c r="L108" i="8"/>
  <c r="C108" i="8"/>
  <c r="L107" i="8"/>
  <c r="L106" i="8"/>
  <c r="C106" i="8"/>
  <c r="D106" i="8" s="1"/>
  <c r="E106" i="8" s="1"/>
  <c r="L105" i="8"/>
  <c r="L104" i="8"/>
  <c r="L103" i="8"/>
  <c r="C103" i="8"/>
  <c r="D103" i="8" s="1"/>
  <c r="E103" i="8" s="1"/>
  <c r="L102" i="8"/>
  <c r="C102" i="8"/>
  <c r="L101" i="8"/>
  <c r="C101" i="8"/>
  <c r="L100" i="8"/>
  <c r="C100" i="8"/>
  <c r="L99" i="8"/>
  <c r="L98" i="8"/>
  <c r="L97" i="8"/>
  <c r="L96" i="8"/>
  <c r="C96" i="8"/>
  <c r="L95" i="8"/>
  <c r="C95" i="8"/>
  <c r="L94" i="8"/>
  <c r="C94" i="8"/>
  <c r="L93" i="8"/>
  <c r="C93" i="8"/>
  <c r="L92" i="8"/>
  <c r="D92" i="8"/>
  <c r="C92" i="8"/>
  <c r="E92" i="8" s="1"/>
  <c r="L91" i="8"/>
  <c r="L90" i="8"/>
  <c r="C90" i="8"/>
  <c r="D90" i="8" s="1"/>
  <c r="E90" i="8" s="1"/>
  <c r="L89" i="8"/>
  <c r="L88" i="8"/>
  <c r="L87" i="8"/>
  <c r="C87" i="8"/>
  <c r="D87" i="8" s="1"/>
  <c r="E87" i="8" s="1"/>
  <c r="L86" i="8"/>
  <c r="C86" i="8"/>
  <c r="L85" i="8"/>
  <c r="C85" i="8"/>
  <c r="L84" i="8"/>
  <c r="C84" i="8"/>
  <c r="L83" i="8"/>
  <c r="L82" i="8"/>
  <c r="L81" i="8"/>
  <c r="L80" i="8"/>
  <c r="C80" i="8"/>
  <c r="L79" i="8"/>
  <c r="C79" i="8"/>
  <c r="L78" i="8"/>
  <c r="C78" i="8"/>
  <c r="D78" i="8" s="1"/>
  <c r="L77" i="8"/>
  <c r="C77" i="8"/>
  <c r="L76" i="8"/>
  <c r="D76" i="8"/>
  <c r="C76" i="8"/>
  <c r="E76" i="8" s="1"/>
  <c r="L75" i="8"/>
  <c r="L74" i="8"/>
  <c r="C74" i="8"/>
  <c r="D74" i="8" s="1"/>
  <c r="E74" i="8" s="1"/>
  <c r="L73" i="8"/>
  <c r="L72" i="8"/>
  <c r="L71" i="8"/>
  <c r="C71" i="8"/>
  <c r="D71" i="8" s="1"/>
  <c r="E71" i="8" s="1"/>
  <c r="L70" i="8"/>
  <c r="C70" i="8"/>
  <c r="L69" i="8"/>
  <c r="C69" i="8"/>
  <c r="L68" i="8"/>
  <c r="C68" i="8"/>
  <c r="L67" i="8"/>
  <c r="L66" i="8"/>
  <c r="L65" i="8"/>
  <c r="L64" i="8"/>
  <c r="C64" i="8"/>
  <c r="L63" i="8"/>
  <c r="C63" i="8"/>
  <c r="L62" i="8"/>
  <c r="C62" i="8"/>
  <c r="D62" i="8" s="1"/>
  <c r="L61" i="8"/>
  <c r="C61" i="8"/>
  <c r="L60" i="8"/>
  <c r="D60" i="8"/>
  <c r="C60" i="8"/>
  <c r="E60" i="8" s="1"/>
  <c r="L59" i="8"/>
  <c r="L58" i="8"/>
  <c r="C58" i="8"/>
  <c r="D58" i="8" s="1"/>
  <c r="E58" i="8" s="1"/>
  <c r="L57" i="8"/>
  <c r="L56" i="8"/>
  <c r="L55" i="8"/>
  <c r="C55" i="8"/>
  <c r="L54" i="8"/>
  <c r="C54" i="8"/>
  <c r="D54" i="8" s="1"/>
  <c r="L53" i="8"/>
  <c r="C53" i="8"/>
  <c r="L52" i="8"/>
  <c r="D52" i="8"/>
  <c r="C52" i="8"/>
  <c r="E52" i="8" s="1"/>
  <c r="L51" i="8"/>
  <c r="L50" i="8"/>
  <c r="L49" i="8"/>
  <c r="L48" i="8"/>
  <c r="C48" i="8"/>
  <c r="L47" i="8"/>
  <c r="C47" i="8"/>
  <c r="L46" i="8"/>
  <c r="C46" i="8"/>
  <c r="D46" i="8" s="1"/>
  <c r="L45" i="8"/>
  <c r="C45" i="8"/>
  <c r="L44" i="8"/>
  <c r="D44" i="8"/>
  <c r="C44" i="8"/>
  <c r="E44" i="8" s="1"/>
  <c r="L43" i="8"/>
  <c r="L42" i="8"/>
  <c r="C42" i="8"/>
  <c r="D42" i="8" s="1"/>
  <c r="E42" i="8" s="1"/>
  <c r="L41" i="8"/>
  <c r="L40" i="8"/>
  <c r="L39" i="8"/>
  <c r="C39" i="8"/>
  <c r="L38" i="8"/>
  <c r="L37" i="8"/>
  <c r="C37" i="8"/>
  <c r="L36" i="8"/>
  <c r="D36" i="8"/>
  <c r="C36" i="8"/>
  <c r="L35" i="8"/>
  <c r="L34" i="8"/>
  <c r="D34" i="8"/>
  <c r="C34" i="8"/>
  <c r="E34" i="8" s="1"/>
  <c r="L33" i="8"/>
  <c r="C33" i="8"/>
  <c r="D33" i="8" s="1"/>
  <c r="E33" i="8" s="1"/>
  <c r="L32" i="8"/>
  <c r="C32" i="8"/>
  <c r="L31" i="8"/>
  <c r="C31" i="8"/>
  <c r="D31" i="8" s="1"/>
  <c r="E31" i="8" s="1"/>
  <c r="L30" i="8"/>
  <c r="C30" i="8"/>
  <c r="L29" i="8"/>
  <c r="D29" i="8"/>
  <c r="C29" i="8"/>
  <c r="L28" i="8"/>
  <c r="C28" i="8"/>
  <c r="D28" i="8" s="1"/>
  <c r="E28" i="8" s="1"/>
  <c r="L27" i="8"/>
  <c r="L26" i="8"/>
  <c r="L25" i="8"/>
  <c r="D25" i="8"/>
  <c r="C25" i="8"/>
  <c r="E25" i="8" s="1"/>
  <c r="L24" i="8"/>
  <c r="L23" i="8"/>
  <c r="C23" i="8"/>
  <c r="L22" i="8"/>
  <c r="C22" i="8"/>
  <c r="D22" i="8" s="1"/>
  <c r="E22" i="8" s="1"/>
  <c r="L21" i="8"/>
  <c r="L20" i="8"/>
  <c r="D20" i="8"/>
  <c r="C20" i="8"/>
  <c r="E20" i="8" s="1"/>
  <c r="L19" i="8"/>
  <c r="L18" i="8"/>
  <c r="D18" i="8"/>
  <c r="E18" i="8" s="1"/>
  <c r="C18" i="8"/>
  <c r="L17" i="8"/>
  <c r="L16" i="8"/>
  <c r="C16" i="8"/>
  <c r="D16" i="8" s="1"/>
  <c r="L15" i="8"/>
  <c r="L14" i="8"/>
  <c r="C14" i="8"/>
  <c r="L13" i="8"/>
  <c r="D13" i="8"/>
  <c r="C13" i="8"/>
  <c r="L12" i="8"/>
  <c r="L11" i="8"/>
  <c r="L10" i="8"/>
  <c r="C10" i="8"/>
  <c r="D10" i="8" s="1"/>
  <c r="E10" i="8" s="1"/>
  <c r="L9" i="8"/>
  <c r="D9" i="8"/>
  <c r="C9" i="8"/>
  <c r="E9" i="8" s="1"/>
  <c r="L8" i="8"/>
  <c r="C8" i="8"/>
  <c r="D8" i="8" s="1"/>
  <c r="L7" i="8"/>
  <c r="C7" i="8"/>
  <c r="H6" i="8"/>
  <c r="M5" i="8"/>
  <c r="H5" i="8"/>
  <c r="I6" i="8" s="1"/>
  <c r="M4" i="8"/>
  <c r="H4" i="8"/>
  <c r="F4" i="8"/>
  <c r="D4" i="8"/>
  <c r="C4" i="8"/>
  <c r="B4" i="8"/>
  <c r="N3" i="8"/>
  <c r="M3" i="8"/>
  <c r="D108" i="8" s="1"/>
  <c r="H3" i="8"/>
  <c r="G6" i="8" s="1"/>
  <c r="D3" i="8"/>
  <c r="C3" i="8"/>
  <c r="C5" i="8" s="1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B2" i="8"/>
  <c r="M1" i="8"/>
  <c r="C104" i="8" s="1"/>
  <c r="H14" i="7"/>
  <c r="G14" i="7"/>
  <c r="F14" i="7"/>
  <c r="AL6" i="7"/>
  <c r="AL5" i="7"/>
  <c r="AL4" i="7"/>
  <c r="AL3" i="7"/>
  <c r="AL2" i="7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P7" i="4" a="1"/>
  <c r="P7" i="4" s="1"/>
  <c r="J7" i="4" a="1"/>
  <c r="J7" i="4" s="1"/>
  <c r="L6" i="4" a="1"/>
  <c r="L6" i="4" s="1"/>
  <c r="I6" i="4" a="1"/>
  <c r="I6" i="4" s="1"/>
  <c r="D6" i="4" a="1"/>
  <c r="D6" i="4" s="1"/>
  <c r="N5" i="4" a="1"/>
  <c r="N5" i="4" s="1"/>
  <c r="K5" i="4" a="1"/>
  <c r="K5" i="4" s="1"/>
  <c r="F5" i="4" a="1"/>
  <c r="F5" i="4" s="1"/>
  <c r="C5" i="4" a="1"/>
  <c r="C5" i="4" s="1"/>
  <c r="S2" i="4"/>
  <c r="B2" i="4" s="1"/>
  <c r="A2" i="4"/>
  <c r="E7" i="4" s="1" a="1"/>
  <c r="E7" i="4" s="1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65" i="2"/>
  <c r="C64" i="2"/>
  <c r="C61" i="2"/>
  <c r="C60" i="2"/>
  <c r="C57" i="2"/>
  <c r="A57" i="2" s="1"/>
  <c r="C56" i="2"/>
  <c r="B51" i="2"/>
  <c r="A51" i="2"/>
  <c r="B50" i="2"/>
  <c r="B49" i="2"/>
  <c r="B48" i="2"/>
  <c r="A49" i="2" s="1"/>
  <c r="B47" i="2"/>
  <c r="A47" i="2" s="1"/>
  <c r="B46" i="2"/>
  <c r="B45" i="2"/>
  <c r="A45" i="2"/>
  <c r="B44" i="2"/>
  <c r="T41" i="2"/>
  <c r="S41" i="2"/>
  <c r="R41" i="2"/>
  <c r="Q41" i="2"/>
  <c r="N41" i="2"/>
  <c r="M41" i="2"/>
  <c r="K41" i="2"/>
  <c r="I41" i="2"/>
  <c r="F41" i="2"/>
  <c r="D41" i="2"/>
  <c r="C41" i="2"/>
  <c r="P39" i="2"/>
  <c r="P41" i="2" s="1"/>
  <c r="O39" i="2"/>
  <c r="O41" i="2" s="1"/>
  <c r="N39" i="2"/>
  <c r="M39" i="2"/>
  <c r="L39" i="2"/>
  <c r="L41" i="2" s="1"/>
  <c r="K39" i="2"/>
  <c r="J39" i="2"/>
  <c r="J41" i="2" s="1"/>
  <c r="I39" i="2"/>
  <c r="H39" i="2"/>
  <c r="H41" i="2" s="1"/>
  <c r="G39" i="2"/>
  <c r="G41" i="2" s="1"/>
  <c r="F39" i="2"/>
  <c r="E39" i="2"/>
  <c r="E41" i="2" s="1"/>
  <c r="D39" i="2"/>
  <c r="C39" i="2"/>
  <c r="B27" i="2"/>
  <c r="B26" i="2"/>
  <c r="B25" i="2"/>
  <c r="B24" i="2"/>
  <c r="A16" i="2"/>
  <c r="A15" i="2"/>
  <c r="A14" i="2"/>
  <c r="D10" i="2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E333" i="1"/>
  <c r="D333" i="1"/>
  <c r="C333" i="1"/>
  <c r="B333" i="1"/>
  <c r="W332" i="1"/>
  <c r="F332" i="1"/>
  <c r="D332" i="1"/>
  <c r="E332" i="1" s="1"/>
  <c r="C332" i="1"/>
  <c r="B332" i="1"/>
  <c r="W331" i="1"/>
  <c r="F331" i="1"/>
  <c r="E331" i="1"/>
  <c r="D331" i="1"/>
  <c r="C331" i="1"/>
  <c r="B331" i="1"/>
  <c r="W330" i="1"/>
  <c r="F330" i="1"/>
  <c r="D330" i="1"/>
  <c r="E330" i="1" s="1"/>
  <c r="C330" i="1"/>
  <c r="B330" i="1"/>
  <c r="W329" i="1"/>
  <c r="F329" i="1"/>
  <c r="E329" i="1"/>
  <c r="D329" i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E325" i="1"/>
  <c r="D325" i="1"/>
  <c r="C325" i="1"/>
  <c r="B325" i="1"/>
  <c r="W324" i="1"/>
  <c r="F324" i="1"/>
  <c r="E324" i="1"/>
  <c r="D324" i="1"/>
  <c r="C324" i="1"/>
  <c r="B324" i="1"/>
  <c r="W323" i="1"/>
  <c r="F323" i="1"/>
  <c r="E323" i="1"/>
  <c r="D323" i="1"/>
  <c r="C323" i="1"/>
  <c r="B323" i="1"/>
  <c r="W322" i="1"/>
  <c r="F322" i="1"/>
  <c r="E322" i="1"/>
  <c r="D322" i="1"/>
  <c r="C322" i="1"/>
  <c r="B322" i="1"/>
  <c r="W321" i="1"/>
  <c r="F321" i="1"/>
  <c r="E321" i="1"/>
  <c r="D321" i="1"/>
  <c r="C321" i="1"/>
  <c r="B321" i="1"/>
  <c r="W320" i="1"/>
  <c r="F320" i="1"/>
  <c r="E320" i="1"/>
  <c r="D320" i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E316" i="1"/>
  <c r="D316" i="1"/>
  <c r="C316" i="1"/>
  <c r="B316" i="1"/>
  <c r="W315" i="1"/>
  <c r="F315" i="1"/>
  <c r="E315" i="1"/>
  <c r="D315" i="1"/>
  <c r="C315" i="1"/>
  <c r="B315" i="1"/>
  <c r="W314" i="1"/>
  <c r="F314" i="1"/>
  <c r="E314" i="1"/>
  <c r="D314" i="1"/>
  <c r="C314" i="1"/>
  <c r="B314" i="1"/>
  <c r="W313" i="1"/>
  <c r="F313" i="1"/>
  <c r="D313" i="1"/>
  <c r="E313" i="1" s="1"/>
  <c r="C313" i="1"/>
  <c r="B313" i="1"/>
  <c r="W312" i="1"/>
  <c r="F312" i="1"/>
  <c r="E312" i="1"/>
  <c r="D312" i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E308" i="1"/>
  <c r="D308" i="1"/>
  <c r="C308" i="1"/>
  <c r="B308" i="1"/>
  <c r="W307" i="1"/>
  <c r="F307" i="1"/>
  <c r="E307" i="1"/>
  <c r="D307" i="1"/>
  <c r="C307" i="1"/>
  <c r="B307" i="1"/>
  <c r="W306" i="1"/>
  <c r="F306" i="1"/>
  <c r="E306" i="1"/>
  <c r="D306" i="1"/>
  <c r="C306" i="1"/>
  <c r="B306" i="1"/>
  <c r="W305" i="1"/>
  <c r="F305" i="1"/>
  <c r="E305" i="1"/>
  <c r="D305" i="1"/>
  <c r="C305" i="1"/>
  <c r="B305" i="1"/>
  <c r="W304" i="1"/>
  <c r="F304" i="1"/>
  <c r="E304" i="1"/>
  <c r="D304" i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E300" i="1"/>
  <c r="D300" i="1"/>
  <c r="C300" i="1"/>
  <c r="B300" i="1"/>
  <c r="W299" i="1"/>
  <c r="F299" i="1"/>
  <c r="E299" i="1"/>
  <c r="D299" i="1"/>
  <c r="C299" i="1"/>
  <c r="B299" i="1"/>
  <c r="W298" i="1"/>
  <c r="F298" i="1"/>
  <c r="E298" i="1"/>
  <c r="D298" i="1"/>
  <c r="C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E293" i="1"/>
  <c r="D293" i="1"/>
  <c r="C293" i="1"/>
  <c r="B293" i="1"/>
  <c r="W292" i="1"/>
  <c r="F292" i="1"/>
  <c r="E292" i="1"/>
  <c r="D292" i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E287" i="1"/>
  <c r="D287" i="1"/>
  <c r="C287" i="1"/>
  <c r="B287" i="1"/>
  <c r="W286" i="1"/>
  <c r="F286" i="1"/>
  <c r="E286" i="1"/>
  <c r="D286" i="1"/>
  <c r="C286" i="1"/>
  <c r="B286" i="1"/>
  <c r="W285" i="1"/>
  <c r="F285" i="1"/>
  <c r="E285" i="1"/>
  <c r="D285" i="1"/>
  <c r="C285" i="1"/>
  <c r="B285" i="1"/>
  <c r="W284" i="1"/>
  <c r="F284" i="1"/>
  <c r="E284" i="1"/>
  <c r="D284" i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E281" i="1"/>
  <c r="D281" i="1"/>
  <c r="C281" i="1"/>
  <c r="B281" i="1"/>
  <c r="W280" i="1"/>
  <c r="F280" i="1"/>
  <c r="E280" i="1"/>
  <c r="D280" i="1"/>
  <c r="C280" i="1"/>
  <c r="B280" i="1"/>
  <c r="W279" i="1"/>
  <c r="F279" i="1"/>
  <c r="E279" i="1"/>
  <c r="D279" i="1"/>
  <c r="C279" i="1"/>
  <c r="B279" i="1"/>
  <c r="W278" i="1"/>
  <c r="F278" i="1"/>
  <c r="E278" i="1"/>
  <c r="D278" i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E273" i="1"/>
  <c r="D273" i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E268" i="1"/>
  <c r="D268" i="1"/>
  <c r="C268" i="1"/>
  <c r="B268" i="1"/>
  <c r="W267" i="1"/>
  <c r="F267" i="1"/>
  <c r="E267" i="1"/>
  <c r="D267" i="1"/>
  <c r="C267" i="1"/>
  <c r="B267" i="1"/>
  <c r="W266" i="1"/>
  <c r="F266" i="1"/>
  <c r="E266" i="1"/>
  <c r="D266" i="1"/>
  <c r="C266" i="1"/>
  <c r="B266" i="1"/>
  <c r="W265" i="1"/>
  <c r="F265" i="1"/>
  <c r="E265" i="1"/>
  <c r="D265" i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E260" i="1"/>
  <c r="D260" i="1"/>
  <c r="C260" i="1"/>
  <c r="B260" i="1"/>
  <c r="W259" i="1"/>
  <c r="F259" i="1"/>
  <c r="E259" i="1"/>
  <c r="D259" i="1"/>
  <c r="C259" i="1"/>
  <c r="B259" i="1"/>
  <c r="W258" i="1"/>
  <c r="F258" i="1"/>
  <c r="E258" i="1"/>
  <c r="D258" i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E254" i="1"/>
  <c r="D254" i="1"/>
  <c r="C254" i="1"/>
  <c r="B254" i="1"/>
  <c r="W253" i="1"/>
  <c r="F253" i="1"/>
  <c r="D253" i="1"/>
  <c r="E253" i="1" s="1"/>
  <c r="C253" i="1"/>
  <c r="B253" i="1"/>
  <c r="W252" i="1"/>
  <c r="F252" i="1"/>
  <c r="E252" i="1"/>
  <c r="D252" i="1"/>
  <c r="C252" i="1"/>
  <c r="B252" i="1"/>
  <c r="W251" i="1"/>
  <c r="F251" i="1"/>
  <c r="E251" i="1"/>
  <c r="D251" i="1"/>
  <c r="C251" i="1"/>
  <c r="B251" i="1"/>
  <c r="W250" i="1"/>
  <c r="F250" i="1"/>
  <c r="E250" i="1"/>
  <c r="D250" i="1"/>
  <c r="C250" i="1"/>
  <c r="B250" i="1"/>
  <c r="W249" i="1"/>
  <c r="F249" i="1"/>
  <c r="E249" i="1"/>
  <c r="D249" i="1"/>
  <c r="C249" i="1"/>
  <c r="B249" i="1"/>
  <c r="W248" i="1"/>
  <c r="F248" i="1"/>
  <c r="E248" i="1"/>
  <c r="D248" i="1"/>
  <c r="C248" i="1"/>
  <c r="B248" i="1"/>
  <c r="W247" i="1"/>
  <c r="F247" i="1"/>
  <c r="D247" i="1"/>
  <c r="E247" i="1" s="1"/>
  <c r="C247" i="1"/>
  <c r="B247" i="1"/>
  <c r="W246" i="1"/>
  <c r="F246" i="1"/>
  <c r="E246" i="1"/>
  <c r="D246" i="1"/>
  <c r="C246" i="1"/>
  <c r="B246" i="1"/>
  <c r="W245" i="1"/>
  <c r="F245" i="1"/>
  <c r="D245" i="1"/>
  <c r="E245" i="1" s="1"/>
  <c r="C245" i="1"/>
  <c r="B245" i="1"/>
  <c r="W244" i="1"/>
  <c r="F244" i="1"/>
  <c r="E244" i="1"/>
  <c r="D244" i="1"/>
  <c r="C244" i="1"/>
  <c r="B244" i="1"/>
  <c r="W243" i="1"/>
  <c r="F243" i="1"/>
  <c r="E243" i="1"/>
  <c r="D243" i="1"/>
  <c r="C243" i="1"/>
  <c r="B243" i="1"/>
  <c r="W242" i="1"/>
  <c r="F242" i="1"/>
  <c r="E242" i="1"/>
  <c r="D242" i="1"/>
  <c r="C242" i="1"/>
  <c r="B242" i="1"/>
  <c r="W241" i="1"/>
  <c r="F241" i="1"/>
  <c r="E241" i="1"/>
  <c r="D241" i="1"/>
  <c r="C241" i="1"/>
  <c r="B241" i="1"/>
  <c r="W240" i="1"/>
  <c r="F240" i="1"/>
  <c r="E240" i="1"/>
  <c r="D240" i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E236" i="1"/>
  <c r="D236" i="1"/>
  <c r="C236" i="1"/>
  <c r="B236" i="1"/>
  <c r="W235" i="1"/>
  <c r="F235" i="1"/>
  <c r="E235" i="1"/>
  <c r="D235" i="1"/>
  <c r="C235" i="1"/>
  <c r="B235" i="1"/>
  <c r="W234" i="1"/>
  <c r="F234" i="1"/>
  <c r="E234" i="1"/>
  <c r="D234" i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E205" i="1"/>
  <c r="D205" i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E202" i="1"/>
  <c r="D202" i="1"/>
  <c r="C202" i="1"/>
  <c r="B202" i="1"/>
  <c r="W201" i="1"/>
  <c r="F201" i="1"/>
  <c r="E201" i="1"/>
  <c r="D201" i="1"/>
  <c r="C201" i="1"/>
  <c r="B201" i="1"/>
  <c r="W200" i="1"/>
  <c r="F200" i="1"/>
  <c r="E200" i="1"/>
  <c r="D200" i="1"/>
  <c r="C200" i="1"/>
  <c r="B200" i="1"/>
  <c r="W199" i="1"/>
  <c r="F199" i="1"/>
  <c r="E199" i="1"/>
  <c r="D199" i="1"/>
  <c r="C199" i="1"/>
  <c r="B199" i="1"/>
  <c r="W198" i="1"/>
  <c r="F198" i="1"/>
  <c r="E198" i="1"/>
  <c r="D198" i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E194" i="1"/>
  <c r="D194" i="1"/>
  <c r="C194" i="1"/>
  <c r="B194" i="1"/>
  <c r="W193" i="1"/>
  <c r="F193" i="1"/>
  <c r="E193" i="1"/>
  <c r="D193" i="1"/>
  <c r="C193" i="1"/>
  <c r="B193" i="1"/>
  <c r="W192" i="1"/>
  <c r="F192" i="1"/>
  <c r="E192" i="1"/>
  <c r="D192" i="1"/>
  <c r="C192" i="1"/>
  <c r="B192" i="1"/>
  <c r="W191" i="1"/>
  <c r="F191" i="1"/>
  <c r="E191" i="1"/>
  <c r="D191" i="1"/>
  <c r="C191" i="1"/>
  <c r="B191" i="1"/>
  <c r="W190" i="1"/>
  <c r="F190" i="1"/>
  <c r="E190" i="1"/>
  <c r="D190" i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E186" i="1"/>
  <c r="D186" i="1"/>
  <c r="C186" i="1"/>
  <c r="B186" i="1"/>
  <c r="W185" i="1"/>
  <c r="F185" i="1"/>
  <c r="E185" i="1"/>
  <c r="D185" i="1"/>
  <c r="C185" i="1"/>
  <c r="B185" i="1"/>
  <c r="W184" i="1"/>
  <c r="F184" i="1"/>
  <c r="E184" i="1"/>
  <c r="D184" i="1"/>
  <c r="C184" i="1"/>
  <c r="B184" i="1"/>
  <c r="W183" i="1"/>
  <c r="F183" i="1"/>
  <c r="E183" i="1"/>
  <c r="D183" i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E179" i="1"/>
  <c r="D179" i="1"/>
  <c r="C179" i="1"/>
  <c r="B179" i="1"/>
  <c r="W178" i="1"/>
  <c r="F178" i="1"/>
  <c r="E178" i="1"/>
  <c r="D178" i="1"/>
  <c r="C178" i="1"/>
  <c r="B178" i="1"/>
  <c r="W177" i="1"/>
  <c r="F177" i="1"/>
  <c r="E177" i="1"/>
  <c r="D177" i="1"/>
  <c r="C177" i="1"/>
  <c r="B177" i="1"/>
  <c r="W176" i="1"/>
  <c r="F176" i="1"/>
  <c r="D176" i="1"/>
  <c r="E176" i="1" s="1"/>
  <c r="C176" i="1"/>
  <c r="B176" i="1"/>
  <c r="W175" i="1"/>
  <c r="F175" i="1"/>
  <c r="E175" i="1"/>
  <c r="D175" i="1"/>
  <c r="C175" i="1"/>
  <c r="B175" i="1"/>
  <c r="W174" i="1"/>
  <c r="F174" i="1"/>
  <c r="E174" i="1"/>
  <c r="D174" i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E171" i="1"/>
  <c r="D171" i="1"/>
  <c r="C171" i="1"/>
  <c r="B171" i="1"/>
  <c r="W170" i="1"/>
  <c r="F170" i="1"/>
  <c r="E170" i="1"/>
  <c r="D170" i="1"/>
  <c r="C170" i="1"/>
  <c r="B170" i="1"/>
  <c r="W169" i="1"/>
  <c r="F169" i="1"/>
  <c r="E169" i="1"/>
  <c r="D169" i="1"/>
  <c r="C169" i="1"/>
  <c r="B169" i="1"/>
  <c r="W168" i="1"/>
  <c r="F168" i="1"/>
  <c r="D168" i="1"/>
  <c r="E168" i="1" s="1"/>
  <c r="C168" i="1"/>
  <c r="B168" i="1"/>
  <c r="W167" i="1"/>
  <c r="F167" i="1"/>
  <c r="E167" i="1"/>
  <c r="D167" i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E163" i="1"/>
  <c r="D163" i="1"/>
  <c r="C163" i="1"/>
  <c r="B163" i="1"/>
  <c r="W162" i="1"/>
  <c r="F162" i="1"/>
  <c r="E162" i="1"/>
  <c r="D162" i="1"/>
  <c r="C162" i="1"/>
  <c r="B162" i="1"/>
  <c r="W161" i="1"/>
  <c r="F161" i="1"/>
  <c r="E161" i="1"/>
  <c r="D161" i="1"/>
  <c r="C161" i="1"/>
  <c r="B161" i="1"/>
  <c r="W160" i="1"/>
  <c r="F160" i="1"/>
  <c r="D160" i="1"/>
  <c r="E160" i="1" s="1"/>
  <c r="C160" i="1"/>
  <c r="B160" i="1"/>
  <c r="W159" i="1"/>
  <c r="F159" i="1"/>
  <c r="E159" i="1"/>
  <c r="D159" i="1"/>
  <c r="C159" i="1"/>
  <c r="B159" i="1"/>
  <c r="W158" i="1"/>
  <c r="F158" i="1"/>
  <c r="E158" i="1"/>
  <c r="D158" i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E155" i="1"/>
  <c r="D155" i="1"/>
  <c r="C155" i="1"/>
  <c r="B155" i="1"/>
  <c r="W154" i="1"/>
  <c r="F154" i="1"/>
  <c r="E154" i="1"/>
  <c r="D154" i="1"/>
  <c r="C154" i="1"/>
  <c r="B154" i="1"/>
  <c r="W153" i="1"/>
  <c r="F153" i="1"/>
  <c r="E153" i="1"/>
  <c r="D153" i="1"/>
  <c r="C153" i="1"/>
  <c r="B153" i="1"/>
  <c r="W152" i="1"/>
  <c r="F152" i="1"/>
  <c r="D152" i="1"/>
  <c r="E152" i="1" s="1"/>
  <c r="C152" i="1"/>
  <c r="B152" i="1"/>
  <c r="W151" i="1"/>
  <c r="F151" i="1"/>
  <c r="E151" i="1"/>
  <c r="D151" i="1"/>
  <c r="C151" i="1"/>
  <c r="B151" i="1"/>
  <c r="W150" i="1"/>
  <c r="F150" i="1"/>
  <c r="E150" i="1"/>
  <c r="D150" i="1"/>
  <c r="C150" i="1"/>
  <c r="B150" i="1"/>
  <c r="W149" i="1"/>
  <c r="F149" i="1"/>
  <c r="D149" i="1"/>
  <c r="E149" i="1" s="1"/>
  <c r="C149" i="1"/>
  <c r="B149" i="1"/>
  <c r="W148" i="1"/>
  <c r="F148" i="1"/>
  <c r="D148" i="1"/>
  <c r="E148" i="1" s="1"/>
  <c r="C148" i="1"/>
  <c r="B148" i="1"/>
  <c r="W147" i="1"/>
  <c r="F147" i="1"/>
  <c r="E147" i="1"/>
  <c r="D147" i="1"/>
  <c r="C147" i="1"/>
  <c r="B147" i="1"/>
  <c r="W146" i="1"/>
  <c r="F146" i="1"/>
  <c r="E146" i="1"/>
  <c r="D146" i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E141" i="1"/>
  <c r="D141" i="1"/>
  <c r="C141" i="1"/>
  <c r="B141" i="1"/>
  <c r="W140" i="1"/>
  <c r="F140" i="1"/>
  <c r="E140" i="1"/>
  <c r="D140" i="1"/>
  <c r="C140" i="1"/>
  <c r="B140" i="1"/>
  <c r="W139" i="1"/>
  <c r="F139" i="1"/>
  <c r="E139" i="1"/>
  <c r="D139" i="1"/>
  <c r="C139" i="1"/>
  <c r="B139" i="1"/>
  <c r="W138" i="1"/>
  <c r="F138" i="1"/>
  <c r="E138" i="1"/>
  <c r="D138" i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E134" i="1"/>
  <c r="D134" i="1"/>
  <c r="C134" i="1"/>
  <c r="B134" i="1"/>
  <c r="W133" i="1"/>
  <c r="F133" i="1"/>
  <c r="E133" i="1"/>
  <c r="D133" i="1"/>
  <c r="C133" i="1"/>
  <c r="B133" i="1"/>
  <c r="W132" i="1"/>
  <c r="F132" i="1"/>
  <c r="E132" i="1"/>
  <c r="D132" i="1"/>
  <c r="C132" i="1"/>
  <c r="B132" i="1"/>
  <c r="W131" i="1"/>
  <c r="F131" i="1"/>
  <c r="E131" i="1"/>
  <c r="D131" i="1"/>
  <c r="C131" i="1"/>
  <c r="B131" i="1"/>
  <c r="W130" i="1"/>
  <c r="F130" i="1"/>
  <c r="E130" i="1"/>
  <c r="D130" i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E126" i="1"/>
  <c r="D126" i="1"/>
  <c r="C126" i="1"/>
  <c r="B126" i="1"/>
  <c r="W125" i="1"/>
  <c r="F125" i="1"/>
  <c r="E125" i="1"/>
  <c r="D125" i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D121" i="1"/>
  <c r="E121" i="1" s="1"/>
  <c r="C121" i="1"/>
  <c r="B121" i="1"/>
  <c r="W120" i="1"/>
  <c r="F120" i="1"/>
  <c r="D120" i="1"/>
  <c r="E120" i="1" s="1"/>
  <c r="C120" i="1"/>
  <c r="B120" i="1"/>
  <c r="W119" i="1"/>
  <c r="F119" i="1"/>
  <c r="D119" i="1"/>
  <c r="E119" i="1" s="1"/>
  <c r="C119" i="1"/>
  <c r="B119" i="1"/>
  <c r="W118" i="1"/>
  <c r="F118" i="1"/>
  <c r="E118" i="1"/>
  <c r="D118" i="1"/>
  <c r="C118" i="1"/>
  <c r="B118" i="1"/>
  <c r="W117" i="1"/>
  <c r="F117" i="1"/>
  <c r="E117" i="1"/>
  <c r="D117" i="1"/>
  <c r="C117" i="1"/>
  <c r="B117" i="1"/>
  <c r="W116" i="1"/>
  <c r="F116" i="1"/>
  <c r="D116" i="1"/>
  <c r="E116" i="1" s="1"/>
  <c r="C116" i="1"/>
  <c r="B116" i="1"/>
  <c r="W115" i="1"/>
  <c r="F115" i="1"/>
  <c r="D115" i="1"/>
  <c r="E115" i="1" s="1"/>
  <c r="C115" i="1"/>
  <c r="B115" i="1"/>
  <c r="W114" i="1"/>
  <c r="F114" i="1"/>
  <c r="D114" i="1"/>
  <c r="E114" i="1" s="1"/>
  <c r="C114" i="1"/>
  <c r="B114" i="1"/>
  <c r="W113" i="1"/>
  <c r="F113" i="1"/>
  <c r="D113" i="1"/>
  <c r="E113" i="1" s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E109" i="1"/>
  <c r="D109" i="1"/>
  <c r="C109" i="1"/>
  <c r="B109" i="1"/>
  <c r="W108" i="1"/>
  <c r="F108" i="1"/>
  <c r="E108" i="1"/>
  <c r="D108" i="1"/>
  <c r="C108" i="1"/>
  <c r="B108" i="1"/>
  <c r="W107" i="1"/>
  <c r="F107" i="1"/>
  <c r="D107" i="1"/>
  <c r="E107" i="1" s="1"/>
  <c r="C107" i="1"/>
  <c r="B107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E104" i="1"/>
  <c r="D104" i="1"/>
  <c r="C104" i="1"/>
  <c r="B104" i="1"/>
  <c r="W103" i="1"/>
  <c r="F103" i="1"/>
  <c r="D103" i="1"/>
  <c r="E103" i="1" s="1"/>
  <c r="C103" i="1"/>
  <c r="B103" i="1"/>
  <c r="W102" i="1"/>
  <c r="F102" i="1"/>
  <c r="E102" i="1"/>
  <c r="D102" i="1"/>
  <c r="C102" i="1"/>
  <c r="B102" i="1"/>
  <c r="W101" i="1"/>
  <c r="F101" i="1"/>
  <c r="E101" i="1"/>
  <c r="D101" i="1"/>
  <c r="C101" i="1"/>
  <c r="B101" i="1"/>
  <c r="W100" i="1"/>
  <c r="F100" i="1"/>
  <c r="E100" i="1"/>
  <c r="D100" i="1"/>
  <c r="C100" i="1"/>
  <c r="B100" i="1"/>
  <c r="W99" i="1"/>
  <c r="F99" i="1"/>
  <c r="D99" i="1"/>
  <c r="E99" i="1" s="1"/>
  <c r="C99" i="1"/>
  <c r="B99" i="1"/>
  <c r="W98" i="1"/>
  <c r="F98" i="1"/>
  <c r="D98" i="1"/>
  <c r="E98" i="1" s="1"/>
  <c r="C98" i="1"/>
  <c r="B98" i="1"/>
  <c r="W97" i="1"/>
  <c r="F97" i="1"/>
  <c r="D97" i="1"/>
  <c r="E97" i="1" s="1"/>
  <c r="C97" i="1"/>
  <c r="B97" i="1"/>
  <c r="W96" i="1"/>
  <c r="F96" i="1"/>
  <c r="E96" i="1"/>
  <c r="D96" i="1"/>
  <c r="C96" i="1"/>
  <c r="B96" i="1"/>
  <c r="W95" i="1"/>
  <c r="F95" i="1"/>
  <c r="D95" i="1"/>
  <c r="E95" i="1" s="1"/>
  <c r="C95" i="1"/>
  <c r="B95" i="1"/>
  <c r="W94" i="1"/>
  <c r="F94" i="1"/>
  <c r="E94" i="1"/>
  <c r="D94" i="1"/>
  <c r="C94" i="1"/>
  <c r="B94" i="1"/>
  <c r="W93" i="1"/>
  <c r="F93" i="1"/>
  <c r="E93" i="1"/>
  <c r="D93" i="1"/>
  <c r="C93" i="1"/>
  <c r="B93" i="1"/>
  <c r="W92" i="1"/>
  <c r="F92" i="1"/>
  <c r="E92" i="1"/>
  <c r="D92" i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D89" i="1"/>
  <c r="E89" i="1" s="1"/>
  <c r="C89" i="1"/>
  <c r="B89" i="1"/>
  <c r="W88" i="1"/>
  <c r="F88" i="1"/>
  <c r="E88" i="1"/>
  <c r="D88" i="1"/>
  <c r="C88" i="1"/>
  <c r="B88" i="1"/>
  <c r="W87" i="1"/>
  <c r="F87" i="1"/>
  <c r="D87" i="1"/>
  <c r="E87" i="1" s="1"/>
  <c r="C87" i="1"/>
  <c r="B87" i="1"/>
  <c r="W86" i="1"/>
  <c r="F86" i="1"/>
  <c r="E86" i="1"/>
  <c r="D86" i="1"/>
  <c r="C86" i="1"/>
  <c r="B86" i="1"/>
  <c r="W85" i="1"/>
  <c r="F85" i="1"/>
  <c r="E85" i="1"/>
  <c r="D85" i="1"/>
  <c r="C85" i="1"/>
  <c r="B85" i="1"/>
  <c r="W84" i="1"/>
  <c r="F84" i="1"/>
  <c r="E84" i="1"/>
  <c r="D84" i="1"/>
  <c r="C84" i="1"/>
  <c r="B84" i="1"/>
  <c r="W83" i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D81" i="1"/>
  <c r="E81" i="1" s="1"/>
  <c r="C81" i="1"/>
  <c r="B81" i="1"/>
  <c r="W80" i="1"/>
  <c r="F80" i="1"/>
  <c r="E80" i="1"/>
  <c r="D80" i="1"/>
  <c r="C80" i="1"/>
  <c r="B80" i="1"/>
  <c r="W79" i="1"/>
  <c r="S79" i="1" a="1"/>
  <c r="S79" i="1" s="1"/>
  <c r="F79" i="1"/>
  <c r="D79" i="1"/>
  <c r="E79" i="1" s="1"/>
  <c r="C79" i="1"/>
  <c r="B79" i="1"/>
  <c r="W78" i="1"/>
  <c r="F78" i="1"/>
  <c r="E78" i="1"/>
  <c r="D78" i="1"/>
  <c r="C78" i="1"/>
  <c r="B78" i="1"/>
  <c r="W77" i="1"/>
  <c r="F77" i="1"/>
  <c r="E77" i="1"/>
  <c r="D77" i="1"/>
  <c r="C77" i="1"/>
  <c r="B77" i="1"/>
  <c r="W76" i="1"/>
  <c r="F76" i="1"/>
  <c r="E76" i="1"/>
  <c r="D76" i="1"/>
  <c r="C76" i="1"/>
  <c r="B76" i="1"/>
  <c r="W75" i="1"/>
  <c r="F75" i="1"/>
  <c r="D75" i="1"/>
  <c r="E75" i="1" s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D72" i="1"/>
  <c r="E72" i="1" s="1"/>
  <c r="C72" i="1"/>
  <c r="B72" i="1"/>
  <c r="W71" i="1"/>
  <c r="F71" i="1"/>
  <c r="D71" i="1"/>
  <c r="E71" i="1" s="1"/>
  <c r="C71" i="1"/>
  <c r="B71" i="1"/>
  <c r="W70" i="1"/>
  <c r="S70" i="1" a="1"/>
  <c r="S70" i="1" s="1"/>
  <c r="F70" i="1"/>
  <c r="E70" i="1"/>
  <c r="D70" i="1"/>
  <c r="C70" i="1"/>
  <c r="B70" i="1"/>
  <c r="W69" i="1"/>
  <c r="S69" i="1" a="1"/>
  <c r="S69" i="1" s="1"/>
  <c r="F69" i="1"/>
  <c r="D69" i="1"/>
  <c r="E69" i="1" s="1"/>
  <c r="C69" i="1"/>
  <c r="B69" i="1"/>
  <c r="W68" i="1"/>
  <c r="S68" i="1" a="1"/>
  <c r="S68" i="1"/>
  <c r="F68" i="1"/>
  <c r="E68" i="1"/>
  <c r="D68" i="1"/>
  <c r="C68" i="1"/>
  <c r="B68" i="1"/>
  <c r="W67" i="1"/>
  <c r="F67" i="1"/>
  <c r="E67" i="1"/>
  <c r="D67" i="1"/>
  <c r="C67" i="1"/>
  <c r="B67" i="1"/>
  <c r="W66" i="1"/>
  <c r="F66" i="1"/>
  <c r="E66" i="1"/>
  <c r="D66" i="1"/>
  <c r="C66" i="1"/>
  <c r="B66" i="1"/>
  <c r="W65" i="1"/>
  <c r="T65" i="1" a="1"/>
  <c r="T65" i="1" s="1"/>
  <c r="F65" i="1"/>
  <c r="D65" i="1"/>
  <c r="E65" i="1" s="1"/>
  <c r="C65" i="1"/>
  <c r="B65" i="1"/>
  <c r="W64" i="1"/>
  <c r="T64" i="1" a="1"/>
  <c r="T64" i="1" s="1"/>
  <c r="F64" i="1"/>
  <c r="D64" i="1"/>
  <c r="E64" i="1" s="1"/>
  <c r="C64" i="1"/>
  <c r="B64" i="1"/>
  <c r="W63" i="1"/>
  <c r="S63" i="1" a="1"/>
  <c r="S63" i="1" s="1"/>
  <c r="F63" i="1"/>
  <c r="D63" i="1"/>
  <c r="E63" i="1" s="1"/>
  <c r="C63" i="1"/>
  <c r="B63" i="1"/>
  <c r="W62" i="1"/>
  <c r="T62" i="1" a="1"/>
  <c r="T62" i="1" s="1"/>
  <c r="F62" i="1"/>
  <c r="D62" i="1"/>
  <c r="E62" i="1" s="1"/>
  <c r="C62" i="1"/>
  <c r="B62" i="1"/>
  <c r="W61" i="1"/>
  <c r="T61" i="1" a="1"/>
  <c r="T61" i="1" s="1"/>
  <c r="F61" i="1"/>
  <c r="D61" i="1"/>
  <c r="E61" i="1" s="1"/>
  <c r="C61" i="1"/>
  <c r="B61" i="1"/>
  <c r="W60" i="1"/>
  <c r="S60" i="1" a="1"/>
  <c r="S60" i="1"/>
  <c r="F60" i="1"/>
  <c r="E60" i="1"/>
  <c r="D60" i="1"/>
  <c r="C60" i="1"/>
  <c r="B60" i="1"/>
  <c r="W59" i="1"/>
  <c r="S59" i="1" a="1"/>
  <c r="S59" i="1"/>
  <c r="F59" i="1"/>
  <c r="D59" i="1"/>
  <c r="E59" i="1" s="1"/>
  <c r="C59" i="1"/>
  <c r="B59" i="1"/>
  <c r="W58" i="1"/>
  <c r="T58" i="1" a="1"/>
  <c r="T58" i="1" s="1"/>
  <c r="S58" i="1" a="1"/>
  <c r="S58" i="1" s="1"/>
  <c r="F58" i="1"/>
  <c r="D58" i="1"/>
  <c r="E58" i="1" s="1"/>
  <c r="C58" i="1"/>
  <c r="B58" i="1"/>
  <c r="W57" i="1"/>
  <c r="T57" i="1" a="1"/>
  <c r="T57" i="1" s="1"/>
  <c r="S57" i="1" a="1"/>
  <c r="S57" i="1"/>
  <c r="F57" i="1"/>
  <c r="D57" i="1"/>
  <c r="E57" i="1" s="1"/>
  <c r="C57" i="1"/>
  <c r="B57" i="1"/>
  <c r="W56" i="1"/>
  <c r="T56" i="1" a="1"/>
  <c r="T56" i="1" s="1"/>
  <c r="S56" i="1" a="1"/>
  <c r="S56" i="1"/>
  <c r="F56" i="1"/>
  <c r="D56" i="1"/>
  <c r="E56" i="1" s="1"/>
  <c r="C56" i="1"/>
  <c r="B56" i="1"/>
  <c r="W55" i="1"/>
  <c r="T55" i="1" a="1"/>
  <c r="T55" i="1" s="1"/>
  <c r="S55" i="1" a="1"/>
  <c r="S55" i="1" s="1"/>
  <c r="F55" i="1"/>
  <c r="D55" i="1"/>
  <c r="E55" i="1" s="1"/>
  <c r="C55" i="1"/>
  <c r="B55" i="1"/>
  <c r="W54" i="1"/>
  <c r="T54" i="1" a="1"/>
  <c r="T54" i="1" s="1"/>
  <c r="S54" i="1" a="1"/>
  <c r="S54" i="1" s="1"/>
  <c r="F54" i="1"/>
  <c r="D54" i="1"/>
  <c r="E54" i="1" s="1"/>
  <c r="C54" i="1"/>
  <c r="B54" i="1"/>
  <c r="W53" i="1"/>
  <c r="T53" i="1" a="1"/>
  <c r="T53" i="1" s="1"/>
  <c r="S53" i="1" a="1"/>
  <c r="S53" i="1" s="1"/>
  <c r="F53" i="1"/>
  <c r="D53" i="1"/>
  <c r="E53" i="1" s="1"/>
  <c r="C53" i="1"/>
  <c r="B53" i="1"/>
  <c r="W52" i="1"/>
  <c r="T52" i="1" a="1"/>
  <c r="T52" i="1" s="1"/>
  <c r="S52" i="1" a="1"/>
  <c r="S52" i="1" s="1"/>
  <c r="F52" i="1"/>
  <c r="D52" i="1"/>
  <c r="E52" i="1" s="1"/>
  <c r="C52" i="1"/>
  <c r="B52" i="1"/>
  <c r="W51" i="1"/>
  <c r="T51" i="1" a="1"/>
  <c r="T51" i="1" s="1"/>
  <c r="S51" i="1" a="1"/>
  <c r="S51" i="1" s="1"/>
  <c r="F51" i="1"/>
  <c r="D51" i="1"/>
  <c r="E51" i="1" s="1"/>
  <c r="C51" i="1"/>
  <c r="B51" i="1"/>
  <c r="W50" i="1"/>
  <c r="T50" i="1" a="1"/>
  <c r="T50" i="1" s="1"/>
  <c r="S50" i="1" a="1"/>
  <c r="S50" i="1" s="1"/>
  <c r="F50" i="1"/>
  <c r="D50" i="1"/>
  <c r="E50" i="1" s="1"/>
  <c r="C50" i="1"/>
  <c r="B50" i="1"/>
  <c r="W49" i="1"/>
  <c r="T49" i="1" a="1"/>
  <c r="T49" i="1" s="1"/>
  <c r="S49" i="1" a="1"/>
  <c r="S49" i="1" s="1"/>
  <c r="F49" i="1"/>
  <c r="D49" i="1"/>
  <c r="E49" i="1" s="1"/>
  <c r="C49" i="1"/>
  <c r="B49" i="1"/>
  <c r="W48" i="1"/>
  <c r="T48" i="1" a="1"/>
  <c r="T48" i="1" s="1"/>
  <c r="S48" i="1" a="1"/>
  <c r="S48" i="1" s="1"/>
  <c r="F48" i="1"/>
  <c r="D48" i="1"/>
  <c r="E48" i="1" s="1"/>
  <c r="C48" i="1"/>
  <c r="B48" i="1"/>
  <c r="W47" i="1"/>
  <c r="T47" i="1" a="1"/>
  <c r="T47" i="1" s="1"/>
  <c r="S47" i="1" a="1"/>
  <c r="S47" i="1" s="1"/>
  <c r="F47" i="1"/>
  <c r="D47" i="1"/>
  <c r="E47" i="1" s="1"/>
  <c r="C47" i="1"/>
  <c r="B47" i="1"/>
  <c r="W46" i="1"/>
  <c r="T46" i="1" a="1"/>
  <c r="T46" i="1" s="1"/>
  <c r="S46" i="1" a="1"/>
  <c r="S46" i="1" s="1"/>
  <c r="F46" i="1"/>
  <c r="D46" i="1"/>
  <c r="E46" i="1" s="1"/>
  <c r="C46" i="1"/>
  <c r="B46" i="1"/>
  <c r="W45" i="1"/>
  <c r="T45" i="1" a="1"/>
  <c r="T45" i="1" s="1"/>
  <c r="S45" i="1" a="1"/>
  <c r="S45" i="1" s="1"/>
  <c r="F45" i="1"/>
  <c r="D45" i="1"/>
  <c r="E45" i="1" s="1"/>
  <c r="C45" i="1"/>
  <c r="B45" i="1"/>
  <c r="W44" i="1"/>
  <c r="T44" i="1" a="1"/>
  <c r="T44" i="1" s="1"/>
  <c r="S44" i="1" a="1"/>
  <c r="S44" i="1" s="1"/>
  <c r="F44" i="1"/>
  <c r="D44" i="1"/>
  <c r="E44" i="1" s="1"/>
  <c r="C44" i="1"/>
  <c r="B44" i="1"/>
  <c r="W43" i="1"/>
  <c r="T43" i="1" a="1"/>
  <c r="T43" i="1" s="1"/>
  <c r="S43" i="1" a="1"/>
  <c r="S43" i="1" s="1"/>
  <c r="F43" i="1"/>
  <c r="D43" i="1"/>
  <c r="E43" i="1" s="1"/>
  <c r="C43" i="1"/>
  <c r="B43" i="1"/>
  <c r="W42" i="1"/>
  <c r="T42" i="1" a="1"/>
  <c r="T42" i="1" s="1"/>
  <c r="S42" i="1" a="1"/>
  <c r="S42" i="1" s="1"/>
  <c r="F42" i="1"/>
  <c r="D42" i="1"/>
  <c r="E42" i="1" s="1"/>
  <c r="C42" i="1"/>
  <c r="B42" i="1"/>
  <c r="W41" i="1"/>
  <c r="T41" i="1" a="1"/>
  <c r="T41" i="1" s="1"/>
  <c r="S41" i="1" a="1"/>
  <c r="S41" i="1" s="1"/>
  <c r="F41" i="1"/>
  <c r="D41" i="1"/>
  <c r="E41" i="1" s="1"/>
  <c r="C41" i="1"/>
  <c r="B41" i="1"/>
  <c r="W40" i="1"/>
  <c r="T40" i="1" a="1"/>
  <c r="T40" i="1" s="1"/>
  <c r="S40" i="1" a="1"/>
  <c r="S40" i="1" s="1"/>
  <c r="F40" i="1"/>
  <c r="D40" i="1"/>
  <c r="E40" i="1" s="1"/>
  <c r="C40" i="1"/>
  <c r="B40" i="1"/>
  <c r="W39" i="1"/>
  <c r="T39" i="1" a="1"/>
  <c r="T39" i="1" s="1"/>
  <c r="S39" i="1" a="1"/>
  <c r="S39" i="1" s="1"/>
  <c r="F39" i="1"/>
  <c r="D39" i="1"/>
  <c r="E39" i="1" s="1"/>
  <c r="C39" i="1"/>
  <c r="B39" i="1"/>
  <c r="W38" i="1"/>
  <c r="T38" i="1" a="1"/>
  <c r="T38" i="1" s="1"/>
  <c r="S38" i="1" a="1"/>
  <c r="S38" i="1" s="1"/>
  <c r="F38" i="1"/>
  <c r="D38" i="1"/>
  <c r="E38" i="1" s="1"/>
  <c r="C38" i="1"/>
  <c r="B38" i="1"/>
  <c r="W37" i="1"/>
  <c r="T37" i="1" a="1"/>
  <c r="T37" i="1" s="1"/>
  <c r="S37" i="1" a="1"/>
  <c r="S37" i="1" s="1"/>
  <c r="F37" i="1"/>
  <c r="D37" i="1"/>
  <c r="E37" i="1" s="1"/>
  <c r="C37" i="1"/>
  <c r="B37" i="1"/>
  <c r="W36" i="1"/>
  <c r="T36" i="1" a="1"/>
  <c r="T36" i="1" s="1"/>
  <c r="S36" i="1" a="1"/>
  <c r="S36" i="1" s="1"/>
  <c r="F36" i="1"/>
  <c r="D36" i="1"/>
  <c r="E36" i="1" s="1"/>
  <c r="C36" i="1"/>
  <c r="B36" i="1"/>
  <c r="W35" i="1"/>
  <c r="T35" i="1" a="1"/>
  <c r="T35" i="1" s="1"/>
  <c r="S35" i="1" a="1"/>
  <c r="S35" i="1" s="1"/>
  <c r="N35" i="1" a="1"/>
  <c r="N35" i="1" s="1"/>
  <c r="F35" i="1"/>
  <c r="D35" i="1"/>
  <c r="E35" i="1" s="1"/>
  <c r="C35" i="1"/>
  <c r="B35" i="1"/>
  <c r="W34" i="1"/>
  <c r="T34" i="1" a="1"/>
  <c r="T34" i="1" s="1"/>
  <c r="S34" i="1" a="1"/>
  <c r="S34" i="1" s="1"/>
  <c r="N34" i="1" a="1"/>
  <c r="N34" i="1" s="1"/>
  <c r="F34" i="1"/>
  <c r="D34" i="1"/>
  <c r="E34" i="1" s="1"/>
  <c r="C34" i="1"/>
  <c r="B34" i="1"/>
  <c r="W33" i="1"/>
  <c r="T33" i="1" a="1"/>
  <c r="T33" i="1" s="1"/>
  <c r="S33" i="1" a="1"/>
  <c r="S33" i="1" s="1"/>
  <c r="N33" i="1" a="1"/>
  <c r="N33" i="1" s="1"/>
  <c r="F33" i="1"/>
  <c r="D33" i="1"/>
  <c r="E33" i="1" s="1"/>
  <c r="C33" i="1"/>
  <c r="B33" i="1"/>
  <c r="W32" i="1"/>
  <c r="T32" i="1" a="1"/>
  <c r="T32" i="1" s="1"/>
  <c r="S32" i="1" a="1"/>
  <c r="S32" i="1" s="1"/>
  <c r="N32" i="1" a="1"/>
  <c r="N32" i="1" s="1"/>
  <c r="F32" i="1"/>
  <c r="D32" i="1"/>
  <c r="E32" i="1" s="1"/>
  <c r="C32" i="1"/>
  <c r="B32" i="1"/>
  <c r="W31" i="1"/>
  <c r="T31" i="1" a="1"/>
  <c r="T31" i="1" s="1"/>
  <c r="S31" i="1" a="1"/>
  <c r="S31" i="1" s="1"/>
  <c r="N31" i="1" a="1"/>
  <c r="N31" i="1" s="1"/>
  <c r="F31" i="1"/>
  <c r="D31" i="1"/>
  <c r="E31" i="1" s="1"/>
  <c r="C31" i="1"/>
  <c r="B31" i="1"/>
  <c r="W30" i="1"/>
  <c r="T30" i="1" a="1"/>
  <c r="T30" i="1" s="1"/>
  <c r="S30" i="1" a="1"/>
  <c r="S30" i="1" s="1"/>
  <c r="N30" i="1" a="1"/>
  <c r="N30" i="1" s="1"/>
  <c r="F30" i="1"/>
  <c r="D30" i="1"/>
  <c r="E30" i="1" s="1"/>
  <c r="C30" i="1"/>
  <c r="B30" i="1"/>
  <c r="W29" i="1"/>
  <c r="T29" i="1" a="1"/>
  <c r="T29" i="1" s="1"/>
  <c r="S29" i="1" a="1"/>
  <c r="S29" i="1" s="1"/>
  <c r="N29" i="1" a="1"/>
  <c r="N29" i="1" s="1"/>
  <c r="F29" i="1"/>
  <c r="D29" i="1"/>
  <c r="E29" i="1" s="1"/>
  <c r="C29" i="1"/>
  <c r="B29" i="1"/>
  <c r="W28" i="1"/>
  <c r="T28" i="1" a="1"/>
  <c r="T28" i="1" s="1"/>
  <c r="S28" i="1" a="1"/>
  <c r="S28" i="1" s="1"/>
  <c r="N28" i="1" a="1"/>
  <c r="N28" i="1" s="1"/>
  <c r="F28" i="1"/>
  <c r="D28" i="1"/>
  <c r="E28" i="1" s="1"/>
  <c r="C28" i="1"/>
  <c r="B28" i="1"/>
  <c r="W27" i="1"/>
  <c r="T27" i="1" a="1"/>
  <c r="T27" i="1" s="1"/>
  <c r="S27" i="1" a="1"/>
  <c r="S27" i="1" s="1"/>
  <c r="N27" i="1" a="1"/>
  <c r="N27" i="1" s="1"/>
  <c r="F27" i="1"/>
  <c r="D27" i="1"/>
  <c r="E27" i="1" s="1"/>
  <c r="C27" i="1"/>
  <c r="B27" i="1"/>
  <c r="W26" i="1"/>
  <c r="T26" i="1" a="1"/>
  <c r="T26" i="1" s="1"/>
  <c r="S26" i="1" a="1"/>
  <c r="S26" i="1" s="1"/>
  <c r="N26" i="1" a="1"/>
  <c r="N26" i="1" s="1"/>
  <c r="F26" i="1"/>
  <c r="D26" i="1"/>
  <c r="E26" i="1" s="1"/>
  <c r="C26" i="1"/>
  <c r="B26" i="1"/>
  <c r="W25" i="1"/>
  <c r="T25" i="1" a="1"/>
  <c r="T25" i="1" s="1"/>
  <c r="S25" i="1" a="1"/>
  <c r="S25" i="1" s="1"/>
  <c r="N25" i="1" a="1"/>
  <c r="N25" i="1" s="1"/>
  <c r="F25" i="1"/>
  <c r="D25" i="1"/>
  <c r="R20" i="1" s="1"/>
  <c r="R3" i="1" s="1"/>
  <c r="C25" i="1"/>
  <c r="B25" i="1"/>
  <c r="W24" i="1"/>
  <c r="T24" i="1" a="1"/>
  <c r="T24" i="1" s="1"/>
  <c r="S24" i="1" a="1"/>
  <c r="S24" i="1" s="1"/>
  <c r="N24" i="1" a="1"/>
  <c r="N24" i="1" s="1"/>
  <c r="F24" i="1"/>
  <c r="D24" i="1"/>
  <c r="E24" i="1" s="1"/>
  <c r="C24" i="1"/>
  <c r="B24" i="1"/>
  <c r="W23" i="1"/>
  <c r="T23" i="1" a="1"/>
  <c r="T23" i="1" s="1"/>
  <c r="S23" i="1" a="1"/>
  <c r="S23" i="1" s="1"/>
  <c r="N23" i="1" a="1"/>
  <c r="N23" i="1" s="1"/>
  <c r="F23" i="1"/>
  <c r="D23" i="1"/>
  <c r="L19" i="1" s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 s="1"/>
  <c r="F6" i="2" s="1"/>
  <c r="N20" i="1"/>
  <c r="L20" i="1"/>
  <c r="L3" i="1" s="1"/>
  <c r="F20" i="1"/>
  <c r="D20" i="1"/>
  <c r="D3" i="1" s="1"/>
  <c r="P19" i="1"/>
  <c r="N19" i="1"/>
  <c r="H19" i="1"/>
  <c r="F19" i="1"/>
  <c r="R15" i="1"/>
  <c r="J15" i="1"/>
  <c r="R11" i="1"/>
  <c r="Q11" i="1"/>
  <c r="O11" i="1"/>
  <c r="N11" i="1"/>
  <c r="M11" i="1"/>
  <c r="L11" i="1"/>
  <c r="K11" i="1"/>
  <c r="J11" i="1"/>
  <c r="I11" i="1"/>
  <c r="G11" i="1"/>
  <c r="F11" i="1"/>
  <c r="E11" i="1"/>
  <c r="D11" i="1"/>
  <c r="C11" i="1"/>
  <c r="A11" i="1"/>
  <c r="S6" i="1"/>
  <c r="A4" i="1"/>
  <c r="N3" i="1"/>
  <c r="F3" i="1"/>
  <c r="A2" i="1"/>
  <c r="F1" i="1"/>
  <c r="V72" i="1" s="1" a="1"/>
  <c r="V72" i="1" s="1"/>
  <c r="E1" i="1"/>
  <c r="S87" i="1" s="1" a="1"/>
  <c r="S87" i="1" s="1"/>
  <c r="D1" i="1"/>
  <c r="C1" i="1"/>
  <c r="B1" i="1"/>
  <c r="A1" i="1"/>
  <c r="N72" i="1" s="1" a="1"/>
  <c r="N72" i="1" s="1"/>
  <c r="Q337" i="1" l="1" a="1"/>
  <c r="Q337" i="1" s="1"/>
  <c r="Q336" i="1" a="1"/>
  <c r="Q336" i="1" s="1"/>
  <c r="Q335" i="1" a="1"/>
  <c r="Q335" i="1" s="1"/>
  <c r="Q334" i="1" a="1"/>
  <c r="Q334" i="1" s="1"/>
  <c r="Q333" i="1" a="1"/>
  <c r="Q333" i="1" s="1"/>
  <c r="Q332" i="1" a="1"/>
  <c r="Q332" i="1" s="1"/>
  <c r="Q331" i="1" a="1"/>
  <c r="Q331" i="1" s="1"/>
  <c r="Q330" i="1" a="1"/>
  <c r="Q330" i="1" s="1"/>
  <c r="Q329" i="1" a="1"/>
  <c r="Q329" i="1" s="1"/>
  <c r="Q328" i="1" a="1"/>
  <c r="Q328" i="1" s="1"/>
  <c r="Q327" i="1" a="1"/>
  <c r="Q327" i="1" s="1"/>
  <c r="Q326" i="1" a="1"/>
  <c r="Q326" i="1" s="1"/>
  <c r="Q325" i="1" a="1"/>
  <c r="Q325" i="1" s="1"/>
  <c r="Q324" i="1" a="1"/>
  <c r="Q324" i="1" s="1"/>
  <c r="Q323" i="1" a="1"/>
  <c r="Q323" i="1" s="1"/>
  <c r="Q322" i="1" a="1"/>
  <c r="Q322" i="1" s="1"/>
  <c r="Q321" i="1" a="1"/>
  <c r="Q321" i="1" s="1"/>
  <c r="Q320" i="1" a="1"/>
  <c r="Q320" i="1" s="1"/>
  <c r="Q319" i="1" a="1"/>
  <c r="Q319" i="1" s="1"/>
  <c r="Q318" i="1" a="1"/>
  <c r="Q318" i="1" s="1"/>
  <c r="Q317" i="1" a="1"/>
  <c r="Q317" i="1" s="1"/>
  <c r="Q316" i="1" a="1"/>
  <c r="Q316" i="1" s="1"/>
  <c r="Q315" i="1" a="1"/>
  <c r="Q315" i="1" s="1"/>
  <c r="Q314" i="1" a="1"/>
  <c r="Q314" i="1" s="1"/>
  <c r="Q313" i="1" a="1"/>
  <c r="Q313" i="1" s="1"/>
  <c r="Q312" i="1" a="1"/>
  <c r="Q312" i="1" s="1"/>
  <c r="Q311" i="1" a="1"/>
  <c r="Q311" i="1" s="1"/>
  <c r="Q310" i="1" a="1"/>
  <c r="Q310" i="1" s="1"/>
  <c r="Q309" i="1" a="1"/>
  <c r="Q309" i="1" s="1"/>
  <c r="Q308" i="1" a="1"/>
  <c r="Q308" i="1" s="1"/>
  <c r="Q307" i="1" a="1"/>
  <c r="Q307" i="1" s="1"/>
  <c r="Q306" i="1" a="1"/>
  <c r="Q306" i="1" s="1"/>
  <c r="Q305" i="1" a="1"/>
  <c r="Q305" i="1" s="1"/>
  <c r="Q304" i="1" a="1"/>
  <c r="Q304" i="1" s="1"/>
  <c r="Q303" i="1" a="1"/>
  <c r="Q303" i="1" s="1"/>
  <c r="Q302" i="1" a="1"/>
  <c r="Q302" i="1" s="1"/>
  <c r="Q301" i="1" a="1"/>
  <c r="Q301" i="1" s="1"/>
  <c r="Q300" i="1" a="1"/>
  <c r="Q300" i="1" s="1"/>
  <c r="Q299" i="1" a="1"/>
  <c r="Q299" i="1" s="1"/>
  <c r="Q298" i="1" a="1"/>
  <c r="Q298" i="1" s="1"/>
  <c r="R337" i="1" a="1"/>
  <c r="R337" i="1" s="1"/>
  <c r="R329" i="1" a="1"/>
  <c r="R329" i="1" s="1"/>
  <c r="R321" i="1" a="1"/>
  <c r="R321" i="1" s="1"/>
  <c r="R313" i="1" a="1"/>
  <c r="R313" i="1" s="1"/>
  <c r="R305" i="1" a="1"/>
  <c r="R305" i="1" s="1"/>
  <c r="R331" i="1" a="1"/>
  <c r="R331" i="1" s="1"/>
  <c r="R323" i="1" a="1"/>
  <c r="R323" i="1" s="1"/>
  <c r="R315" i="1" a="1"/>
  <c r="R315" i="1" s="1"/>
  <c r="R307" i="1" a="1"/>
  <c r="R307" i="1" s="1"/>
  <c r="R299" i="1" a="1"/>
  <c r="R299" i="1" s="1"/>
  <c r="Q294" i="1" a="1"/>
  <c r="Q294" i="1" s="1"/>
  <c r="R292" i="1" a="1"/>
  <c r="R292" i="1" s="1"/>
  <c r="Q286" i="1" a="1"/>
  <c r="Q286" i="1" s="1"/>
  <c r="R284" i="1" a="1"/>
  <c r="R284" i="1" s="1"/>
  <c r="R322" i="1" a="1"/>
  <c r="R322" i="1" s="1"/>
  <c r="R319" i="1" a="1"/>
  <c r="R319" i="1" s="1"/>
  <c r="R309" i="1" a="1"/>
  <c r="R309" i="1" s="1"/>
  <c r="R297" i="1" a="1"/>
  <c r="R297" i="1" s="1"/>
  <c r="Q296" i="1" a="1"/>
  <c r="Q296" i="1" s="1"/>
  <c r="Q292" i="1" a="1"/>
  <c r="Q292" i="1" s="1"/>
  <c r="Q288" i="1" a="1"/>
  <c r="Q288" i="1" s="1"/>
  <c r="R287" i="1" a="1"/>
  <c r="R287" i="1" s="1"/>
  <c r="Q284" i="1" a="1"/>
  <c r="Q284" i="1" s="1"/>
  <c r="Q281" i="1" a="1"/>
  <c r="Q281" i="1" s="1"/>
  <c r="R279" i="1" a="1"/>
  <c r="R279" i="1" s="1"/>
  <c r="Q273" i="1" a="1"/>
  <c r="Q273" i="1" s="1"/>
  <c r="R335" i="1" a="1"/>
  <c r="R335" i="1" s="1"/>
  <c r="R325" i="1" a="1"/>
  <c r="R325" i="1" s="1"/>
  <c r="R330" i="1" a="1"/>
  <c r="R330" i="1" s="1"/>
  <c r="R327" i="1" a="1"/>
  <c r="R327" i="1" s="1"/>
  <c r="R317" i="1" a="1"/>
  <c r="R317" i="1" s="1"/>
  <c r="R302" i="1" a="1"/>
  <c r="R302" i="1" s="1"/>
  <c r="Q295" i="1" a="1"/>
  <c r="Q295" i="1" s="1"/>
  <c r="R326" i="1" a="1"/>
  <c r="R326" i="1" s="1"/>
  <c r="R324" i="1" a="1"/>
  <c r="R324" i="1" s="1"/>
  <c r="R320" i="1" a="1"/>
  <c r="R320" i="1" s="1"/>
  <c r="R316" i="1" a="1"/>
  <c r="R316" i="1" s="1"/>
  <c r="R298" i="1" a="1"/>
  <c r="R298" i="1" s="1"/>
  <c r="R294" i="1" a="1"/>
  <c r="R294" i="1" s="1"/>
  <c r="R291" i="1" a="1"/>
  <c r="R291" i="1" s="1"/>
  <c r="Q290" i="1" a="1"/>
  <c r="Q290" i="1" s="1"/>
  <c r="R282" i="1" a="1"/>
  <c r="R282" i="1" s="1"/>
  <c r="R281" i="1" a="1"/>
  <c r="R281" i="1" s="1"/>
  <c r="Q274" i="1" a="1"/>
  <c r="Q274" i="1" s="1"/>
  <c r="R273" i="1" a="1"/>
  <c r="R273" i="1" s="1"/>
  <c r="Q268" i="1" a="1"/>
  <c r="Q268" i="1" s="1"/>
  <c r="R266" i="1" a="1"/>
  <c r="R266" i="1" s="1"/>
  <c r="Q260" i="1" a="1"/>
  <c r="Q260" i="1" s="1"/>
  <c r="R258" i="1" a="1"/>
  <c r="R258" i="1" s="1"/>
  <c r="Q252" i="1" a="1"/>
  <c r="Q252" i="1" s="1"/>
  <c r="R250" i="1" a="1"/>
  <c r="R250" i="1" s="1"/>
  <c r="Q244" i="1" a="1"/>
  <c r="Q244" i="1" s="1"/>
  <c r="R242" i="1" a="1"/>
  <c r="R242" i="1" s="1"/>
  <c r="Q236" i="1" a="1"/>
  <c r="Q236" i="1" s="1"/>
  <c r="R234" i="1" a="1"/>
  <c r="R234" i="1" s="1"/>
  <c r="R318" i="1" a="1"/>
  <c r="R318" i="1" s="1"/>
  <c r="R312" i="1" a="1"/>
  <c r="R312" i="1" s="1"/>
  <c r="R306" i="1" a="1"/>
  <c r="R306" i="1" s="1"/>
  <c r="R301" i="1" a="1"/>
  <c r="R301" i="1" s="1"/>
  <c r="Q291" i="1" a="1"/>
  <c r="Q291" i="1" s="1"/>
  <c r="R286" i="1" a="1"/>
  <c r="R286" i="1" s="1"/>
  <c r="R285" i="1" a="1"/>
  <c r="R285" i="1" s="1"/>
  <c r="Q282" i="1" a="1"/>
  <c r="Q282" i="1" s="1"/>
  <c r="R280" i="1" a="1"/>
  <c r="R280" i="1" s="1"/>
  <c r="R272" i="1" a="1"/>
  <c r="R272" i="1" s="1"/>
  <c r="Q266" i="1" a="1"/>
  <c r="Q266" i="1" s="1"/>
  <c r="R264" i="1" a="1"/>
  <c r="R264" i="1" s="1"/>
  <c r="Q258" i="1" a="1"/>
  <c r="Q258" i="1" s="1"/>
  <c r="R256" i="1" a="1"/>
  <c r="R256" i="1" s="1"/>
  <c r="Q250" i="1" a="1"/>
  <c r="Q250" i="1" s="1"/>
  <c r="R248" i="1" a="1"/>
  <c r="R248" i="1" s="1"/>
  <c r="Q242" i="1" a="1"/>
  <c r="Q242" i="1" s="1"/>
  <c r="R240" i="1" a="1"/>
  <c r="R240" i="1" s="1"/>
  <c r="Q234" i="1" a="1"/>
  <c r="Q234" i="1" s="1"/>
  <c r="R336" i="1" a="1"/>
  <c r="R336" i="1" s="1"/>
  <c r="R334" i="1" a="1"/>
  <c r="R334" i="1" s="1"/>
  <c r="R333" i="1" a="1"/>
  <c r="R333" i="1" s="1"/>
  <c r="R332" i="1" a="1"/>
  <c r="R332" i="1" s="1"/>
  <c r="R314" i="1" a="1"/>
  <c r="R314" i="1" s="1"/>
  <c r="R308" i="1" a="1"/>
  <c r="R308" i="1" s="1"/>
  <c r="R304" i="1" a="1"/>
  <c r="R304" i="1" s="1"/>
  <c r="R300" i="1" a="1"/>
  <c r="R300" i="1" s="1"/>
  <c r="Q297" i="1" a="1"/>
  <c r="Q297" i="1" s="1"/>
  <c r="R288" i="1" a="1"/>
  <c r="R288" i="1" s="1"/>
  <c r="Q283" i="1" a="1"/>
  <c r="Q283" i="1" s="1"/>
  <c r="Q277" i="1" a="1"/>
  <c r="Q277" i="1" s="1"/>
  <c r="R276" i="1" a="1"/>
  <c r="R276" i="1" s="1"/>
  <c r="Q269" i="1" a="1"/>
  <c r="Q269" i="1" s="1"/>
  <c r="Q287" i="1" a="1"/>
  <c r="Q287" i="1" s="1"/>
  <c r="Q285" i="1" a="1"/>
  <c r="Q285" i="1" s="1"/>
  <c r="Q280" i="1" a="1"/>
  <c r="Q280" i="1" s="1"/>
  <c r="Q276" i="1" a="1"/>
  <c r="Q276" i="1" s="1"/>
  <c r="R275" i="1" a="1"/>
  <c r="R275" i="1" s="1"/>
  <c r="R311" i="1" a="1"/>
  <c r="R311" i="1" s="1"/>
  <c r="R296" i="1" a="1"/>
  <c r="R296" i="1" s="1"/>
  <c r="R289" i="1" a="1"/>
  <c r="R289" i="1" s="1"/>
  <c r="Q267" i="1" a="1"/>
  <c r="Q267" i="1" s="1"/>
  <c r="R265" i="1" a="1"/>
  <c r="R265" i="1" s="1"/>
  <c r="R303" i="1" a="1"/>
  <c r="R303" i="1" s="1"/>
  <c r="R293" i="1" a="1"/>
  <c r="R293" i="1" s="1"/>
  <c r="R290" i="1" a="1"/>
  <c r="R290" i="1" s="1"/>
  <c r="Q289" i="1" a="1"/>
  <c r="Q289" i="1" s="1"/>
  <c r="Q279" i="1" a="1"/>
  <c r="Q279" i="1" s="1"/>
  <c r="R328" i="1" a="1"/>
  <c r="R328" i="1" s="1"/>
  <c r="R310" i="1" a="1"/>
  <c r="R310" i="1" s="1"/>
  <c r="R295" i="1" a="1"/>
  <c r="R295" i="1" s="1"/>
  <c r="Q293" i="1" a="1"/>
  <c r="Q293" i="1" s="1"/>
  <c r="R278" i="1" a="1"/>
  <c r="R278" i="1" s="1"/>
  <c r="R271" i="1" a="1"/>
  <c r="R271" i="1" s="1"/>
  <c r="Q265" i="1" a="1"/>
  <c r="Q265" i="1" s="1"/>
  <c r="Q272" i="1" a="1"/>
  <c r="Q272" i="1" s="1"/>
  <c r="R269" i="1" a="1"/>
  <c r="R269" i="1" s="1"/>
  <c r="R260" i="1" a="1"/>
  <c r="R260" i="1" s="1"/>
  <c r="Q257" i="1" a="1"/>
  <c r="Q257" i="1" s="1"/>
  <c r="R252" i="1" a="1"/>
  <c r="R252" i="1" s="1"/>
  <c r="Q249" i="1" a="1"/>
  <c r="Q249" i="1" s="1"/>
  <c r="R244" i="1" a="1"/>
  <c r="R244" i="1" s="1"/>
  <c r="Q241" i="1" a="1"/>
  <c r="Q241" i="1" s="1"/>
  <c r="R236" i="1" a="1"/>
  <c r="R236" i="1" s="1"/>
  <c r="Q233" i="1" a="1"/>
  <c r="Q233" i="1" s="1"/>
  <c r="R231" i="1" a="1"/>
  <c r="R231" i="1" s="1"/>
  <c r="Q225" i="1" a="1"/>
  <c r="Q225" i="1" s="1"/>
  <c r="R223" i="1" a="1"/>
  <c r="R223" i="1" s="1"/>
  <c r="R274" i="1" a="1"/>
  <c r="R274" i="1" s="1"/>
  <c r="R262" i="1" a="1"/>
  <c r="R262" i="1" s="1"/>
  <c r="Q259" i="1" a="1"/>
  <c r="Q259" i="1" s="1"/>
  <c r="Q251" i="1" a="1"/>
  <c r="Q251" i="1" s="1"/>
  <c r="Q243" i="1" a="1"/>
  <c r="Q243" i="1" s="1"/>
  <c r="Q235" i="1" a="1"/>
  <c r="Q235" i="1" s="1"/>
  <c r="Q232" i="1" a="1"/>
  <c r="Q232" i="1" s="1"/>
  <c r="R230" i="1" a="1"/>
  <c r="R230" i="1" s="1"/>
  <c r="Q224" i="1" a="1"/>
  <c r="Q224" i="1" s="1"/>
  <c r="R222" i="1" a="1"/>
  <c r="R222" i="1" s="1"/>
  <c r="Q216" i="1" a="1"/>
  <c r="Q216" i="1" s="1"/>
  <c r="R214" i="1" a="1"/>
  <c r="R214" i="1" s="1"/>
  <c r="Q208" i="1" a="1"/>
  <c r="Q208" i="1" s="1"/>
  <c r="R207" i="1" a="1"/>
  <c r="R207" i="1" s="1"/>
  <c r="Q201" i="1" a="1"/>
  <c r="Q201" i="1" s="1"/>
  <c r="Q262" i="1" a="1"/>
  <c r="Q262" i="1" s="1"/>
  <c r="R253" i="1" a="1"/>
  <c r="R253" i="1" s="1"/>
  <c r="R283" i="1" a="1"/>
  <c r="R283" i="1" s="1"/>
  <c r="Q278" i="1" a="1"/>
  <c r="Q278" i="1" s="1"/>
  <c r="R277" i="1" a="1"/>
  <c r="R277" i="1" s="1"/>
  <c r="R270" i="1" a="1"/>
  <c r="R270" i="1" s="1"/>
  <c r="R254" i="1" a="1"/>
  <c r="R254" i="1" s="1"/>
  <c r="Q253" i="1" a="1"/>
  <c r="Q253" i="1" s="1"/>
  <c r="R246" i="1" a="1"/>
  <c r="R246" i="1" s="1"/>
  <c r="Q245" i="1" a="1"/>
  <c r="Q245" i="1" s="1"/>
  <c r="R238" i="1" a="1"/>
  <c r="R238" i="1" s="1"/>
  <c r="Q237" i="1" a="1"/>
  <c r="Q237" i="1" s="1"/>
  <c r="Q230" i="1" a="1"/>
  <c r="Q230" i="1" s="1"/>
  <c r="R228" i="1" a="1"/>
  <c r="R228" i="1" s="1"/>
  <c r="Q270" i="1" a="1"/>
  <c r="Q270" i="1" s="1"/>
  <c r="Q264" i="1" a="1"/>
  <c r="Q264" i="1" s="1"/>
  <c r="R261" i="1" a="1"/>
  <c r="R261" i="1" s="1"/>
  <c r="Q229" i="1" a="1"/>
  <c r="Q229" i="1" s="1"/>
  <c r="R227" i="1" a="1"/>
  <c r="R227" i="1" s="1"/>
  <c r="Q221" i="1" a="1"/>
  <c r="Q221" i="1" s="1"/>
  <c r="R219" i="1" a="1"/>
  <c r="R219" i="1" s="1"/>
  <c r="Q213" i="1" a="1"/>
  <c r="Q213" i="1" s="1"/>
  <c r="R211" i="1" a="1"/>
  <c r="R211" i="1" s="1"/>
  <c r="Q202" i="1" a="1"/>
  <c r="Q202" i="1" s="1"/>
  <c r="R268" i="1" a="1"/>
  <c r="R268" i="1" s="1"/>
  <c r="R267" i="1" a="1"/>
  <c r="R267" i="1" s="1"/>
  <c r="Q261" i="1" a="1"/>
  <c r="Q261" i="1" s="1"/>
  <c r="R255" i="1" a="1"/>
  <c r="R255" i="1" s="1"/>
  <c r="Q254" i="1" a="1"/>
  <c r="Q254" i="1" s="1"/>
  <c r="R247" i="1" a="1"/>
  <c r="R247" i="1" s="1"/>
  <c r="Q246" i="1" a="1"/>
  <c r="Q246" i="1" s="1"/>
  <c r="R239" i="1" a="1"/>
  <c r="R239" i="1" s="1"/>
  <c r="Q238" i="1" a="1"/>
  <c r="Q238" i="1" s="1"/>
  <c r="Q228" i="1" a="1"/>
  <c r="Q228" i="1" s="1"/>
  <c r="R226" i="1" a="1"/>
  <c r="R226" i="1" s="1"/>
  <c r="Q220" i="1" a="1"/>
  <c r="Q220" i="1" s="1"/>
  <c r="R218" i="1" a="1"/>
  <c r="R218" i="1" s="1"/>
  <c r="Q212" i="1" a="1"/>
  <c r="Q212" i="1" s="1"/>
  <c r="R210" i="1" a="1"/>
  <c r="R210" i="1" s="1"/>
  <c r="Q205" i="1" a="1"/>
  <c r="Q205" i="1" s="1"/>
  <c r="R203" i="1" a="1"/>
  <c r="R203" i="1" s="1"/>
  <c r="Q271" i="1" a="1"/>
  <c r="Q271" i="1" s="1"/>
  <c r="R263" i="1" a="1"/>
  <c r="R263" i="1" s="1"/>
  <c r="R257" i="1" a="1"/>
  <c r="R257" i="1" s="1"/>
  <c r="Q255" i="1" a="1"/>
  <c r="Q255" i="1" s="1"/>
  <c r="R249" i="1" a="1"/>
  <c r="R249" i="1" s="1"/>
  <c r="Q275" i="1" a="1"/>
  <c r="Q275" i="1" s="1"/>
  <c r="Q263" i="1" a="1"/>
  <c r="Q263" i="1" s="1"/>
  <c r="R259" i="1" a="1"/>
  <c r="R259" i="1" s="1"/>
  <c r="Q256" i="1" a="1"/>
  <c r="Q256" i="1" s="1"/>
  <c r="R251" i="1" a="1"/>
  <c r="R251" i="1" s="1"/>
  <c r="Q248" i="1" a="1"/>
  <c r="Q248" i="1" s="1"/>
  <c r="R243" i="1" a="1"/>
  <c r="R243" i="1" s="1"/>
  <c r="Q240" i="1" a="1"/>
  <c r="Q240" i="1" s="1"/>
  <c r="R235" i="1" a="1"/>
  <c r="R235" i="1" s="1"/>
  <c r="R232" i="1" a="1"/>
  <c r="R232" i="1" s="1"/>
  <c r="Q239" i="1" a="1"/>
  <c r="Q239" i="1" s="1"/>
  <c r="Q223" i="1" a="1"/>
  <c r="Q223" i="1" s="1"/>
  <c r="R199" i="1" a="1"/>
  <c r="R199" i="1" s="1"/>
  <c r="Q193" i="1" a="1"/>
  <c r="Q193" i="1" s="1"/>
  <c r="R191" i="1" a="1"/>
  <c r="R191" i="1" s="1"/>
  <c r="Q185" i="1" a="1"/>
  <c r="Q185" i="1" s="1"/>
  <c r="R183" i="1" a="1"/>
  <c r="R183" i="1" s="1"/>
  <c r="Q177" i="1" a="1"/>
  <c r="Q177" i="1" s="1"/>
  <c r="R175" i="1" a="1"/>
  <c r="R175" i="1" s="1"/>
  <c r="Q169" i="1" a="1"/>
  <c r="Q169" i="1" s="1"/>
  <c r="R167" i="1" a="1"/>
  <c r="R167" i="1" s="1"/>
  <c r="Q161" i="1" a="1"/>
  <c r="Q161" i="1" s="1"/>
  <c r="R159" i="1" a="1"/>
  <c r="R159" i="1" s="1"/>
  <c r="Q153" i="1" a="1"/>
  <c r="Q153" i="1" s="1"/>
  <c r="Q226" i="1" a="1"/>
  <c r="Q226" i="1" s="1"/>
  <c r="R224" i="1" a="1"/>
  <c r="R224" i="1" s="1"/>
  <c r="R215" i="1" a="1"/>
  <c r="R215" i="1" s="1"/>
  <c r="Q210" i="1" a="1"/>
  <c r="Q210" i="1" s="1"/>
  <c r="R209" i="1" a="1"/>
  <c r="R209" i="1" s="1"/>
  <c r="Q196" i="1" a="1"/>
  <c r="Q196" i="1" s="1"/>
  <c r="R194" i="1" a="1"/>
  <c r="R194" i="1" s="1"/>
  <c r="Q188" i="1" a="1"/>
  <c r="Q188" i="1" s="1"/>
  <c r="R186" i="1" a="1"/>
  <c r="R186" i="1" s="1"/>
  <c r="Q180" i="1" a="1"/>
  <c r="Q180" i="1" s="1"/>
  <c r="R178" i="1" a="1"/>
  <c r="R178" i="1" s="1"/>
  <c r="Q172" i="1" a="1"/>
  <c r="Q172" i="1" s="1"/>
  <c r="Q231" i="1" a="1"/>
  <c r="Q231" i="1" s="1"/>
  <c r="Q215" i="1" a="1"/>
  <c r="Q215" i="1" s="1"/>
  <c r="R213" i="1" a="1"/>
  <c r="R213" i="1" s="1"/>
  <c r="R206" i="1" a="1"/>
  <c r="R206" i="1" s="1"/>
  <c r="R204" i="1" a="1"/>
  <c r="R204" i="1" s="1"/>
  <c r="R202" i="1" a="1"/>
  <c r="R202" i="1" s="1"/>
  <c r="Q199" i="1" a="1"/>
  <c r="Q199" i="1" s="1"/>
  <c r="R197" i="1" a="1"/>
  <c r="R197" i="1" s="1"/>
  <c r="Q191" i="1" a="1"/>
  <c r="Q191" i="1" s="1"/>
  <c r="R189" i="1" a="1"/>
  <c r="R189" i="1" s="1"/>
  <c r="Q183" i="1" a="1"/>
  <c r="Q183" i="1" s="1"/>
  <c r="R181" i="1" a="1"/>
  <c r="R181" i="1" s="1"/>
  <c r="Q175" i="1" a="1"/>
  <c r="Q175" i="1" s="1"/>
  <c r="R173" i="1" a="1"/>
  <c r="R173" i="1" s="1"/>
  <c r="Q167" i="1" a="1"/>
  <c r="Q167" i="1" s="1"/>
  <c r="R165" i="1" a="1"/>
  <c r="R165" i="1" s="1"/>
  <c r="Q159" i="1" a="1"/>
  <c r="Q159" i="1" s="1"/>
  <c r="R245" i="1" a="1"/>
  <c r="R245" i="1" s="1"/>
  <c r="Q214" i="1" a="1"/>
  <c r="Q214" i="1" s="1"/>
  <c r="Q209" i="1" a="1"/>
  <c r="Q209" i="1" s="1"/>
  <c r="R208" i="1" a="1"/>
  <c r="R208" i="1" s="1"/>
  <c r="Q204" i="1" a="1"/>
  <c r="Q204" i="1" s="1"/>
  <c r="Q194" i="1" a="1"/>
  <c r="Q194" i="1" s="1"/>
  <c r="R192" i="1" a="1"/>
  <c r="R192" i="1" s="1"/>
  <c r="Q186" i="1" a="1"/>
  <c r="Q186" i="1" s="1"/>
  <c r="R184" i="1" a="1"/>
  <c r="R184" i="1" s="1"/>
  <c r="Q178" i="1" a="1"/>
  <c r="Q178" i="1" s="1"/>
  <c r="R176" i="1" a="1"/>
  <c r="R176" i="1" s="1"/>
  <c r="Q170" i="1" a="1"/>
  <c r="Q170" i="1" s="1"/>
  <c r="R168" i="1" a="1"/>
  <c r="R168" i="1" s="1"/>
  <c r="Q162" i="1" a="1"/>
  <c r="Q162" i="1" s="1"/>
  <c r="R160" i="1" a="1"/>
  <c r="R160" i="1" s="1"/>
  <c r="Q154" i="1" a="1"/>
  <c r="Q154" i="1" s="1"/>
  <c r="R152" i="1" a="1"/>
  <c r="R152" i="1" s="1"/>
  <c r="Q146" i="1" a="1"/>
  <c r="Q146" i="1" s="1"/>
  <c r="R241" i="1" a="1"/>
  <c r="R241" i="1" s="1"/>
  <c r="R237" i="1" a="1"/>
  <c r="R237" i="1" s="1"/>
  <c r="Q227" i="1" a="1"/>
  <c r="Q227" i="1" s="1"/>
  <c r="R225" i="1" a="1"/>
  <c r="R225" i="1" s="1"/>
  <c r="R221" i="1" a="1"/>
  <c r="R221" i="1" s="1"/>
  <c r="R220" i="1" a="1"/>
  <c r="R220" i="1" s="1"/>
  <c r="Q219" i="1" a="1"/>
  <c r="Q219" i="1" s="1"/>
  <c r="R212" i="1" a="1"/>
  <c r="R212" i="1" s="1"/>
  <c r="Q206" i="1" a="1"/>
  <c r="Q206" i="1" s="1"/>
  <c r="R200" i="1" a="1"/>
  <c r="R200" i="1" s="1"/>
  <c r="Q197" i="1" a="1"/>
  <c r="Q197" i="1" s="1"/>
  <c r="R195" i="1" a="1"/>
  <c r="R195" i="1" s="1"/>
  <c r="Q189" i="1" a="1"/>
  <c r="Q189" i="1" s="1"/>
  <c r="R187" i="1" a="1"/>
  <c r="R187" i="1" s="1"/>
  <c r="Q181" i="1" a="1"/>
  <c r="Q181" i="1" s="1"/>
  <c r="R179" i="1" a="1"/>
  <c r="R179" i="1" s="1"/>
  <c r="Q173" i="1" a="1"/>
  <c r="Q173" i="1" s="1"/>
  <c r="R171" i="1" a="1"/>
  <c r="R171" i="1" s="1"/>
  <c r="Q165" i="1" a="1"/>
  <c r="Q165" i="1" s="1"/>
  <c r="R163" i="1" a="1"/>
  <c r="R163" i="1" s="1"/>
  <c r="R233" i="1" a="1"/>
  <c r="R233" i="1" s="1"/>
  <c r="R229" i="1" a="1"/>
  <c r="R229" i="1" s="1"/>
  <c r="Q218" i="1" a="1"/>
  <c r="Q218" i="1" s="1"/>
  <c r="R217" i="1" a="1"/>
  <c r="R217" i="1" s="1"/>
  <c r="R198" i="1" a="1"/>
  <c r="R198" i="1" s="1"/>
  <c r="Q192" i="1" a="1"/>
  <c r="Q192" i="1" s="1"/>
  <c r="R190" i="1" a="1"/>
  <c r="R190" i="1" s="1"/>
  <c r="Q184" i="1" a="1"/>
  <c r="Q184" i="1" s="1"/>
  <c r="R182" i="1" a="1"/>
  <c r="R182" i="1" s="1"/>
  <c r="Q247" i="1" a="1"/>
  <c r="Q247" i="1" s="1"/>
  <c r="Q217" i="1" a="1"/>
  <c r="Q217" i="1" s="1"/>
  <c r="Q211" i="1" a="1"/>
  <c r="Q211" i="1" s="1"/>
  <c r="R205" i="1" a="1"/>
  <c r="R205" i="1" s="1"/>
  <c r="R196" i="1" a="1"/>
  <c r="R196" i="1" s="1"/>
  <c r="R174" i="1" a="1"/>
  <c r="R174" i="1" s="1"/>
  <c r="R154" i="1" a="1"/>
  <c r="R154" i="1" s="1"/>
  <c r="Q152" i="1" a="1"/>
  <c r="Q152" i="1" s="1"/>
  <c r="R151" i="1" a="1"/>
  <c r="R151" i="1" s="1"/>
  <c r="Q141" i="1" a="1"/>
  <c r="Q141" i="1" s="1"/>
  <c r="R139" i="1" a="1"/>
  <c r="R139" i="1" s="1"/>
  <c r="Q133" i="1" a="1"/>
  <c r="Q133" i="1" s="1"/>
  <c r="R131" i="1" a="1"/>
  <c r="R131" i="1" s="1"/>
  <c r="Q125" i="1" a="1"/>
  <c r="Q125" i="1" s="1"/>
  <c r="R123" i="1" a="1"/>
  <c r="R123" i="1" s="1"/>
  <c r="Q117" i="1" a="1"/>
  <c r="Q117" i="1" s="1"/>
  <c r="R115" i="1" a="1"/>
  <c r="R115" i="1" s="1"/>
  <c r="Q114" i="1" a="1"/>
  <c r="Q114" i="1" s="1"/>
  <c r="Q113" i="1" a="1"/>
  <c r="Q113" i="1" s="1"/>
  <c r="Q112" i="1" a="1"/>
  <c r="Q112" i="1" s="1"/>
  <c r="Q111" i="1" a="1"/>
  <c r="Q111" i="1" s="1"/>
  <c r="Q110" i="1" a="1"/>
  <c r="Q110" i="1" s="1"/>
  <c r="R193" i="1" a="1"/>
  <c r="R193" i="1" s="1"/>
  <c r="Q182" i="1" a="1"/>
  <c r="Q182" i="1" s="1"/>
  <c r="Q179" i="1" a="1"/>
  <c r="Q179" i="1" s="1"/>
  <c r="Q166" i="1" a="1"/>
  <c r="Q166" i="1" s="1"/>
  <c r="R164" i="1" a="1"/>
  <c r="R164" i="1" s="1"/>
  <c r="Q158" i="1" a="1"/>
  <c r="Q158" i="1" s="1"/>
  <c r="R155" i="1" a="1"/>
  <c r="R155" i="1" s="1"/>
  <c r="Q147" i="1" a="1"/>
  <c r="Q147" i="1" s="1"/>
  <c r="R146" i="1" a="1"/>
  <c r="R146" i="1" s="1"/>
  <c r="Q144" i="1" a="1"/>
  <c r="Q144" i="1" s="1"/>
  <c r="R142" i="1" a="1"/>
  <c r="R142" i="1" s="1"/>
  <c r="Q136" i="1" a="1"/>
  <c r="Q136" i="1" s="1"/>
  <c r="R134" i="1" a="1"/>
  <c r="R134" i="1" s="1"/>
  <c r="Q128" i="1" a="1"/>
  <c r="Q128" i="1" s="1"/>
  <c r="Q222" i="1" a="1"/>
  <c r="Q222" i="1" s="1"/>
  <c r="Q207" i="1" a="1"/>
  <c r="Q207" i="1" s="1"/>
  <c r="Q200" i="1" a="1"/>
  <c r="Q200" i="1" s="1"/>
  <c r="R180" i="1" a="1"/>
  <c r="R180" i="1" s="1"/>
  <c r="Q174" i="1" a="1"/>
  <c r="Q174" i="1" s="1"/>
  <c r="R170" i="1" a="1"/>
  <c r="R170" i="1" s="1"/>
  <c r="Q164" i="1" a="1"/>
  <c r="Q164" i="1" s="1"/>
  <c r="Q151" i="1" a="1"/>
  <c r="Q151" i="1" s="1"/>
  <c r="R150" i="1" a="1"/>
  <c r="R150" i="1" s="1"/>
  <c r="Q139" i="1" a="1"/>
  <c r="Q139" i="1" s="1"/>
  <c r="R137" i="1" a="1"/>
  <c r="R137" i="1" s="1"/>
  <c r="Q131" i="1" a="1"/>
  <c r="Q131" i="1" s="1"/>
  <c r="Q198" i="1" a="1"/>
  <c r="Q198" i="1" s="1"/>
  <c r="Q195" i="1" a="1"/>
  <c r="Q195" i="1" s="1"/>
  <c r="R188" i="1" a="1"/>
  <c r="R188" i="1" s="1"/>
  <c r="Q171" i="1" a="1"/>
  <c r="Q171" i="1" s="1"/>
  <c r="R169" i="1" a="1"/>
  <c r="R169" i="1" s="1"/>
  <c r="Q163" i="1" a="1"/>
  <c r="Q163" i="1" s="1"/>
  <c r="R162" i="1" a="1"/>
  <c r="R162" i="1" s="1"/>
  <c r="R156" i="1" a="1"/>
  <c r="R156" i="1" s="1"/>
  <c r="Q155" i="1" a="1"/>
  <c r="Q155" i="1" s="1"/>
  <c r="R145" i="1" a="1"/>
  <c r="R145" i="1" s="1"/>
  <c r="Q142" i="1" a="1"/>
  <c r="Q142" i="1" s="1"/>
  <c r="R140" i="1" a="1"/>
  <c r="R140" i="1" s="1"/>
  <c r="Q134" i="1" a="1"/>
  <c r="Q134" i="1" s="1"/>
  <c r="R132" i="1" a="1"/>
  <c r="R132" i="1" s="1"/>
  <c r="Q126" i="1" a="1"/>
  <c r="Q126" i="1" s="1"/>
  <c r="R124" i="1" a="1"/>
  <c r="R124" i="1" s="1"/>
  <c r="Q118" i="1" a="1"/>
  <c r="Q118" i="1" s="1"/>
  <c r="R116" i="1" a="1"/>
  <c r="R116" i="1" s="1"/>
  <c r="Q203" i="1" a="1"/>
  <c r="Q203" i="1" s="1"/>
  <c r="R185" i="1" a="1"/>
  <c r="R185" i="1" s="1"/>
  <c r="Q176" i="1" a="1"/>
  <c r="Q176" i="1" s="1"/>
  <c r="R172" i="1" a="1"/>
  <c r="R172" i="1" s="1"/>
  <c r="R161" i="1" a="1"/>
  <c r="R161" i="1" s="1"/>
  <c r="Q156" i="1" a="1"/>
  <c r="Q156" i="1" s="1"/>
  <c r="Q150" i="1" a="1"/>
  <c r="Q150" i="1" s="1"/>
  <c r="R149" i="1" a="1"/>
  <c r="R149" i="1" s="1"/>
  <c r="R143" i="1" a="1"/>
  <c r="R143" i="1" s="1"/>
  <c r="Q137" i="1" a="1"/>
  <c r="Q137" i="1" s="1"/>
  <c r="R135" i="1" a="1"/>
  <c r="R135" i="1" s="1"/>
  <c r="Q129" i="1" a="1"/>
  <c r="Q129" i="1" s="1"/>
  <c r="R177" i="1" a="1"/>
  <c r="R177" i="1" s="1"/>
  <c r="Q168" i="1" a="1"/>
  <c r="Q168" i="1" s="1"/>
  <c r="R157" i="1" a="1"/>
  <c r="R157" i="1" s="1"/>
  <c r="Q149" i="1" a="1"/>
  <c r="Q149" i="1" s="1"/>
  <c r="R148" i="1" a="1"/>
  <c r="R148" i="1" s="1"/>
  <c r="Q145" i="1" a="1"/>
  <c r="Q145" i="1" s="1"/>
  <c r="Q140" i="1" a="1"/>
  <c r="Q140" i="1" s="1"/>
  <c r="R138" i="1" a="1"/>
  <c r="R138" i="1" s="1"/>
  <c r="Q132" i="1" a="1"/>
  <c r="Q132" i="1" s="1"/>
  <c r="R216" i="1" a="1"/>
  <c r="R216" i="1" s="1"/>
  <c r="Q190" i="1" a="1"/>
  <c r="Q190" i="1" s="1"/>
  <c r="Q187" i="1" a="1"/>
  <c r="Q187" i="1" s="1"/>
  <c r="Q157" i="1" a="1"/>
  <c r="Q157" i="1" s="1"/>
  <c r="Q143" i="1" a="1"/>
  <c r="Q143" i="1" s="1"/>
  <c r="R201" i="1" a="1"/>
  <c r="R201" i="1" s="1"/>
  <c r="R166" i="1" a="1"/>
  <c r="R166" i="1" s="1"/>
  <c r="Q160" i="1" a="1"/>
  <c r="Q160" i="1" s="1"/>
  <c r="R158" i="1" a="1"/>
  <c r="R158" i="1" s="1"/>
  <c r="R153" i="1" a="1"/>
  <c r="R153" i="1" s="1"/>
  <c r="Q148" i="1" a="1"/>
  <c r="Q148" i="1" s="1"/>
  <c r="R147" i="1" a="1"/>
  <c r="R147" i="1" s="1"/>
  <c r="R144" i="1" a="1"/>
  <c r="R144" i="1" s="1"/>
  <c r="Q138" i="1" a="1"/>
  <c r="Q138" i="1" s="1"/>
  <c r="R136" i="1" a="1"/>
  <c r="R136" i="1" s="1"/>
  <c r="Q130" i="1" a="1"/>
  <c r="Q130" i="1" s="1"/>
  <c r="R122" i="1" a="1"/>
  <c r="R122" i="1" s="1"/>
  <c r="Q121" i="1" a="1"/>
  <c r="Q121" i="1" s="1"/>
  <c r="R108" i="1" a="1"/>
  <c r="R108" i="1" s="1"/>
  <c r="Q102" i="1" a="1"/>
  <c r="Q102" i="1" s="1"/>
  <c r="R100" i="1" a="1"/>
  <c r="R100" i="1" s="1"/>
  <c r="Q94" i="1" a="1"/>
  <c r="Q94" i="1" s="1"/>
  <c r="R92" i="1" a="1"/>
  <c r="R92" i="1" s="1"/>
  <c r="Q86" i="1" a="1"/>
  <c r="Q86" i="1" s="1"/>
  <c r="R84" i="1" a="1"/>
  <c r="R84" i="1" s="1"/>
  <c r="Q78" i="1" a="1"/>
  <c r="Q78" i="1" s="1"/>
  <c r="R76" i="1" a="1"/>
  <c r="R76" i="1" s="1"/>
  <c r="Q70" i="1" a="1"/>
  <c r="Q70" i="1" s="1"/>
  <c r="R125" i="1" a="1"/>
  <c r="R125" i="1" s="1"/>
  <c r="R117" i="1" a="1"/>
  <c r="R117" i="1" s="1"/>
  <c r="R114" i="1" a="1"/>
  <c r="R114" i="1" s="1"/>
  <c r="R110" i="1" a="1"/>
  <c r="R110" i="1" s="1"/>
  <c r="Q105" i="1" a="1"/>
  <c r="Q105" i="1" s="1"/>
  <c r="R103" i="1" a="1"/>
  <c r="R103" i="1" s="1"/>
  <c r="Q97" i="1" a="1"/>
  <c r="Q97" i="1" s="1"/>
  <c r="R95" i="1" a="1"/>
  <c r="R95" i="1" s="1"/>
  <c r="Q89" i="1" a="1"/>
  <c r="Q89" i="1" s="1"/>
  <c r="R87" i="1" a="1"/>
  <c r="R87" i="1" s="1"/>
  <c r="Q81" i="1" a="1"/>
  <c r="Q81" i="1" s="1"/>
  <c r="R141" i="1" a="1"/>
  <c r="R141" i="1" s="1"/>
  <c r="R130" i="1" a="1"/>
  <c r="R130" i="1" s="1"/>
  <c r="R126" i="1" a="1"/>
  <c r="R126" i="1" s="1"/>
  <c r="Q124" i="1" a="1"/>
  <c r="Q124" i="1" s="1"/>
  <c r="Q123" i="1" a="1"/>
  <c r="Q123" i="1" s="1"/>
  <c r="Q122" i="1" a="1"/>
  <c r="Q122" i="1" s="1"/>
  <c r="R118" i="1" a="1"/>
  <c r="R118" i="1" s="1"/>
  <c r="Q116" i="1" a="1"/>
  <c r="Q116" i="1" s="1"/>
  <c r="Q115" i="1" a="1"/>
  <c r="Q115" i="1" s="1"/>
  <c r="Q108" i="1" a="1"/>
  <c r="Q108" i="1" s="1"/>
  <c r="R106" i="1" a="1"/>
  <c r="R106" i="1" s="1"/>
  <c r="Q100" i="1" a="1"/>
  <c r="Q100" i="1" s="1"/>
  <c r="R98" i="1" a="1"/>
  <c r="R98" i="1" s="1"/>
  <c r="Q92" i="1" a="1"/>
  <c r="Q92" i="1" s="1"/>
  <c r="R90" i="1" a="1"/>
  <c r="R90" i="1" s="1"/>
  <c r="Q84" i="1" a="1"/>
  <c r="Q84" i="1" s="1"/>
  <c r="R82" i="1" a="1"/>
  <c r="R82" i="1" s="1"/>
  <c r="Q76" i="1" a="1"/>
  <c r="Q76" i="1" s="1"/>
  <c r="R74" i="1" a="1"/>
  <c r="R74" i="1" s="1"/>
  <c r="Q68" i="1" a="1"/>
  <c r="Q68" i="1" s="1"/>
  <c r="R66" i="1" a="1"/>
  <c r="R66" i="1" s="1"/>
  <c r="Q60" i="1" a="1"/>
  <c r="Q60" i="1" s="1"/>
  <c r="R127" i="1" a="1"/>
  <c r="R127" i="1" s="1"/>
  <c r="R119" i="1" a="1"/>
  <c r="R119" i="1" s="1"/>
  <c r="R113" i="1" a="1"/>
  <c r="R113" i="1" s="1"/>
  <c r="R109" i="1" a="1"/>
  <c r="R109" i="1" s="1"/>
  <c r="Q103" i="1" a="1"/>
  <c r="Q103" i="1" s="1"/>
  <c r="R101" i="1" a="1"/>
  <c r="R101" i="1" s="1"/>
  <c r="Q95" i="1" a="1"/>
  <c r="Q95" i="1" s="1"/>
  <c r="R93" i="1" a="1"/>
  <c r="R93" i="1" s="1"/>
  <c r="Q87" i="1" a="1"/>
  <c r="Q87" i="1" s="1"/>
  <c r="R85" i="1" a="1"/>
  <c r="R85" i="1" s="1"/>
  <c r="Q79" i="1" a="1"/>
  <c r="Q79" i="1" s="1"/>
  <c r="R77" i="1" a="1"/>
  <c r="R77" i="1" s="1"/>
  <c r="Q71" i="1" a="1"/>
  <c r="Q71" i="1" s="1"/>
  <c r="Q106" i="1" a="1"/>
  <c r="Q106" i="1" s="1"/>
  <c r="R104" i="1" a="1"/>
  <c r="R104" i="1" s="1"/>
  <c r="Q98" i="1" a="1"/>
  <c r="Q98" i="1" s="1"/>
  <c r="R96" i="1" a="1"/>
  <c r="R96" i="1" s="1"/>
  <c r="Q90" i="1" a="1"/>
  <c r="Q90" i="1" s="1"/>
  <c r="R88" i="1" a="1"/>
  <c r="R88" i="1" s="1"/>
  <c r="Q82" i="1" a="1"/>
  <c r="Q82" i="1" s="1"/>
  <c r="R80" i="1" a="1"/>
  <c r="R80" i="1" s="1"/>
  <c r="Q74" i="1" a="1"/>
  <c r="Q74" i="1" s="1"/>
  <c r="Q127" i="1" a="1"/>
  <c r="Q127" i="1" s="1"/>
  <c r="R120" i="1" a="1"/>
  <c r="R120" i="1" s="1"/>
  <c r="Q119" i="1" a="1"/>
  <c r="Q119" i="1" s="1"/>
  <c r="R112" i="1" a="1"/>
  <c r="R112" i="1" s="1"/>
  <c r="Q109" i="1" a="1"/>
  <c r="Q109" i="1" s="1"/>
  <c r="R107" i="1" a="1"/>
  <c r="R107" i="1" s="1"/>
  <c r="Q101" i="1" a="1"/>
  <c r="Q101" i="1" s="1"/>
  <c r="R99" i="1" a="1"/>
  <c r="R99" i="1" s="1"/>
  <c r="Q93" i="1" a="1"/>
  <c r="Q93" i="1" s="1"/>
  <c r="R91" i="1" a="1"/>
  <c r="R91" i="1" s="1"/>
  <c r="Q85" i="1" a="1"/>
  <c r="Q85" i="1" s="1"/>
  <c r="R83" i="1" a="1"/>
  <c r="R83" i="1" s="1"/>
  <c r="Q77" i="1" a="1"/>
  <c r="Q77" i="1" s="1"/>
  <c r="Q135" i="1" a="1"/>
  <c r="Q135" i="1" s="1"/>
  <c r="R133" i="1" a="1"/>
  <c r="R133" i="1" s="1"/>
  <c r="Q120" i="1" a="1"/>
  <c r="Q120" i="1" s="1"/>
  <c r="Q104" i="1" a="1"/>
  <c r="Q104" i="1" s="1"/>
  <c r="R102" i="1" a="1"/>
  <c r="R102" i="1" s="1"/>
  <c r="Q96" i="1" a="1"/>
  <c r="Q96" i="1" s="1"/>
  <c r="R94" i="1" a="1"/>
  <c r="R94" i="1" s="1"/>
  <c r="Q88" i="1" a="1"/>
  <c r="Q88" i="1" s="1"/>
  <c r="R86" i="1" a="1"/>
  <c r="R86" i="1" s="1"/>
  <c r="Q80" i="1" a="1"/>
  <c r="Q80" i="1" s="1"/>
  <c r="R78" i="1" a="1"/>
  <c r="R78" i="1" s="1"/>
  <c r="R129" i="1" a="1"/>
  <c r="R129" i="1" s="1"/>
  <c r="R128" i="1" a="1"/>
  <c r="R128" i="1" s="1"/>
  <c r="R121" i="1" a="1"/>
  <c r="R121" i="1" s="1"/>
  <c r="R111" i="1" a="1"/>
  <c r="R111" i="1" s="1"/>
  <c r="Q107" i="1" a="1"/>
  <c r="Q107" i="1" s="1"/>
  <c r="R105" i="1" a="1"/>
  <c r="R105" i="1" s="1"/>
  <c r="Q99" i="1" a="1"/>
  <c r="Q99" i="1" s="1"/>
  <c r="R97" i="1" a="1"/>
  <c r="R97" i="1" s="1"/>
  <c r="Q91" i="1" a="1"/>
  <c r="Q91" i="1" s="1"/>
  <c r="D7" i="1"/>
  <c r="L7" i="1"/>
  <c r="J9" i="1"/>
  <c r="R9" i="1"/>
  <c r="K297" i="1" a="1"/>
  <c r="K297" i="1" s="1"/>
  <c r="L297" i="1" s="1" a="1"/>
  <c r="L297" i="1" s="1"/>
  <c r="K296" i="1" a="1"/>
  <c r="K296" i="1" s="1"/>
  <c r="L296" i="1" s="1" a="1"/>
  <c r="L296" i="1" s="1"/>
  <c r="K295" i="1" a="1"/>
  <c r="K295" i="1" s="1"/>
  <c r="L295" i="1" s="1" a="1"/>
  <c r="L295" i="1" s="1"/>
  <c r="J336" i="1" a="1"/>
  <c r="J336" i="1" s="1"/>
  <c r="K334" i="1" a="1"/>
  <c r="K334" i="1" s="1"/>
  <c r="L334" i="1" s="1" a="1"/>
  <c r="L334" i="1" s="1"/>
  <c r="I330" i="1" a="1"/>
  <c r="I330" i="1" s="1"/>
  <c r="J328" i="1" a="1"/>
  <c r="J328" i="1" s="1"/>
  <c r="K326" i="1" a="1"/>
  <c r="K326" i="1" s="1"/>
  <c r="L326" i="1" s="1" a="1"/>
  <c r="L326" i="1" s="1"/>
  <c r="I322" i="1" a="1"/>
  <c r="I322" i="1" s="1"/>
  <c r="J320" i="1" a="1"/>
  <c r="J320" i="1" s="1"/>
  <c r="K318" i="1" a="1"/>
  <c r="K318" i="1" s="1"/>
  <c r="L318" i="1" s="1" a="1"/>
  <c r="L318" i="1" s="1"/>
  <c r="I314" i="1" a="1"/>
  <c r="I314" i="1" s="1"/>
  <c r="J312" i="1" a="1"/>
  <c r="J312" i="1" s="1"/>
  <c r="K310" i="1" a="1"/>
  <c r="K310" i="1" s="1"/>
  <c r="L310" i="1" s="1" a="1"/>
  <c r="L310" i="1" s="1"/>
  <c r="I306" i="1" a="1"/>
  <c r="I306" i="1" s="1"/>
  <c r="J304" i="1" a="1"/>
  <c r="J304" i="1" s="1"/>
  <c r="K302" i="1" a="1"/>
  <c r="K302" i="1" s="1"/>
  <c r="L302" i="1" s="1" a="1"/>
  <c r="L302" i="1" s="1"/>
  <c r="I298" i="1" a="1"/>
  <c r="I298" i="1" s="1"/>
  <c r="I296" i="1" a="1"/>
  <c r="I296" i="1" s="1"/>
  <c r="J294" i="1" a="1"/>
  <c r="J294" i="1" s="1"/>
  <c r="J293" i="1" a="1"/>
  <c r="J293" i="1" s="1"/>
  <c r="J292" i="1" a="1"/>
  <c r="J292" i="1" s="1"/>
  <c r="J291" i="1" a="1"/>
  <c r="J291" i="1" s="1"/>
  <c r="J290" i="1" a="1"/>
  <c r="J290" i="1" s="1"/>
  <c r="J289" i="1" a="1"/>
  <c r="J289" i="1" s="1"/>
  <c r="J288" i="1" a="1"/>
  <c r="J288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I337" i="1" a="1"/>
  <c r="I337" i="1" s="1"/>
  <c r="J332" i="1" a="1"/>
  <c r="J332" i="1" s="1"/>
  <c r="K331" i="1" a="1"/>
  <c r="K331" i="1" s="1"/>
  <c r="L331" i="1" s="1" a="1"/>
  <c r="L331" i="1" s="1"/>
  <c r="I329" i="1" a="1"/>
  <c r="I329" i="1" s="1"/>
  <c r="J324" i="1" a="1"/>
  <c r="J324" i="1" s="1"/>
  <c r="K323" i="1" a="1"/>
  <c r="K323" i="1" s="1"/>
  <c r="L323" i="1" s="1" a="1"/>
  <c r="L323" i="1" s="1"/>
  <c r="I321" i="1" a="1"/>
  <c r="I321" i="1" s="1"/>
  <c r="J316" i="1" a="1"/>
  <c r="J316" i="1" s="1"/>
  <c r="K315" i="1" a="1"/>
  <c r="K315" i="1" s="1"/>
  <c r="L315" i="1" s="1" a="1"/>
  <c r="L315" i="1" s="1"/>
  <c r="I313" i="1" a="1"/>
  <c r="I313" i="1" s="1"/>
  <c r="J308" i="1" a="1"/>
  <c r="J308" i="1" s="1"/>
  <c r="K307" i="1" a="1"/>
  <c r="K307" i="1" s="1"/>
  <c r="L307" i="1" s="1" a="1"/>
  <c r="L307" i="1" s="1"/>
  <c r="I305" i="1" a="1"/>
  <c r="I305" i="1" s="1"/>
  <c r="J300" i="1" a="1"/>
  <c r="J300" i="1" s="1"/>
  <c r="K299" i="1" a="1"/>
  <c r="K299" i="1" s="1"/>
  <c r="L299" i="1" s="1" a="1"/>
  <c r="L299" i="1" s="1"/>
  <c r="I295" i="1" a="1"/>
  <c r="I295" i="1" s="1"/>
  <c r="K294" i="1" a="1"/>
  <c r="K294" i="1" s="1"/>
  <c r="L294" i="1" s="1" a="1"/>
  <c r="L294" i="1" s="1"/>
  <c r="I293" i="1" a="1"/>
  <c r="I293" i="1" s="1"/>
  <c r="K286" i="1" a="1"/>
  <c r="K286" i="1" s="1"/>
  <c r="L286" i="1" s="1" a="1"/>
  <c r="L286" i="1" s="1"/>
  <c r="I285" i="1" a="1"/>
  <c r="I285" i="1" s="1"/>
  <c r="J333" i="1" a="1"/>
  <c r="J333" i="1" s="1"/>
  <c r="I332" i="1" a="1"/>
  <c r="I332" i="1" s="1"/>
  <c r="I327" i="1" a="1"/>
  <c r="I327" i="1" s="1"/>
  <c r="K324" i="1" a="1"/>
  <c r="K324" i="1" s="1"/>
  <c r="L324" i="1" s="1" a="1"/>
  <c r="L324" i="1" s="1"/>
  <c r="J323" i="1" a="1"/>
  <c r="J323" i="1" s="1"/>
  <c r="K320" i="1" a="1"/>
  <c r="K320" i="1" s="1"/>
  <c r="L320" i="1" s="1" a="1"/>
  <c r="L320" i="1" s="1"/>
  <c r="I307" i="1" a="1"/>
  <c r="I307" i="1" s="1"/>
  <c r="I304" i="1" a="1"/>
  <c r="I304" i="1" s="1"/>
  <c r="K298" i="1" a="1"/>
  <c r="K298" i="1" s="1"/>
  <c r="L298" i="1" s="1" a="1"/>
  <c r="L298" i="1" s="1"/>
  <c r="J297" i="1" a="1"/>
  <c r="J297" i="1" s="1"/>
  <c r="I289" i="1" a="1"/>
  <c r="I289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K336" i="1" a="1"/>
  <c r="K336" i="1" s="1"/>
  <c r="L336" i="1" s="1" a="1"/>
  <c r="L336" i="1" s="1"/>
  <c r="I323" i="1" a="1"/>
  <c r="I323" i="1" s="1"/>
  <c r="I320" i="1" a="1"/>
  <c r="I320" i="1" s="1"/>
  <c r="K314" i="1" a="1"/>
  <c r="K314" i="1" s="1"/>
  <c r="L314" i="1" s="1" a="1"/>
  <c r="L314" i="1" s="1"/>
  <c r="I335" i="1" a="1"/>
  <c r="I335" i="1" s="1"/>
  <c r="K332" i="1" a="1"/>
  <c r="K332" i="1" s="1"/>
  <c r="L332" i="1" s="1" a="1"/>
  <c r="L332" i="1" s="1"/>
  <c r="J331" i="1" a="1"/>
  <c r="J331" i="1" s="1"/>
  <c r="K328" i="1" a="1"/>
  <c r="K328" i="1" s="1"/>
  <c r="L328" i="1" s="1" a="1"/>
  <c r="L328" i="1" s="1"/>
  <c r="I315" i="1" a="1"/>
  <c r="I315" i="1" s="1"/>
  <c r="I312" i="1" a="1"/>
  <c r="I312" i="1" s="1"/>
  <c r="K306" i="1" a="1"/>
  <c r="K306" i="1" s="1"/>
  <c r="L306" i="1" s="1" a="1"/>
  <c r="L306" i="1" s="1"/>
  <c r="K305" i="1" a="1"/>
  <c r="K305" i="1" s="1"/>
  <c r="L305" i="1" s="1" a="1"/>
  <c r="L305" i="1" s="1"/>
  <c r="K303" i="1" a="1"/>
  <c r="K303" i="1" s="1"/>
  <c r="L303" i="1" s="1" a="1"/>
  <c r="L303" i="1" s="1"/>
  <c r="J302" i="1" a="1"/>
  <c r="J302" i="1" s="1"/>
  <c r="I301" i="1" a="1"/>
  <c r="I301" i="1" s="1"/>
  <c r="I294" i="1" a="1"/>
  <c r="I294" i="1" s="1"/>
  <c r="K293" i="1" a="1"/>
  <c r="K293" i="1" s="1"/>
  <c r="L293" i="1" s="1" a="1"/>
  <c r="L293" i="1" s="1"/>
  <c r="J337" i="1" a="1"/>
  <c r="J337" i="1" s="1"/>
  <c r="J335" i="1" a="1"/>
  <c r="J335" i="1" s="1"/>
  <c r="J334" i="1" a="1"/>
  <c r="J334" i="1" s="1"/>
  <c r="K322" i="1" a="1"/>
  <c r="K322" i="1" s="1"/>
  <c r="L322" i="1" s="1" a="1"/>
  <c r="L322" i="1" s="1"/>
  <c r="I319" i="1" a="1"/>
  <c r="I319" i="1" s="1"/>
  <c r="I318" i="1" a="1"/>
  <c r="I318" i="1" s="1"/>
  <c r="I309" i="1" a="1"/>
  <c r="I309" i="1" s="1"/>
  <c r="K308" i="1" a="1"/>
  <c r="K308" i="1" s="1"/>
  <c r="L308" i="1" s="1" a="1"/>
  <c r="L308" i="1" s="1"/>
  <c r="K304" i="1" a="1"/>
  <c r="K304" i="1" s="1"/>
  <c r="L304" i="1" s="1" a="1"/>
  <c r="L304" i="1" s="1"/>
  <c r="I302" i="1" a="1"/>
  <c r="I302" i="1" s="1"/>
  <c r="K300" i="1" a="1"/>
  <c r="K300" i="1" s="1"/>
  <c r="L300" i="1" s="1" a="1"/>
  <c r="L300" i="1" s="1"/>
  <c r="K282" i="1" a="1"/>
  <c r="K282" i="1" s="1"/>
  <c r="L282" i="1" s="1" a="1"/>
  <c r="L282" i="1" s="1"/>
  <c r="I279" i="1" a="1"/>
  <c r="I279" i="1" s="1"/>
  <c r="K278" i="1" a="1"/>
  <c r="K278" i="1" s="1"/>
  <c r="L278" i="1" s="1" a="1"/>
  <c r="L278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I259" i="1" a="1"/>
  <c r="I259" i="1" s="1"/>
  <c r="K252" i="1" a="1"/>
  <c r="K252" i="1" s="1"/>
  <c r="L252" i="1" s="1" a="1"/>
  <c r="L252" i="1" s="1"/>
  <c r="I251" i="1" a="1"/>
  <c r="I251" i="1" s="1"/>
  <c r="K244" i="1" a="1"/>
  <c r="K244" i="1" s="1"/>
  <c r="L244" i="1" s="1" a="1"/>
  <c r="L244" i="1" s="1"/>
  <c r="I243" i="1" a="1"/>
  <c r="I243" i="1" s="1"/>
  <c r="K236" i="1" a="1"/>
  <c r="K236" i="1" s="1"/>
  <c r="L236" i="1" s="1" a="1"/>
  <c r="L236" i="1" s="1"/>
  <c r="I235" i="1" a="1"/>
  <c r="I235" i="1" s="1"/>
  <c r="K233" i="1" a="1"/>
  <c r="K233" i="1" s="1"/>
  <c r="L233" i="1" s="1" a="1"/>
  <c r="L233" i="1" s="1"/>
  <c r="K232" i="1" a="1"/>
  <c r="K232" i="1" s="1"/>
  <c r="L232" i="1" s="1" a="1"/>
  <c r="L232" i="1" s="1"/>
  <c r="K231" i="1" a="1"/>
  <c r="K231" i="1" s="1"/>
  <c r="L231" i="1" s="1" a="1"/>
  <c r="L231" i="1" s="1"/>
  <c r="K230" i="1" a="1"/>
  <c r="K230" i="1" s="1"/>
  <c r="L230" i="1" s="1" a="1"/>
  <c r="L230" i="1" s="1"/>
  <c r="K229" i="1" a="1"/>
  <c r="K229" i="1" s="1"/>
  <c r="L229" i="1" s="1" a="1"/>
  <c r="L229" i="1" s="1"/>
  <c r="K228" i="1" a="1"/>
  <c r="K228" i="1" s="1"/>
  <c r="L228" i="1" s="1" a="1"/>
  <c r="L228" i="1" s="1"/>
  <c r="K227" i="1" a="1"/>
  <c r="K227" i="1" s="1"/>
  <c r="L227" i="1" s="1" a="1"/>
  <c r="L227" i="1" s="1"/>
  <c r="K226" i="1" a="1"/>
  <c r="K226" i="1" s="1"/>
  <c r="L226" i="1" s="1" a="1"/>
  <c r="L226" i="1" s="1"/>
  <c r="K225" i="1" a="1"/>
  <c r="K225" i="1" s="1"/>
  <c r="L225" i="1" s="1" a="1"/>
  <c r="L225" i="1" s="1"/>
  <c r="K224" i="1" a="1"/>
  <c r="K224" i="1" s="1"/>
  <c r="L224" i="1" s="1" a="1"/>
  <c r="L224" i="1" s="1"/>
  <c r="K223" i="1" a="1"/>
  <c r="K223" i="1" s="1"/>
  <c r="L223" i="1" s="1" a="1"/>
  <c r="L223" i="1" s="1"/>
  <c r="K222" i="1" a="1"/>
  <c r="K222" i="1" s="1"/>
  <c r="L222" i="1" s="1" a="1"/>
  <c r="L222" i="1" s="1"/>
  <c r="K221" i="1" a="1"/>
  <c r="K221" i="1" s="1"/>
  <c r="L221" i="1" s="1" a="1"/>
  <c r="L221" i="1" s="1"/>
  <c r="K220" i="1" a="1"/>
  <c r="K220" i="1" s="1"/>
  <c r="L220" i="1" s="1" a="1"/>
  <c r="L220" i="1" s="1"/>
  <c r="K219" i="1" a="1"/>
  <c r="K219" i="1" s="1"/>
  <c r="L219" i="1" s="1" a="1"/>
  <c r="L219" i="1" s="1"/>
  <c r="K218" i="1" a="1"/>
  <c r="K218" i="1" s="1"/>
  <c r="L218" i="1" s="1" a="1"/>
  <c r="L218" i="1" s="1"/>
  <c r="K217" i="1" a="1"/>
  <c r="K217" i="1" s="1"/>
  <c r="L217" i="1" s="1" a="1"/>
  <c r="L217" i="1" s="1"/>
  <c r="K216" i="1" a="1"/>
  <c r="K216" i="1" s="1"/>
  <c r="L216" i="1" s="1" a="1"/>
  <c r="L216" i="1" s="1"/>
  <c r="K215" i="1" a="1"/>
  <c r="K215" i="1" s="1"/>
  <c r="L215" i="1" s="1" a="1"/>
  <c r="L215" i="1" s="1"/>
  <c r="K214" i="1" a="1"/>
  <c r="K214" i="1" s="1"/>
  <c r="L214" i="1" s="1" a="1"/>
  <c r="L214" i="1" s="1"/>
  <c r="K213" i="1" a="1"/>
  <c r="K213" i="1" s="1"/>
  <c r="L213" i="1" s="1" a="1"/>
  <c r="L213" i="1" s="1"/>
  <c r="K212" i="1" a="1"/>
  <c r="K212" i="1" s="1"/>
  <c r="L212" i="1" s="1" a="1"/>
  <c r="L212" i="1" s="1"/>
  <c r="K211" i="1" a="1"/>
  <c r="K211" i="1" s="1"/>
  <c r="L211" i="1" s="1" a="1"/>
  <c r="L211" i="1" s="1"/>
  <c r="K210" i="1" a="1"/>
  <c r="K210" i="1" s="1"/>
  <c r="L210" i="1" s="1" a="1"/>
  <c r="L210" i="1" s="1"/>
  <c r="K209" i="1" a="1"/>
  <c r="K209" i="1" s="1"/>
  <c r="L209" i="1" s="1" a="1"/>
  <c r="L209" i="1" s="1"/>
  <c r="K208" i="1" a="1"/>
  <c r="K208" i="1" s="1"/>
  <c r="L208" i="1" s="1" a="1"/>
  <c r="L208" i="1" s="1"/>
  <c r="I336" i="1" a="1"/>
  <c r="I336" i="1" s="1"/>
  <c r="I334" i="1" a="1"/>
  <c r="I334" i="1" s="1"/>
  <c r="I333" i="1" a="1"/>
  <c r="I333" i="1" s="1"/>
  <c r="K330" i="1" a="1"/>
  <c r="K330" i="1" s="1"/>
  <c r="L330" i="1" s="1" a="1"/>
  <c r="L330" i="1" s="1"/>
  <c r="J322" i="1" a="1"/>
  <c r="J322" i="1" s="1"/>
  <c r="J314" i="1" a="1"/>
  <c r="J314" i="1" s="1"/>
  <c r="I331" i="1" a="1"/>
  <c r="I331" i="1" s="1"/>
  <c r="J330" i="1" a="1"/>
  <c r="J330" i="1" s="1"/>
  <c r="K329" i="1" a="1"/>
  <c r="K329" i="1" s="1"/>
  <c r="L329" i="1" s="1" a="1"/>
  <c r="L329" i="1" s="1"/>
  <c r="K321" i="1" a="1"/>
  <c r="K321" i="1" s="1"/>
  <c r="L321" i="1" s="1" a="1"/>
  <c r="L321" i="1" s="1"/>
  <c r="K313" i="1" a="1"/>
  <c r="K313" i="1" s="1"/>
  <c r="L313" i="1" s="1" a="1"/>
  <c r="L313" i="1" s="1"/>
  <c r="K311" i="1" a="1"/>
  <c r="K311" i="1" s="1"/>
  <c r="L311" i="1" s="1" a="1"/>
  <c r="L311" i="1" s="1"/>
  <c r="I308" i="1" a="1"/>
  <c r="I308" i="1" s="1"/>
  <c r="I297" i="1" a="1"/>
  <c r="I297" i="1" s="1"/>
  <c r="K287" i="1" a="1"/>
  <c r="K287" i="1" s="1"/>
  <c r="L287" i="1" s="1" a="1"/>
  <c r="L287" i="1" s="1"/>
  <c r="K285" i="1" a="1"/>
  <c r="K285" i="1" s="1"/>
  <c r="L285" i="1" s="1" a="1"/>
  <c r="L285" i="1" s="1"/>
  <c r="I278" i="1" a="1"/>
  <c r="I278" i="1" s="1"/>
  <c r="K277" i="1" a="1"/>
  <c r="K277" i="1" s="1"/>
  <c r="L277" i="1" s="1" a="1"/>
  <c r="L277" i="1" s="1"/>
  <c r="I274" i="1" a="1"/>
  <c r="I274" i="1" s="1"/>
  <c r="K266" i="1" a="1"/>
  <c r="K266" i="1" s="1"/>
  <c r="L266" i="1" s="1" a="1"/>
  <c r="L266" i="1" s="1"/>
  <c r="I265" i="1" a="1"/>
  <c r="I265" i="1" s="1"/>
  <c r="K258" i="1" a="1"/>
  <c r="K258" i="1" s="1"/>
  <c r="L258" i="1" s="1" a="1"/>
  <c r="L258" i="1" s="1"/>
  <c r="I257" i="1" a="1"/>
  <c r="I257" i="1" s="1"/>
  <c r="K250" i="1" a="1"/>
  <c r="K250" i="1" s="1"/>
  <c r="L250" i="1" s="1" a="1"/>
  <c r="L250" i="1" s="1"/>
  <c r="I249" i="1" a="1"/>
  <c r="I249" i="1" s="1"/>
  <c r="K242" i="1" a="1"/>
  <c r="K242" i="1" s="1"/>
  <c r="L242" i="1" s="1" a="1"/>
  <c r="L242" i="1" s="1"/>
  <c r="I241" i="1" a="1"/>
  <c r="I241" i="1" s="1"/>
  <c r="K234" i="1" a="1"/>
  <c r="K234" i="1" s="1"/>
  <c r="L234" i="1" s="1" a="1"/>
  <c r="L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J223" i="1" a="1"/>
  <c r="J223" i="1" s="1"/>
  <c r="J222" i="1" a="1"/>
  <c r="J222" i="1" s="1"/>
  <c r="J221" i="1" a="1"/>
  <c r="J221" i="1" s="1"/>
  <c r="J220" i="1" a="1"/>
  <c r="J220" i="1" s="1"/>
  <c r="J219" i="1" a="1"/>
  <c r="J219" i="1" s="1"/>
  <c r="J218" i="1" a="1"/>
  <c r="J218" i="1" s="1"/>
  <c r="J217" i="1" a="1"/>
  <c r="J217" i="1" s="1"/>
  <c r="J216" i="1" a="1"/>
  <c r="J216" i="1" s="1"/>
  <c r="J215" i="1" a="1"/>
  <c r="J215" i="1" s="1"/>
  <c r="J214" i="1" a="1"/>
  <c r="J214" i="1" s="1"/>
  <c r="J213" i="1" a="1"/>
  <c r="J213" i="1" s="1"/>
  <c r="J212" i="1" a="1"/>
  <c r="J212" i="1" s="1"/>
  <c r="J211" i="1" a="1"/>
  <c r="J211" i="1" s="1"/>
  <c r="J210" i="1" a="1"/>
  <c r="J210" i="1" s="1"/>
  <c r="J209" i="1" a="1"/>
  <c r="J209" i="1" s="1"/>
  <c r="J208" i="1" a="1"/>
  <c r="J208" i="1" s="1"/>
  <c r="J207" i="1" a="1"/>
  <c r="J207" i="1" s="1"/>
  <c r="J206" i="1" a="1"/>
  <c r="J206" i="1" s="1"/>
  <c r="J205" i="1" a="1"/>
  <c r="J205" i="1" s="1"/>
  <c r="J204" i="1" a="1"/>
  <c r="J204" i="1" s="1"/>
  <c r="J203" i="1" a="1"/>
  <c r="J203" i="1" s="1"/>
  <c r="J202" i="1" a="1"/>
  <c r="J202" i="1" s="1"/>
  <c r="J201" i="1" a="1"/>
  <c r="J201" i="1" s="1"/>
  <c r="J200" i="1" a="1"/>
  <c r="J200" i="1" s="1"/>
  <c r="J199" i="1" a="1"/>
  <c r="J199" i="1" s="1"/>
  <c r="J198" i="1" a="1"/>
  <c r="J198" i="1" s="1"/>
  <c r="J197" i="1" a="1"/>
  <c r="J197" i="1" s="1"/>
  <c r="J196" i="1" a="1"/>
  <c r="J196" i="1" s="1"/>
  <c r="J195" i="1" a="1"/>
  <c r="J195" i="1" s="1"/>
  <c r="J194" i="1" a="1"/>
  <c r="J194" i="1" s="1"/>
  <c r="J193" i="1" a="1"/>
  <c r="J193" i="1" s="1"/>
  <c r="J192" i="1" a="1"/>
  <c r="J192" i="1" s="1"/>
  <c r="J191" i="1" a="1"/>
  <c r="J191" i="1" s="1"/>
  <c r="J190" i="1" a="1"/>
  <c r="J190" i="1" s="1"/>
  <c r="J189" i="1" a="1"/>
  <c r="J189" i="1" s="1"/>
  <c r="J188" i="1" a="1"/>
  <c r="J188" i="1" s="1"/>
  <c r="J187" i="1" a="1"/>
  <c r="J187" i="1" s="1"/>
  <c r="J186" i="1" a="1"/>
  <c r="J186" i="1" s="1"/>
  <c r="J185" i="1" a="1"/>
  <c r="J185" i="1" s="1"/>
  <c r="J184" i="1" a="1"/>
  <c r="J184" i="1" s="1"/>
  <c r="J183" i="1" a="1"/>
  <c r="J183" i="1" s="1"/>
  <c r="J182" i="1" a="1"/>
  <c r="J182" i="1" s="1"/>
  <c r="J181" i="1" a="1"/>
  <c r="J181" i="1" s="1"/>
  <c r="J180" i="1" a="1"/>
  <c r="J180" i="1" s="1"/>
  <c r="J179" i="1" a="1"/>
  <c r="J179" i="1" s="1"/>
  <c r="J178" i="1" a="1"/>
  <c r="J178" i="1" s="1"/>
  <c r="J177" i="1" a="1"/>
  <c r="J177" i="1" s="1"/>
  <c r="J176" i="1" a="1"/>
  <c r="J176" i="1" s="1"/>
  <c r="J175" i="1" a="1"/>
  <c r="J175" i="1" s="1"/>
  <c r="J174" i="1" a="1"/>
  <c r="J174" i="1" s="1"/>
  <c r="J173" i="1" a="1"/>
  <c r="J173" i="1" s="1"/>
  <c r="J172" i="1" a="1"/>
  <c r="J172" i="1" s="1"/>
  <c r="J171" i="1" a="1"/>
  <c r="J171" i="1" s="1"/>
  <c r="J170" i="1" a="1"/>
  <c r="J170" i="1" s="1"/>
  <c r="J169" i="1" a="1"/>
  <c r="J169" i="1" s="1"/>
  <c r="J168" i="1" a="1"/>
  <c r="J168" i="1" s="1"/>
  <c r="J167" i="1" a="1"/>
  <c r="J167" i="1" s="1"/>
  <c r="J166" i="1" a="1"/>
  <c r="J166" i="1" s="1"/>
  <c r="J165" i="1" a="1"/>
  <c r="J165" i="1" s="1"/>
  <c r="J164" i="1" a="1"/>
  <c r="J164" i="1" s="1"/>
  <c r="J163" i="1" a="1"/>
  <c r="J163" i="1" s="1"/>
  <c r="J162" i="1" a="1"/>
  <c r="J162" i="1" s="1"/>
  <c r="J161" i="1" a="1"/>
  <c r="J161" i="1" s="1"/>
  <c r="J160" i="1" a="1"/>
  <c r="J160" i="1" s="1"/>
  <c r="J159" i="1" a="1"/>
  <c r="J159" i="1" s="1"/>
  <c r="J158" i="1" a="1"/>
  <c r="J158" i="1" s="1"/>
  <c r="J157" i="1" a="1"/>
  <c r="J157" i="1" s="1"/>
  <c r="J156" i="1" a="1"/>
  <c r="J156" i="1" s="1"/>
  <c r="J155" i="1" a="1"/>
  <c r="J155" i="1" s="1"/>
  <c r="J154" i="1" a="1"/>
  <c r="J154" i="1" s="1"/>
  <c r="J153" i="1" a="1"/>
  <c r="J153" i="1" s="1"/>
  <c r="J152" i="1" a="1"/>
  <c r="J152" i="1" s="1"/>
  <c r="J151" i="1" a="1"/>
  <c r="J151" i="1" s="1"/>
  <c r="J150" i="1" a="1"/>
  <c r="J150" i="1" s="1"/>
  <c r="J149" i="1" a="1"/>
  <c r="J149" i="1" s="1"/>
  <c r="J148" i="1" a="1"/>
  <c r="J148" i="1" s="1"/>
  <c r="J147" i="1" a="1"/>
  <c r="J147" i="1" s="1"/>
  <c r="J146" i="1" a="1"/>
  <c r="J146" i="1" s="1"/>
  <c r="J145" i="1" a="1"/>
  <c r="J145" i="1" s="1"/>
  <c r="J144" i="1" a="1"/>
  <c r="J144" i="1" s="1"/>
  <c r="J143" i="1" a="1"/>
  <c r="J143" i="1" s="1"/>
  <c r="J142" i="1" a="1"/>
  <c r="J142" i="1" s="1"/>
  <c r="J141" i="1" a="1"/>
  <c r="J141" i="1" s="1"/>
  <c r="J140" i="1" a="1"/>
  <c r="J140" i="1" s="1"/>
  <c r="J139" i="1" a="1"/>
  <c r="J139" i="1" s="1"/>
  <c r="J138" i="1" a="1"/>
  <c r="J138" i="1" s="1"/>
  <c r="J137" i="1" a="1"/>
  <c r="J137" i="1" s="1"/>
  <c r="J136" i="1" a="1"/>
  <c r="J136" i="1" s="1"/>
  <c r="J135" i="1" a="1"/>
  <c r="J135" i="1" s="1"/>
  <c r="J134" i="1" a="1"/>
  <c r="J134" i="1" s="1"/>
  <c r="J133" i="1" a="1"/>
  <c r="J133" i="1" s="1"/>
  <c r="J132" i="1" a="1"/>
  <c r="J132" i="1" s="1"/>
  <c r="J131" i="1" a="1"/>
  <c r="J131" i="1" s="1"/>
  <c r="J130" i="1" a="1"/>
  <c r="J130" i="1" s="1"/>
  <c r="J129" i="1" a="1"/>
  <c r="J129" i="1" s="1"/>
  <c r="J128" i="1" a="1"/>
  <c r="J128" i="1" s="1"/>
  <c r="J127" i="1" a="1"/>
  <c r="J127" i="1" s="1"/>
  <c r="J126" i="1" a="1"/>
  <c r="J126" i="1" s="1"/>
  <c r="J125" i="1" a="1"/>
  <c r="J125" i="1" s="1"/>
  <c r="J124" i="1" a="1"/>
  <c r="J124" i="1" s="1"/>
  <c r="J123" i="1" a="1"/>
  <c r="J123" i="1" s="1"/>
  <c r="J122" i="1" a="1"/>
  <c r="J122" i="1" s="1"/>
  <c r="J121" i="1" a="1"/>
  <c r="J121" i="1" s="1"/>
  <c r="J120" i="1" a="1"/>
  <c r="J120" i="1" s="1"/>
  <c r="J119" i="1" a="1"/>
  <c r="J119" i="1" s="1"/>
  <c r="J118" i="1" a="1"/>
  <c r="J118" i="1" s="1"/>
  <c r="J117" i="1" a="1"/>
  <c r="J117" i="1" s="1"/>
  <c r="J116" i="1" a="1"/>
  <c r="J116" i="1" s="1"/>
  <c r="J115" i="1" a="1"/>
  <c r="J115" i="1" s="1"/>
  <c r="J329" i="1" a="1"/>
  <c r="J329" i="1" s="1"/>
  <c r="J321" i="1" a="1"/>
  <c r="J321" i="1" s="1"/>
  <c r="I300" i="1" a="1"/>
  <c r="I300" i="1" s="1"/>
  <c r="J299" i="1" a="1"/>
  <c r="J299" i="1" s="1"/>
  <c r="I292" i="1" a="1"/>
  <c r="I292" i="1" s="1"/>
  <c r="K288" i="1" a="1"/>
  <c r="K288" i="1" s="1"/>
  <c r="L288" i="1" s="1" a="1"/>
  <c r="L288" i="1" s="1"/>
  <c r="I284" i="1" a="1"/>
  <c r="I284" i="1" s="1"/>
  <c r="I283" i="1" a="1"/>
  <c r="I283" i="1" s="1"/>
  <c r="I282" i="1" a="1"/>
  <c r="I282" i="1" s="1"/>
  <c r="I281" i="1" a="1"/>
  <c r="I281" i="1" s="1"/>
  <c r="K280" i="1" a="1"/>
  <c r="K280" i="1" s="1"/>
  <c r="L280" i="1" s="1" a="1"/>
  <c r="L280" i="1" s="1"/>
  <c r="K276" i="1" a="1"/>
  <c r="K276" i="1" s="1"/>
  <c r="L276" i="1" s="1" a="1"/>
  <c r="L276" i="1" s="1"/>
  <c r="I273" i="1" a="1"/>
  <c r="I273" i="1" s="1"/>
  <c r="K269" i="1" a="1"/>
  <c r="K269" i="1" s="1"/>
  <c r="L269" i="1" s="1" a="1"/>
  <c r="L269" i="1" s="1"/>
  <c r="K327" i="1" a="1"/>
  <c r="K327" i="1" s="1"/>
  <c r="L327" i="1" s="1" a="1"/>
  <c r="L327" i="1" s="1"/>
  <c r="K325" i="1" a="1"/>
  <c r="K325" i="1" s="1"/>
  <c r="L325" i="1" s="1" a="1"/>
  <c r="L325" i="1" s="1"/>
  <c r="K316" i="1" a="1"/>
  <c r="K316" i="1" s="1"/>
  <c r="L316" i="1" s="1" a="1"/>
  <c r="L316" i="1" s="1"/>
  <c r="J313" i="1" a="1"/>
  <c r="J313" i="1" s="1"/>
  <c r="J311" i="1" a="1"/>
  <c r="J311" i="1" s="1"/>
  <c r="J307" i="1" a="1"/>
  <c r="J307" i="1" s="1"/>
  <c r="J296" i="1" a="1"/>
  <c r="J296" i="1" s="1"/>
  <c r="K289" i="1" a="1"/>
  <c r="K289" i="1" s="1"/>
  <c r="L289" i="1" s="1" a="1"/>
  <c r="L289" i="1" s="1"/>
  <c r="I288" i="1" a="1"/>
  <c r="I288" i="1" s="1"/>
  <c r="I286" i="1" a="1"/>
  <c r="I286" i="1" s="1"/>
  <c r="I328" i="1" a="1"/>
  <c r="I328" i="1" s="1"/>
  <c r="J327" i="1" a="1"/>
  <c r="J327" i="1" s="1"/>
  <c r="J326" i="1" a="1"/>
  <c r="J326" i="1" s="1"/>
  <c r="J325" i="1" a="1"/>
  <c r="J325" i="1" s="1"/>
  <c r="K317" i="1" a="1"/>
  <c r="K317" i="1" s="1"/>
  <c r="L317" i="1" s="1" a="1"/>
  <c r="L317" i="1" s="1"/>
  <c r="I311" i="1" a="1"/>
  <c r="I311" i="1" s="1"/>
  <c r="J310" i="1" a="1"/>
  <c r="J310" i="1" s="1"/>
  <c r="J305" i="1" a="1"/>
  <c r="J305" i="1" s="1"/>
  <c r="J303" i="1" a="1"/>
  <c r="J303" i="1" s="1"/>
  <c r="I299" i="1" a="1"/>
  <c r="I299" i="1" s="1"/>
  <c r="J295" i="1" a="1"/>
  <c r="J295" i="1" s="1"/>
  <c r="I287" i="1" a="1"/>
  <c r="I287" i="1" s="1"/>
  <c r="K279" i="1" a="1"/>
  <c r="K279" i="1" s="1"/>
  <c r="L279" i="1" s="1" a="1"/>
  <c r="L279" i="1" s="1"/>
  <c r="I277" i="1" a="1"/>
  <c r="I277" i="1" s="1"/>
  <c r="K275" i="1" a="1"/>
  <c r="K275" i="1" s="1"/>
  <c r="L275" i="1" s="1" a="1"/>
  <c r="L275" i="1" s="1"/>
  <c r="K267" i="1" a="1"/>
  <c r="K267" i="1" s="1"/>
  <c r="L267" i="1" s="1" a="1"/>
  <c r="L267" i="1" s="1"/>
  <c r="I266" i="1" a="1"/>
  <c r="I266" i="1" s="1"/>
  <c r="I326" i="1" a="1"/>
  <c r="I326" i="1" s="1"/>
  <c r="I325" i="1" a="1"/>
  <c r="I325" i="1" s="1"/>
  <c r="I324" i="1" a="1"/>
  <c r="I324" i="1" s="1"/>
  <c r="K319" i="1" a="1"/>
  <c r="K319" i="1" s="1"/>
  <c r="L319" i="1" s="1" a="1"/>
  <c r="L319" i="1" s="1"/>
  <c r="J317" i="1" a="1"/>
  <c r="J317" i="1" s="1"/>
  <c r="I316" i="1" a="1"/>
  <c r="I316" i="1" s="1"/>
  <c r="J315" i="1" a="1"/>
  <c r="J315" i="1" s="1"/>
  <c r="K309" i="1" a="1"/>
  <c r="K309" i="1" s="1"/>
  <c r="L309" i="1" s="1" a="1"/>
  <c r="L309" i="1" s="1"/>
  <c r="I303" i="1" a="1"/>
  <c r="I303" i="1" s="1"/>
  <c r="K290" i="1" a="1"/>
  <c r="K290" i="1" s="1"/>
  <c r="L290" i="1" s="1" a="1"/>
  <c r="L290" i="1" s="1"/>
  <c r="K337" i="1" a="1"/>
  <c r="K337" i="1" s="1"/>
  <c r="L337" i="1" s="1" a="1"/>
  <c r="L337" i="1" s="1"/>
  <c r="K335" i="1" a="1"/>
  <c r="K335" i="1" s="1"/>
  <c r="L335" i="1" s="1" a="1"/>
  <c r="L335" i="1" s="1"/>
  <c r="K333" i="1" a="1"/>
  <c r="K333" i="1" s="1"/>
  <c r="L333" i="1" s="1" a="1"/>
  <c r="L333" i="1" s="1"/>
  <c r="J319" i="1" a="1"/>
  <c r="J319" i="1" s="1"/>
  <c r="J318" i="1" a="1"/>
  <c r="J318" i="1" s="1"/>
  <c r="I317" i="1" a="1"/>
  <c r="I317" i="1" s="1"/>
  <c r="K312" i="1" a="1"/>
  <c r="K312" i="1" s="1"/>
  <c r="L312" i="1" s="1" a="1"/>
  <c r="L312" i="1" s="1"/>
  <c r="I310" i="1" a="1"/>
  <c r="I310" i="1" s="1"/>
  <c r="J309" i="1" a="1"/>
  <c r="J309" i="1" s="1"/>
  <c r="K301" i="1" a="1"/>
  <c r="K301" i="1" s="1"/>
  <c r="L301" i="1" s="1" a="1"/>
  <c r="L301" i="1" s="1"/>
  <c r="J298" i="1" a="1"/>
  <c r="J298" i="1" s="1"/>
  <c r="K291" i="1" a="1"/>
  <c r="K291" i="1" s="1"/>
  <c r="L291" i="1" s="1" a="1"/>
  <c r="L291" i="1" s="1"/>
  <c r="I275" i="1" a="1"/>
  <c r="I275" i="1" s="1"/>
  <c r="K274" i="1" a="1"/>
  <c r="K274" i="1" s="1"/>
  <c r="L274" i="1" s="1" a="1"/>
  <c r="L274" i="1" s="1"/>
  <c r="I272" i="1" a="1"/>
  <c r="I272" i="1" s="1"/>
  <c r="K265" i="1" a="1"/>
  <c r="K265" i="1" s="1"/>
  <c r="L265" i="1" s="1" a="1"/>
  <c r="L265" i="1" s="1"/>
  <c r="I270" i="1" a="1"/>
  <c r="I270" i="1" s="1"/>
  <c r="K264" i="1" a="1"/>
  <c r="K264" i="1" s="1"/>
  <c r="L264" i="1" s="1" a="1"/>
  <c r="L264" i="1" s="1"/>
  <c r="I258" i="1" a="1"/>
  <c r="I258" i="1" s="1"/>
  <c r="I256" i="1" a="1"/>
  <c r="I256" i="1" s="1"/>
  <c r="I250" i="1" a="1"/>
  <c r="I250" i="1" s="1"/>
  <c r="I248" i="1" a="1"/>
  <c r="I248" i="1" s="1"/>
  <c r="I242" i="1" a="1"/>
  <c r="I242" i="1" s="1"/>
  <c r="I240" i="1" a="1"/>
  <c r="I240" i="1" s="1"/>
  <c r="I234" i="1" a="1"/>
  <c r="I234" i="1" s="1"/>
  <c r="I226" i="1" a="1"/>
  <c r="I226" i="1" s="1"/>
  <c r="K271" i="1" a="1"/>
  <c r="K271" i="1" s="1"/>
  <c r="L271" i="1" s="1" a="1"/>
  <c r="L271" i="1" s="1"/>
  <c r="I262" i="1" a="1"/>
  <c r="I262" i="1" s="1"/>
  <c r="I260" i="1" a="1"/>
  <c r="I260" i="1" s="1"/>
  <c r="K253" i="1" a="1"/>
  <c r="K253" i="1" s="1"/>
  <c r="L253" i="1" s="1" a="1"/>
  <c r="L253" i="1" s="1"/>
  <c r="I252" i="1" a="1"/>
  <c r="I252" i="1" s="1"/>
  <c r="K245" i="1" a="1"/>
  <c r="K245" i="1" s="1"/>
  <c r="L245" i="1" s="1" a="1"/>
  <c r="L245" i="1" s="1"/>
  <c r="I244" i="1" a="1"/>
  <c r="I244" i="1" s="1"/>
  <c r="K237" i="1" a="1"/>
  <c r="K237" i="1" s="1"/>
  <c r="L237" i="1" s="1" a="1"/>
  <c r="L237" i="1" s="1"/>
  <c r="I236" i="1" a="1"/>
  <c r="I236" i="1" s="1"/>
  <c r="I233" i="1" a="1"/>
  <c r="I233" i="1" s="1"/>
  <c r="I225" i="1" a="1"/>
  <c r="I225" i="1" s="1"/>
  <c r="I217" i="1" a="1"/>
  <c r="I217" i="1" s="1"/>
  <c r="I209" i="1" a="1"/>
  <c r="I209" i="1" s="1"/>
  <c r="K201" i="1" a="1"/>
  <c r="K201" i="1" s="1"/>
  <c r="L201" i="1" s="1" a="1"/>
  <c r="L201" i="1" s="1"/>
  <c r="I271" i="1" a="1"/>
  <c r="I271" i="1" s="1"/>
  <c r="I268" i="1" a="1"/>
  <c r="I268" i="1" s="1"/>
  <c r="I264" i="1" a="1"/>
  <c r="I264" i="1" s="1"/>
  <c r="K261" i="1" a="1"/>
  <c r="K261" i="1" s="1"/>
  <c r="L261" i="1" s="1" a="1"/>
  <c r="L261" i="1" s="1"/>
  <c r="J306" i="1" a="1"/>
  <c r="J306" i="1" s="1"/>
  <c r="K272" i="1" a="1"/>
  <c r="K272" i="1" s="1"/>
  <c r="L272" i="1" s="1" a="1"/>
  <c r="L272" i="1" s="1"/>
  <c r="K254" i="1" a="1"/>
  <c r="K254" i="1" s="1"/>
  <c r="L254" i="1" s="1" a="1"/>
  <c r="L254" i="1" s="1"/>
  <c r="K246" i="1" a="1"/>
  <c r="K246" i="1" s="1"/>
  <c r="L246" i="1" s="1" a="1"/>
  <c r="L246" i="1" s="1"/>
  <c r="K238" i="1" a="1"/>
  <c r="K238" i="1" s="1"/>
  <c r="L238" i="1" s="1" a="1"/>
  <c r="L238" i="1" s="1"/>
  <c r="I231" i="1" a="1"/>
  <c r="I231" i="1" s="1"/>
  <c r="K284" i="1" a="1"/>
  <c r="K284" i="1" s="1"/>
  <c r="L284" i="1" s="1" a="1"/>
  <c r="L284" i="1" s="1"/>
  <c r="K283" i="1" a="1"/>
  <c r="K283" i="1" s="1"/>
  <c r="L283" i="1" s="1" a="1"/>
  <c r="L283" i="1" s="1"/>
  <c r="K263" i="1" a="1"/>
  <c r="K263" i="1" s="1"/>
  <c r="L263" i="1" s="1" a="1"/>
  <c r="L263" i="1" s="1"/>
  <c r="I261" i="1" a="1"/>
  <c r="I261" i="1" s="1"/>
  <c r="K255" i="1" a="1"/>
  <c r="K255" i="1" s="1"/>
  <c r="L255" i="1" s="1" a="1"/>
  <c r="L255" i="1" s="1"/>
  <c r="I253" i="1" a="1"/>
  <c r="I253" i="1" s="1"/>
  <c r="K247" i="1" a="1"/>
  <c r="K247" i="1" s="1"/>
  <c r="L247" i="1" s="1" a="1"/>
  <c r="L247" i="1" s="1"/>
  <c r="I245" i="1" a="1"/>
  <c r="I245" i="1" s="1"/>
  <c r="K239" i="1" a="1"/>
  <c r="K239" i="1" s="1"/>
  <c r="L239" i="1" s="1" a="1"/>
  <c r="L239" i="1" s="1"/>
  <c r="I237" i="1" a="1"/>
  <c r="I237" i="1" s="1"/>
  <c r="I230" i="1" a="1"/>
  <c r="I230" i="1" s="1"/>
  <c r="I222" i="1" a="1"/>
  <c r="I222" i="1" s="1"/>
  <c r="I214" i="1" a="1"/>
  <c r="I214" i="1" s="1"/>
  <c r="K202" i="1" a="1"/>
  <c r="K202" i="1" s="1"/>
  <c r="L202" i="1" s="1" a="1"/>
  <c r="L202" i="1" s="1"/>
  <c r="I269" i="1" a="1"/>
  <c r="I269" i="1" s="1"/>
  <c r="K256" i="1" a="1"/>
  <c r="K256" i="1" s="1"/>
  <c r="L256" i="1" s="1" a="1"/>
  <c r="L256" i="1" s="1"/>
  <c r="I254" i="1" a="1"/>
  <c r="I254" i="1" s="1"/>
  <c r="K248" i="1" a="1"/>
  <c r="K248" i="1" s="1"/>
  <c r="L248" i="1" s="1" a="1"/>
  <c r="L248" i="1" s="1"/>
  <c r="I246" i="1" a="1"/>
  <c r="I246" i="1" s="1"/>
  <c r="K240" i="1" a="1"/>
  <c r="K240" i="1" s="1"/>
  <c r="L240" i="1" s="1" a="1"/>
  <c r="L240" i="1" s="1"/>
  <c r="I238" i="1" a="1"/>
  <c r="I238" i="1" s="1"/>
  <c r="I229" i="1" a="1"/>
  <c r="I229" i="1" s="1"/>
  <c r="I221" i="1" a="1"/>
  <c r="I221" i="1" s="1"/>
  <c r="I213" i="1" a="1"/>
  <c r="I213" i="1" s="1"/>
  <c r="K205" i="1" a="1"/>
  <c r="K205" i="1" s="1"/>
  <c r="L205" i="1" s="1" a="1"/>
  <c r="L205" i="1" s="1"/>
  <c r="I204" i="1" a="1"/>
  <c r="I204" i="1" s="1"/>
  <c r="J301" i="1" a="1"/>
  <c r="J301" i="1" s="1"/>
  <c r="I263" i="1" a="1"/>
  <c r="I263" i="1" s="1"/>
  <c r="K257" i="1" a="1"/>
  <c r="K257" i="1" s="1"/>
  <c r="L257" i="1" s="1" a="1"/>
  <c r="L257" i="1" s="1"/>
  <c r="I255" i="1" a="1"/>
  <c r="I255" i="1" s="1"/>
  <c r="K249" i="1" a="1"/>
  <c r="K249" i="1" s="1"/>
  <c r="L249" i="1" s="1" a="1"/>
  <c r="L249" i="1" s="1"/>
  <c r="K292" i="1" a="1"/>
  <c r="K292" i="1" s="1"/>
  <c r="L292" i="1" s="1" a="1"/>
  <c r="L292" i="1" s="1"/>
  <c r="I291" i="1" a="1"/>
  <c r="I291" i="1" s="1"/>
  <c r="I290" i="1" a="1"/>
  <c r="I290" i="1" s="1"/>
  <c r="I276" i="1" a="1"/>
  <c r="I276" i="1" s="1"/>
  <c r="K270" i="1" a="1"/>
  <c r="K270" i="1" s="1"/>
  <c r="L270" i="1" s="1" a="1"/>
  <c r="L270" i="1" s="1"/>
  <c r="K262" i="1" a="1"/>
  <c r="K262" i="1" s="1"/>
  <c r="L262" i="1" s="1" a="1"/>
  <c r="L262" i="1" s="1"/>
  <c r="K259" i="1" a="1"/>
  <c r="K259" i="1" s="1"/>
  <c r="L259" i="1" s="1" a="1"/>
  <c r="L259" i="1" s="1"/>
  <c r="K251" i="1" a="1"/>
  <c r="K251" i="1" s="1"/>
  <c r="L251" i="1" s="1" a="1"/>
  <c r="L251" i="1" s="1"/>
  <c r="K243" i="1" a="1"/>
  <c r="K243" i="1" s="1"/>
  <c r="L243" i="1" s="1" a="1"/>
  <c r="L243" i="1" s="1"/>
  <c r="K235" i="1" a="1"/>
  <c r="K235" i="1" s="1"/>
  <c r="L235" i="1" s="1" a="1"/>
  <c r="L235" i="1" s="1"/>
  <c r="I227" i="1" a="1"/>
  <c r="I227" i="1" s="1"/>
  <c r="I215" i="1" a="1"/>
  <c r="I215" i="1" s="1"/>
  <c r="K204" i="1" a="1"/>
  <c r="K204" i="1" s="1"/>
  <c r="L204" i="1" s="1" a="1"/>
  <c r="L204" i="1" s="1"/>
  <c r="I200" i="1" a="1"/>
  <c r="I200" i="1" s="1"/>
  <c r="K193" i="1" a="1"/>
  <c r="K193" i="1" s="1"/>
  <c r="L193" i="1" s="1" a="1"/>
  <c r="L193" i="1" s="1"/>
  <c r="I192" i="1" a="1"/>
  <c r="I192" i="1" s="1"/>
  <c r="K185" i="1" a="1"/>
  <c r="K185" i="1" s="1"/>
  <c r="L185" i="1" s="1" a="1"/>
  <c r="L185" i="1" s="1"/>
  <c r="I184" i="1" a="1"/>
  <c r="I184" i="1" s="1"/>
  <c r="K177" i="1" a="1"/>
  <c r="K177" i="1" s="1"/>
  <c r="L177" i="1" s="1" a="1"/>
  <c r="L177" i="1" s="1"/>
  <c r="I176" i="1" a="1"/>
  <c r="I176" i="1" s="1"/>
  <c r="K169" i="1" a="1"/>
  <c r="K169" i="1" s="1"/>
  <c r="L169" i="1" s="1" a="1"/>
  <c r="L169" i="1" s="1"/>
  <c r="I168" i="1" a="1"/>
  <c r="I168" i="1" s="1"/>
  <c r="K161" i="1" a="1"/>
  <c r="K161" i="1" s="1"/>
  <c r="L161" i="1" s="1" a="1"/>
  <c r="L161" i="1" s="1"/>
  <c r="I160" i="1" a="1"/>
  <c r="I160" i="1" s="1"/>
  <c r="K153" i="1" a="1"/>
  <c r="K153" i="1" s="1"/>
  <c r="L153" i="1" s="1" a="1"/>
  <c r="L153" i="1" s="1"/>
  <c r="I247" i="1" a="1"/>
  <c r="I247" i="1" s="1"/>
  <c r="I220" i="1" a="1"/>
  <c r="I220" i="1" s="1"/>
  <c r="I219" i="1" a="1"/>
  <c r="I219" i="1" s="1"/>
  <c r="K206" i="1" a="1"/>
  <c r="K206" i="1" s="1"/>
  <c r="L206" i="1" s="1" a="1"/>
  <c r="L206" i="1" s="1"/>
  <c r="K196" i="1" a="1"/>
  <c r="K196" i="1" s="1"/>
  <c r="L196" i="1" s="1" a="1"/>
  <c r="L196" i="1" s="1"/>
  <c r="I195" i="1" a="1"/>
  <c r="I195" i="1" s="1"/>
  <c r="K188" i="1" a="1"/>
  <c r="K188" i="1" s="1"/>
  <c r="L188" i="1" s="1" a="1"/>
  <c r="L188" i="1" s="1"/>
  <c r="I187" i="1" a="1"/>
  <c r="I187" i="1" s="1"/>
  <c r="K180" i="1" a="1"/>
  <c r="K180" i="1" s="1"/>
  <c r="L180" i="1" s="1" a="1"/>
  <c r="L180" i="1" s="1"/>
  <c r="I179" i="1" a="1"/>
  <c r="I179" i="1" s="1"/>
  <c r="K172" i="1" a="1"/>
  <c r="K172" i="1" s="1"/>
  <c r="L172" i="1" s="1" a="1"/>
  <c r="L172" i="1" s="1"/>
  <c r="I239" i="1" a="1"/>
  <c r="I239" i="1" s="1"/>
  <c r="I232" i="1" a="1"/>
  <c r="I232" i="1" s="1"/>
  <c r="I228" i="1" a="1"/>
  <c r="I228" i="1" s="1"/>
  <c r="I212" i="1" a="1"/>
  <c r="I212" i="1" s="1"/>
  <c r="I208" i="1" a="1"/>
  <c r="I208" i="1" s="1"/>
  <c r="I202" i="1" a="1"/>
  <c r="I202" i="1" s="1"/>
  <c r="K199" i="1" a="1"/>
  <c r="K199" i="1" s="1"/>
  <c r="L199" i="1" s="1" a="1"/>
  <c r="L199" i="1" s="1"/>
  <c r="I198" i="1" a="1"/>
  <c r="I198" i="1" s="1"/>
  <c r="K191" i="1" a="1"/>
  <c r="K191" i="1" s="1"/>
  <c r="L191" i="1" s="1" a="1"/>
  <c r="L191" i="1" s="1"/>
  <c r="I190" i="1" a="1"/>
  <c r="I190" i="1" s="1"/>
  <c r="K183" i="1" a="1"/>
  <c r="K183" i="1" s="1"/>
  <c r="L183" i="1" s="1" a="1"/>
  <c r="L183" i="1" s="1"/>
  <c r="I182" i="1" a="1"/>
  <c r="I182" i="1" s="1"/>
  <c r="K175" i="1" a="1"/>
  <c r="K175" i="1" s="1"/>
  <c r="L175" i="1" s="1" a="1"/>
  <c r="L175" i="1" s="1"/>
  <c r="I174" i="1" a="1"/>
  <c r="I174" i="1" s="1"/>
  <c r="K167" i="1" a="1"/>
  <c r="K167" i="1" s="1"/>
  <c r="L167" i="1" s="1" a="1"/>
  <c r="L167" i="1" s="1"/>
  <c r="I166" i="1" a="1"/>
  <c r="I166" i="1" s="1"/>
  <c r="K159" i="1" a="1"/>
  <c r="K159" i="1" s="1"/>
  <c r="L159" i="1" s="1" a="1"/>
  <c r="L159" i="1" s="1"/>
  <c r="I218" i="1" a="1"/>
  <c r="I218" i="1" s="1"/>
  <c r="I206" i="1" a="1"/>
  <c r="I206" i="1" s="1"/>
  <c r="K194" i="1" a="1"/>
  <c r="K194" i="1" s="1"/>
  <c r="L194" i="1" s="1" a="1"/>
  <c r="L194" i="1" s="1"/>
  <c r="I193" i="1" a="1"/>
  <c r="I193" i="1" s="1"/>
  <c r="K186" i="1" a="1"/>
  <c r="K186" i="1" s="1"/>
  <c r="L186" i="1" s="1" a="1"/>
  <c r="L186" i="1" s="1"/>
  <c r="I185" i="1" a="1"/>
  <c r="I185" i="1" s="1"/>
  <c r="K178" i="1" a="1"/>
  <c r="K178" i="1" s="1"/>
  <c r="L178" i="1" s="1" a="1"/>
  <c r="L178" i="1" s="1"/>
  <c r="I177" i="1" a="1"/>
  <c r="I177" i="1" s="1"/>
  <c r="K170" i="1" a="1"/>
  <c r="K170" i="1" s="1"/>
  <c r="L170" i="1" s="1" a="1"/>
  <c r="L170" i="1" s="1"/>
  <c r="I169" i="1" a="1"/>
  <c r="I169" i="1" s="1"/>
  <c r="K162" i="1" a="1"/>
  <c r="K162" i="1" s="1"/>
  <c r="L162" i="1" s="1" a="1"/>
  <c r="L162" i="1" s="1"/>
  <c r="I161" i="1" a="1"/>
  <c r="I161" i="1" s="1"/>
  <c r="K154" i="1" a="1"/>
  <c r="K154" i="1" s="1"/>
  <c r="L154" i="1" s="1" a="1"/>
  <c r="L154" i="1" s="1"/>
  <c r="I153" i="1" a="1"/>
  <c r="I153" i="1" s="1"/>
  <c r="K146" i="1" a="1"/>
  <c r="K146" i="1" s="1"/>
  <c r="L146" i="1" s="1" a="1"/>
  <c r="L146" i="1" s="1"/>
  <c r="K207" i="1" a="1"/>
  <c r="K207" i="1" s="1"/>
  <c r="L207" i="1" s="1" a="1"/>
  <c r="L207" i="1" s="1"/>
  <c r="K203" i="1" a="1"/>
  <c r="K203" i="1" s="1"/>
  <c r="L203" i="1" s="1" a="1"/>
  <c r="L203" i="1" s="1"/>
  <c r="K197" i="1" a="1"/>
  <c r="K197" i="1" s="1"/>
  <c r="L197" i="1" s="1" a="1"/>
  <c r="L197" i="1" s="1"/>
  <c r="I196" i="1" a="1"/>
  <c r="I196" i="1" s="1"/>
  <c r="K189" i="1" a="1"/>
  <c r="K189" i="1" s="1"/>
  <c r="L189" i="1" s="1" a="1"/>
  <c r="L189" i="1" s="1"/>
  <c r="I188" i="1" a="1"/>
  <c r="I188" i="1" s="1"/>
  <c r="K181" i="1" a="1"/>
  <c r="K181" i="1" s="1"/>
  <c r="L181" i="1" s="1" a="1"/>
  <c r="L181" i="1" s="1"/>
  <c r="I180" i="1" a="1"/>
  <c r="I180" i="1" s="1"/>
  <c r="K173" i="1" a="1"/>
  <c r="K173" i="1" s="1"/>
  <c r="L173" i="1" s="1" a="1"/>
  <c r="L173" i="1" s="1"/>
  <c r="I172" i="1" a="1"/>
  <c r="I172" i="1" s="1"/>
  <c r="K165" i="1" a="1"/>
  <c r="K165" i="1" s="1"/>
  <c r="L165" i="1" s="1" a="1"/>
  <c r="L165" i="1" s="1"/>
  <c r="I164" i="1" a="1"/>
  <c r="I164" i="1" s="1"/>
  <c r="I224" i="1" a="1"/>
  <c r="I224" i="1" s="1"/>
  <c r="I223" i="1" a="1"/>
  <c r="I223" i="1" s="1"/>
  <c r="I211" i="1" a="1"/>
  <c r="I211" i="1" s="1"/>
  <c r="I207" i="1" a="1"/>
  <c r="I207" i="1" s="1"/>
  <c r="K200" i="1" a="1"/>
  <c r="K200" i="1" s="1"/>
  <c r="L200" i="1" s="1" a="1"/>
  <c r="L200" i="1" s="1"/>
  <c r="I199" i="1" a="1"/>
  <c r="I199" i="1" s="1"/>
  <c r="K192" i="1" a="1"/>
  <c r="K192" i="1" s="1"/>
  <c r="L192" i="1" s="1" a="1"/>
  <c r="L192" i="1" s="1"/>
  <c r="I191" i="1" a="1"/>
  <c r="I191" i="1" s="1"/>
  <c r="K184" i="1" a="1"/>
  <c r="K184" i="1" s="1"/>
  <c r="L184" i="1" s="1" a="1"/>
  <c r="L184" i="1" s="1"/>
  <c r="I183" i="1" a="1"/>
  <c r="I183" i="1" s="1"/>
  <c r="K241" i="1" a="1"/>
  <c r="K241" i="1" s="1"/>
  <c r="L241" i="1" s="1" a="1"/>
  <c r="L241" i="1" s="1"/>
  <c r="I216" i="1" a="1"/>
  <c r="I216" i="1" s="1"/>
  <c r="I194" i="1" a="1"/>
  <c r="I194" i="1" s="1"/>
  <c r="K190" i="1" a="1"/>
  <c r="K190" i="1" s="1"/>
  <c r="L190" i="1" s="1" a="1"/>
  <c r="L190" i="1" s="1"/>
  <c r="K187" i="1" a="1"/>
  <c r="K187" i="1" s="1"/>
  <c r="L187" i="1" s="1" a="1"/>
  <c r="L187" i="1" s="1"/>
  <c r="I171" i="1" a="1"/>
  <c r="I171" i="1" s="1"/>
  <c r="I170" i="1" a="1"/>
  <c r="I170" i="1" s="1"/>
  <c r="I158" i="1" a="1"/>
  <c r="I158" i="1" s="1"/>
  <c r="I148" i="1" a="1"/>
  <c r="I148" i="1" s="1"/>
  <c r="K147" i="1" a="1"/>
  <c r="K147" i="1" s="1"/>
  <c r="L147" i="1" s="1" a="1"/>
  <c r="L147" i="1" s="1"/>
  <c r="K141" i="1" a="1"/>
  <c r="K141" i="1" s="1"/>
  <c r="L141" i="1" s="1" a="1"/>
  <c r="L141" i="1" s="1"/>
  <c r="I140" i="1" a="1"/>
  <c r="I140" i="1" s="1"/>
  <c r="K133" i="1" a="1"/>
  <c r="K133" i="1" s="1"/>
  <c r="L133" i="1" s="1" a="1"/>
  <c r="L133" i="1" s="1"/>
  <c r="I132" i="1" a="1"/>
  <c r="I132" i="1" s="1"/>
  <c r="K125" i="1" a="1"/>
  <c r="K125" i="1" s="1"/>
  <c r="L125" i="1" s="1" a="1"/>
  <c r="L125" i="1" s="1"/>
  <c r="I124" i="1" a="1"/>
  <c r="I124" i="1" s="1"/>
  <c r="K117" i="1" a="1"/>
  <c r="K117" i="1" s="1"/>
  <c r="L117" i="1" s="1" a="1"/>
  <c r="L117" i="1" s="1"/>
  <c r="I116" i="1" a="1"/>
  <c r="I116" i="1" s="1"/>
  <c r="I197" i="1" a="1"/>
  <c r="I197" i="1" s="1"/>
  <c r="K168" i="1" a="1"/>
  <c r="K168" i="1" s="1"/>
  <c r="L168" i="1" s="1" a="1"/>
  <c r="L168" i="1" s="1"/>
  <c r="I163" i="1" a="1"/>
  <c r="I163" i="1" s="1"/>
  <c r="I162" i="1" a="1"/>
  <c r="I162" i="1" s="1"/>
  <c r="K155" i="1" a="1"/>
  <c r="K155" i="1" s="1"/>
  <c r="L155" i="1" s="1" a="1"/>
  <c r="L155" i="1" s="1"/>
  <c r="I152" i="1" a="1"/>
  <c r="I152" i="1" s="1"/>
  <c r="K151" i="1" a="1"/>
  <c r="K151" i="1" s="1"/>
  <c r="L151" i="1" s="1" a="1"/>
  <c r="L151" i="1" s="1"/>
  <c r="K144" i="1" a="1"/>
  <c r="K144" i="1" s="1"/>
  <c r="L144" i="1" s="1" a="1"/>
  <c r="L144" i="1" s="1"/>
  <c r="I143" i="1" a="1"/>
  <c r="I143" i="1" s="1"/>
  <c r="K136" i="1" a="1"/>
  <c r="K136" i="1" s="1"/>
  <c r="L136" i="1" s="1" a="1"/>
  <c r="L136" i="1" s="1"/>
  <c r="I135" i="1" a="1"/>
  <c r="I135" i="1" s="1"/>
  <c r="K128" i="1" a="1"/>
  <c r="K128" i="1" s="1"/>
  <c r="L128" i="1" s="1" a="1"/>
  <c r="L128" i="1" s="1"/>
  <c r="I205" i="1" a="1"/>
  <c r="I205" i="1" s="1"/>
  <c r="I201" i="1" a="1"/>
  <c r="I201" i="1" s="1"/>
  <c r="I181" i="1" a="1"/>
  <c r="I181" i="1" s="1"/>
  <c r="I159" i="1" a="1"/>
  <c r="I159" i="1" s="1"/>
  <c r="K156" i="1" a="1"/>
  <c r="K156" i="1" s="1"/>
  <c r="L156" i="1" s="1" a="1"/>
  <c r="L156" i="1" s="1"/>
  <c r="I154" i="1" a="1"/>
  <c r="I154" i="1" s="1"/>
  <c r="K139" i="1" a="1"/>
  <c r="K139" i="1" s="1"/>
  <c r="L139" i="1" s="1" a="1"/>
  <c r="L139" i="1" s="1"/>
  <c r="I138" i="1" a="1"/>
  <c r="I138" i="1" s="1"/>
  <c r="K131" i="1" a="1"/>
  <c r="K131" i="1" s="1"/>
  <c r="L131" i="1" s="1" a="1"/>
  <c r="L131" i="1" s="1"/>
  <c r="I186" i="1" a="1"/>
  <c r="I186" i="1" s="1"/>
  <c r="K182" i="1" a="1"/>
  <c r="K182" i="1" s="1"/>
  <c r="L182" i="1" s="1" a="1"/>
  <c r="L182" i="1" s="1"/>
  <c r="I178" i="1" a="1"/>
  <c r="I178" i="1" s="1"/>
  <c r="I167" i="1" a="1"/>
  <c r="I167" i="1" s="1"/>
  <c r="I155" i="1" a="1"/>
  <c r="I155" i="1" s="1"/>
  <c r="I151" i="1" a="1"/>
  <c r="I151" i="1" s="1"/>
  <c r="K150" i="1" a="1"/>
  <c r="K150" i="1" s="1"/>
  <c r="L150" i="1" s="1" a="1"/>
  <c r="L150" i="1" s="1"/>
  <c r="I147" i="1" a="1"/>
  <c r="I147" i="1" s="1"/>
  <c r="K142" i="1" a="1"/>
  <c r="K142" i="1" s="1"/>
  <c r="L142" i="1" s="1" a="1"/>
  <c r="L142" i="1" s="1"/>
  <c r="I141" i="1" a="1"/>
  <c r="I141" i="1" s="1"/>
  <c r="K134" i="1" a="1"/>
  <c r="K134" i="1" s="1"/>
  <c r="L134" i="1" s="1" a="1"/>
  <c r="L134" i="1" s="1"/>
  <c r="I133" i="1" a="1"/>
  <c r="I133" i="1" s="1"/>
  <c r="K126" i="1" a="1"/>
  <c r="K126" i="1" s="1"/>
  <c r="L126" i="1" s="1" a="1"/>
  <c r="L126" i="1" s="1"/>
  <c r="I125" i="1" a="1"/>
  <c r="I125" i="1" s="1"/>
  <c r="K118" i="1" a="1"/>
  <c r="K118" i="1" s="1"/>
  <c r="L118" i="1" s="1" a="1"/>
  <c r="L118" i="1" s="1"/>
  <c r="I117" i="1" a="1"/>
  <c r="I117" i="1" s="1"/>
  <c r="J114" i="1" a="1"/>
  <c r="J114" i="1" s="1"/>
  <c r="J113" i="1" a="1"/>
  <c r="J113" i="1" s="1"/>
  <c r="J112" i="1" a="1"/>
  <c r="J112" i="1" s="1"/>
  <c r="J111" i="1" a="1"/>
  <c r="J111" i="1" s="1"/>
  <c r="J110" i="1" a="1"/>
  <c r="J110" i="1" s="1"/>
  <c r="J109" i="1" a="1"/>
  <c r="J109" i="1" s="1"/>
  <c r="J108" i="1" a="1"/>
  <c r="J108" i="1" s="1"/>
  <c r="J107" i="1" a="1"/>
  <c r="J107" i="1" s="1"/>
  <c r="J106" i="1" a="1"/>
  <c r="J106" i="1" s="1"/>
  <c r="J105" i="1" a="1"/>
  <c r="J105" i="1" s="1"/>
  <c r="J104" i="1" a="1"/>
  <c r="J104" i="1" s="1"/>
  <c r="J103" i="1" a="1"/>
  <c r="J10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I189" i="1" a="1"/>
  <c r="I189" i="1" s="1"/>
  <c r="K179" i="1" a="1"/>
  <c r="K179" i="1" s="1"/>
  <c r="L179" i="1" s="1" a="1"/>
  <c r="L179" i="1" s="1"/>
  <c r="I173" i="1" a="1"/>
  <c r="I173" i="1" s="1"/>
  <c r="K160" i="1" a="1"/>
  <c r="K160" i="1" s="1"/>
  <c r="L160" i="1" s="1" a="1"/>
  <c r="L160" i="1" s="1"/>
  <c r="K157" i="1" a="1"/>
  <c r="K157" i="1" s="1"/>
  <c r="L157" i="1" s="1" a="1"/>
  <c r="L157" i="1" s="1"/>
  <c r="I156" i="1" a="1"/>
  <c r="I156" i="1" s="1"/>
  <c r="K149" i="1" a="1"/>
  <c r="K149" i="1" s="1"/>
  <c r="L149" i="1" s="1" a="1"/>
  <c r="L149" i="1" s="1"/>
  <c r="I146" i="1" a="1"/>
  <c r="I146" i="1" s="1"/>
  <c r="K145" i="1" a="1"/>
  <c r="K145" i="1" s="1"/>
  <c r="L145" i="1" s="1" a="1"/>
  <c r="L145" i="1" s="1"/>
  <c r="I144" i="1" a="1"/>
  <c r="I144" i="1" s="1"/>
  <c r="K137" i="1" a="1"/>
  <c r="K137" i="1" s="1"/>
  <c r="L137" i="1" s="1" a="1"/>
  <c r="L137" i="1" s="1"/>
  <c r="I136" i="1" a="1"/>
  <c r="I136" i="1" s="1"/>
  <c r="K129" i="1" a="1"/>
  <c r="K129" i="1" s="1"/>
  <c r="L129" i="1" s="1" a="1"/>
  <c r="L129" i="1" s="1"/>
  <c r="I203" i="1" a="1"/>
  <c r="I203" i="1" s="1"/>
  <c r="K198" i="1" a="1"/>
  <c r="K198" i="1" s="1"/>
  <c r="L198" i="1" s="1" a="1"/>
  <c r="L198" i="1" s="1"/>
  <c r="K195" i="1" a="1"/>
  <c r="K195" i="1" s="1"/>
  <c r="L195" i="1" s="1" a="1"/>
  <c r="L195" i="1" s="1"/>
  <c r="I175" i="1" a="1"/>
  <c r="I175" i="1" s="1"/>
  <c r="K174" i="1" a="1"/>
  <c r="K174" i="1" s="1"/>
  <c r="L174" i="1" s="1" a="1"/>
  <c r="L174" i="1" s="1"/>
  <c r="K166" i="1" a="1"/>
  <c r="K166" i="1" s="1"/>
  <c r="L166" i="1" s="1" a="1"/>
  <c r="L166" i="1" s="1"/>
  <c r="K140" i="1" a="1"/>
  <c r="K140" i="1" s="1"/>
  <c r="L140" i="1" s="1" a="1"/>
  <c r="L140" i="1" s="1"/>
  <c r="I139" i="1" a="1"/>
  <c r="I139" i="1" s="1"/>
  <c r="K132" i="1" a="1"/>
  <c r="K132" i="1" s="1"/>
  <c r="L132" i="1" s="1" a="1"/>
  <c r="L132" i="1" s="1"/>
  <c r="K171" i="1" a="1"/>
  <c r="K171" i="1" s="1"/>
  <c r="L171" i="1" s="1" a="1"/>
  <c r="L171" i="1" s="1"/>
  <c r="K164" i="1" a="1"/>
  <c r="K164" i="1" s="1"/>
  <c r="L164" i="1" s="1" a="1"/>
  <c r="L164" i="1" s="1"/>
  <c r="K158" i="1" a="1"/>
  <c r="K158" i="1" s="1"/>
  <c r="L158" i="1" s="1" a="1"/>
  <c r="L158" i="1" s="1"/>
  <c r="K152" i="1" a="1"/>
  <c r="K152" i="1" s="1"/>
  <c r="L152" i="1" s="1" a="1"/>
  <c r="L152" i="1" s="1"/>
  <c r="I150" i="1" a="1"/>
  <c r="I150" i="1" s="1"/>
  <c r="K148" i="1" a="1"/>
  <c r="K148" i="1" s="1"/>
  <c r="L148" i="1" s="1" a="1"/>
  <c r="L148" i="1" s="1"/>
  <c r="K143" i="1" a="1"/>
  <c r="K143" i="1" s="1"/>
  <c r="L143" i="1" s="1" a="1"/>
  <c r="L143" i="1" s="1"/>
  <c r="I210" i="1" a="1"/>
  <c r="I210" i="1" s="1"/>
  <c r="K176" i="1" a="1"/>
  <c r="K176" i="1" s="1"/>
  <c r="L176" i="1" s="1" a="1"/>
  <c r="L176" i="1" s="1"/>
  <c r="I165" i="1" a="1"/>
  <c r="I165" i="1" s="1"/>
  <c r="K163" i="1" a="1"/>
  <c r="K163" i="1" s="1"/>
  <c r="L163" i="1" s="1" a="1"/>
  <c r="L163" i="1" s="1"/>
  <c r="I157" i="1" a="1"/>
  <c r="I157" i="1" s="1"/>
  <c r="I149" i="1" a="1"/>
  <c r="I149" i="1" s="1"/>
  <c r="I145" i="1" a="1"/>
  <c r="I145" i="1" s="1"/>
  <c r="K138" i="1" a="1"/>
  <c r="K138" i="1" s="1"/>
  <c r="L138" i="1" s="1" a="1"/>
  <c r="L138" i="1" s="1"/>
  <c r="I137" i="1" a="1"/>
  <c r="I137" i="1" s="1"/>
  <c r="K130" i="1" a="1"/>
  <c r="K130" i="1" s="1"/>
  <c r="L130" i="1" s="1" a="1"/>
  <c r="L130" i="1" s="1"/>
  <c r="K124" i="1" a="1"/>
  <c r="K124" i="1" s="1"/>
  <c r="L124" i="1" s="1" a="1"/>
  <c r="L124" i="1" s="1"/>
  <c r="K123" i="1" a="1"/>
  <c r="K123" i="1" s="1"/>
  <c r="L123" i="1" s="1" a="1"/>
  <c r="L123" i="1" s="1"/>
  <c r="K122" i="1" a="1"/>
  <c r="K122" i="1" s="1"/>
  <c r="L122" i="1" s="1" a="1"/>
  <c r="L122" i="1" s="1"/>
  <c r="K116" i="1" a="1"/>
  <c r="K116" i="1" s="1"/>
  <c r="L116" i="1" s="1" a="1"/>
  <c r="L116" i="1" s="1"/>
  <c r="K115" i="1" a="1"/>
  <c r="K115" i="1" s="1"/>
  <c r="L115" i="1" s="1" a="1"/>
  <c r="L115" i="1" s="1"/>
  <c r="I112" i="1" a="1"/>
  <c r="I112" i="1" s="1"/>
  <c r="I109" i="1" a="1"/>
  <c r="I109" i="1" s="1"/>
  <c r="K102" i="1" a="1"/>
  <c r="K102" i="1" s="1"/>
  <c r="L102" i="1" s="1" a="1"/>
  <c r="L102" i="1" s="1"/>
  <c r="I101" i="1" a="1"/>
  <c r="I101" i="1" s="1"/>
  <c r="K94" i="1" a="1"/>
  <c r="K94" i="1" s="1"/>
  <c r="L94" i="1" s="1" a="1"/>
  <c r="L94" i="1" s="1"/>
  <c r="I93" i="1" a="1"/>
  <c r="I93" i="1" s="1"/>
  <c r="K86" i="1" a="1"/>
  <c r="K86" i="1" s="1"/>
  <c r="L86" i="1" s="1" a="1"/>
  <c r="L86" i="1" s="1"/>
  <c r="I85" i="1" a="1"/>
  <c r="I85" i="1" s="1"/>
  <c r="K78" i="1" a="1"/>
  <c r="K78" i="1" s="1"/>
  <c r="L78" i="1" s="1" a="1"/>
  <c r="L78" i="1" s="1"/>
  <c r="I77" i="1" a="1"/>
  <c r="I77" i="1" s="1"/>
  <c r="K70" i="1" a="1"/>
  <c r="K70" i="1" s="1"/>
  <c r="L70" i="1" s="1" a="1"/>
  <c r="L70" i="1" s="1"/>
  <c r="I131" i="1" a="1"/>
  <c r="I131" i="1" s="1"/>
  <c r="I121" i="1" a="1"/>
  <c r="I121" i="1" s="1"/>
  <c r="K114" i="1" a="1"/>
  <c r="K114" i="1" s="1"/>
  <c r="L114" i="1" s="1" a="1"/>
  <c r="L114" i="1" s="1"/>
  <c r="K110" i="1" a="1"/>
  <c r="K110" i="1" s="1"/>
  <c r="L110" i="1" s="1" a="1"/>
  <c r="L110" i="1" s="1"/>
  <c r="K105" i="1" a="1"/>
  <c r="K105" i="1" s="1"/>
  <c r="L105" i="1" s="1" a="1"/>
  <c r="L105" i="1" s="1"/>
  <c r="I104" i="1" a="1"/>
  <c r="I104" i="1" s="1"/>
  <c r="K97" i="1" a="1"/>
  <c r="K97" i="1" s="1"/>
  <c r="L97" i="1" s="1" a="1"/>
  <c r="L97" i="1" s="1"/>
  <c r="I96" i="1" a="1"/>
  <c r="I96" i="1" s="1"/>
  <c r="K89" i="1" a="1"/>
  <c r="K89" i="1" s="1"/>
  <c r="L89" i="1" s="1" a="1"/>
  <c r="L89" i="1" s="1"/>
  <c r="I88" i="1" a="1"/>
  <c r="I88" i="1" s="1"/>
  <c r="K81" i="1" a="1"/>
  <c r="K81" i="1" s="1"/>
  <c r="L81" i="1" s="1" a="1"/>
  <c r="L81" i="1" s="1"/>
  <c r="I123" i="1" a="1"/>
  <c r="I123" i="1" s="1"/>
  <c r="I122" i="1" a="1"/>
  <c r="I122" i="1" s="1"/>
  <c r="I115" i="1" a="1"/>
  <c r="I115" i="1" s="1"/>
  <c r="I111" i="1" a="1"/>
  <c r="I111" i="1" s="1"/>
  <c r="K108" i="1" a="1"/>
  <c r="K108" i="1" s="1"/>
  <c r="L108" i="1" s="1" a="1"/>
  <c r="L108" i="1" s="1"/>
  <c r="I107" i="1" a="1"/>
  <c r="I107" i="1" s="1"/>
  <c r="K100" i="1" a="1"/>
  <c r="K100" i="1" s="1"/>
  <c r="L100" i="1" s="1" a="1"/>
  <c r="L100" i="1" s="1"/>
  <c r="I99" i="1" a="1"/>
  <c r="I99" i="1" s="1"/>
  <c r="K92" i="1" a="1"/>
  <c r="K92" i="1" s="1"/>
  <c r="L92" i="1" s="1" a="1"/>
  <c r="L92" i="1" s="1"/>
  <c r="I91" i="1" a="1"/>
  <c r="I91" i="1" s="1"/>
  <c r="K84" i="1" a="1"/>
  <c r="K84" i="1" s="1"/>
  <c r="L84" i="1" s="1" a="1"/>
  <c r="L84" i="1" s="1"/>
  <c r="I83" i="1" a="1"/>
  <c r="I83" i="1" s="1"/>
  <c r="K76" i="1" a="1"/>
  <c r="K76" i="1" s="1"/>
  <c r="L76" i="1" s="1" a="1"/>
  <c r="L76" i="1" s="1"/>
  <c r="I75" i="1" a="1"/>
  <c r="I75" i="1" s="1"/>
  <c r="K68" i="1" a="1"/>
  <c r="K68" i="1" s="1"/>
  <c r="L68" i="1" s="1" a="1"/>
  <c r="L68" i="1" s="1"/>
  <c r="I67" i="1" a="1"/>
  <c r="I67" i="1" s="1"/>
  <c r="K60" i="1" a="1"/>
  <c r="K60" i="1" s="1"/>
  <c r="L60" i="1" s="1" a="1"/>
  <c r="L60" i="1" s="1"/>
  <c r="I142" i="1" a="1"/>
  <c r="I142" i="1" s="1"/>
  <c r="K127" i="1" a="1"/>
  <c r="K127" i="1" s="1"/>
  <c r="L127" i="1" s="1" a="1"/>
  <c r="L127" i="1" s="1"/>
  <c r="K119" i="1" a="1"/>
  <c r="K119" i="1" s="1"/>
  <c r="L119" i="1" s="1" a="1"/>
  <c r="L119" i="1" s="1"/>
  <c r="K113" i="1" a="1"/>
  <c r="K113" i="1" s="1"/>
  <c r="L113" i="1" s="1" a="1"/>
  <c r="L113" i="1" s="1"/>
  <c r="K103" i="1" a="1"/>
  <c r="K103" i="1" s="1"/>
  <c r="L103" i="1" s="1" a="1"/>
  <c r="L103" i="1" s="1"/>
  <c r="I102" i="1" a="1"/>
  <c r="I102" i="1" s="1"/>
  <c r="K95" i="1" a="1"/>
  <c r="K95" i="1" s="1"/>
  <c r="L95" i="1" s="1" a="1"/>
  <c r="L95" i="1" s="1"/>
  <c r="I94" i="1" a="1"/>
  <c r="I94" i="1" s="1"/>
  <c r="K87" i="1" a="1"/>
  <c r="K87" i="1" s="1"/>
  <c r="L87" i="1" s="1" a="1"/>
  <c r="L87" i="1" s="1"/>
  <c r="I86" i="1" a="1"/>
  <c r="I86" i="1" s="1"/>
  <c r="K79" i="1" a="1"/>
  <c r="K79" i="1" s="1"/>
  <c r="L79" i="1" s="1" a="1"/>
  <c r="L79" i="1" s="1"/>
  <c r="I78" i="1" a="1"/>
  <c r="I78" i="1" s="1"/>
  <c r="K71" i="1" a="1"/>
  <c r="K71" i="1" s="1"/>
  <c r="L71" i="1" s="1" a="1"/>
  <c r="L71" i="1" s="1"/>
  <c r="I126" i="1" a="1"/>
  <c r="I126" i="1" s="1"/>
  <c r="K120" i="1" a="1"/>
  <c r="K120" i="1" s="1"/>
  <c r="L120" i="1" s="1" a="1"/>
  <c r="L120" i="1" s="1"/>
  <c r="I118" i="1" a="1"/>
  <c r="I118" i="1" s="1"/>
  <c r="I114" i="1" a="1"/>
  <c r="I114" i="1" s="1"/>
  <c r="I110" i="1" a="1"/>
  <c r="I110" i="1" s="1"/>
  <c r="K106" i="1" a="1"/>
  <c r="K106" i="1" s="1"/>
  <c r="L106" i="1" s="1" a="1"/>
  <c r="L106" i="1" s="1"/>
  <c r="I105" i="1" a="1"/>
  <c r="I105" i="1" s="1"/>
  <c r="K98" i="1" a="1"/>
  <c r="K98" i="1" s="1"/>
  <c r="L98" i="1" s="1" a="1"/>
  <c r="L98" i="1" s="1"/>
  <c r="I97" i="1" a="1"/>
  <c r="I97" i="1" s="1"/>
  <c r="K90" i="1" a="1"/>
  <c r="K90" i="1" s="1"/>
  <c r="L90" i="1" s="1" a="1"/>
  <c r="L90" i="1" s="1"/>
  <c r="I89" i="1" a="1"/>
  <c r="I89" i="1" s="1"/>
  <c r="K82" i="1" a="1"/>
  <c r="K82" i="1" s="1"/>
  <c r="L82" i="1" s="1" a="1"/>
  <c r="L82" i="1" s="1"/>
  <c r="I81" i="1" a="1"/>
  <c r="I81" i="1" s="1"/>
  <c r="K74" i="1" a="1"/>
  <c r="K74" i="1" s="1"/>
  <c r="L74" i="1" s="1" a="1"/>
  <c r="L74" i="1" s="1"/>
  <c r="I129" i="1" a="1"/>
  <c r="I129" i="1" s="1"/>
  <c r="I127" i="1" a="1"/>
  <c r="I127" i="1" s="1"/>
  <c r="I119" i="1" a="1"/>
  <c r="I119" i="1" s="1"/>
  <c r="K112" i="1" a="1"/>
  <c r="K112" i="1" s="1"/>
  <c r="L112" i="1" s="1" a="1"/>
  <c r="L112" i="1" s="1"/>
  <c r="K109" i="1" a="1"/>
  <c r="K109" i="1" s="1"/>
  <c r="L109" i="1" s="1" a="1"/>
  <c r="L109" i="1" s="1"/>
  <c r="I108" i="1" a="1"/>
  <c r="I108" i="1" s="1"/>
  <c r="K101" i="1" a="1"/>
  <c r="K101" i="1" s="1"/>
  <c r="L101" i="1" s="1" a="1"/>
  <c r="L101" i="1" s="1"/>
  <c r="I100" i="1" a="1"/>
  <c r="I100" i="1" s="1"/>
  <c r="K93" i="1" a="1"/>
  <c r="K93" i="1" s="1"/>
  <c r="L93" i="1" s="1" a="1"/>
  <c r="L93" i="1" s="1"/>
  <c r="I92" i="1" a="1"/>
  <c r="I92" i="1" s="1"/>
  <c r="K85" i="1" a="1"/>
  <c r="K85" i="1" s="1"/>
  <c r="L85" i="1" s="1" a="1"/>
  <c r="L85" i="1" s="1"/>
  <c r="I84" i="1" a="1"/>
  <c r="I84" i="1" s="1"/>
  <c r="K77" i="1" a="1"/>
  <c r="K77" i="1" s="1"/>
  <c r="L77" i="1" s="1" a="1"/>
  <c r="L77" i="1" s="1"/>
  <c r="I130" i="1" a="1"/>
  <c r="I130" i="1" s="1"/>
  <c r="I128" i="1" a="1"/>
  <c r="I128" i="1" s="1"/>
  <c r="K121" i="1" a="1"/>
  <c r="K121" i="1" s="1"/>
  <c r="L121" i="1" s="1" a="1"/>
  <c r="L121" i="1" s="1"/>
  <c r="I120" i="1" a="1"/>
  <c r="I120" i="1" s="1"/>
  <c r="I113" i="1" a="1"/>
  <c r="I113" i="1" s="1"/>
  <c r="K104" i="1" a="1"/>
  <c r="K104" i="1" s="1"/>
  <c r="L104" i="1" s="1" a="1"/>
  <c r="L104" i="1" s="1"/>
  <c r="I103" i="1" a="1"/>
  <c r="I103" i="1" s="1"/>
  <c r="K96" i="1" a="1"/>
  <c r="K96" i="1" s="1"/>
  <c r="L96" i="1" s="1" a="1"/>
  <c r="L96" i="1" s="1"/>
  <c r="I95" i="1" a="1"/>
  <c r="I95" i="1" s="1"/>
  <c r="K88" i="1" a="1"/>
  <c r="K88" i="1" s="1"/>
  <c r="L88" i="1" s="1" a="1"/>
  <c r="L88" i="1" s="1"/>
  <c r="I87" i="1" a="1"/>
  <c r="I87" i="1" s="1"/>
  <c r="K80" i="1" a="1"/>
  <c r="K80" i="1" s="1"/>
  <c r="L80" i="1" s="1" a="1"/>
  <c r="L80" i="1" s="1"/>
  <c r="I79" i="1" a="1"/>
  <c r="I79" i="1" s="1"/>
  <c r="K135" i="1" a="1"/>
  <c r="K135" i="1" s="1"/>
  <c r="L135" i="1" s="1" a="1"/>
  <c r="L135" i="1" s="1"/>
  <c r="I134" i="1" a="1"/>
  <c r="I134" i="1" s="1"/>
  <c r="K111" i="1" a="1"/>
  <c r="K111" i="1" s="1"/>
  <c r="L111" i="1" s="1" a="1"/>
  <c r="L111" i="1" s="1"/>
  <c r="K107" i="1" a="1"/>
  <c r="K107" i="1" s="1"/>
  <c r="L107" i="1" s="1" a="1"/>
  <c r="L107" i="1" s="1"/>
  <c r="I106" i="1" a="1"/>
  <c r="I106" i="1" s="1"/>
  <c r="K99" i="1" a="1"/>
  <c r="K99" i="1" s="1"/>
  <c r="L99" i="1" s="1" a="1"/>
  <c r="L99" i="1" s="1"/>
  <c r="I98" i="1" a="1"/>
  <c r="I98" i="1" s="1"/>
  <c r="K91" i="1" a="1"/>
  <c r="K91" i="1" s="1"/>
  <c r="L91" i="1" s="1" a="1"/>
  <c r="L91" i="1" s="1"/>
  <c r="C7" i="1"/>
  <c r="K7" i="1"/>
  <c r="Q9" i="1"/>
  <c r="A15" i="1"/>
  <c r="I15" i="1"/>
  <c r="Q15" i="1"/>
  <c r="E19" i="1"/>
  <c r="M19" i="1"/>
  <c r="C20" i="1"/>
  <c r="K20" i="1"/>
  <c r="K3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Q59" i="1" a="1"/>
  <c r="Q59" i="1" s="1"/>
  <c r="V59" i="1" a="1"/>
  <c r="V59" i="1" s="1"/>
  <c r="N60" i="1" a="1"/>
  <c r="N60" i="1" s="1"/>
  <c r="R62" i="1" a="1"/>
  <c r="R62" i="1" s="1"/>
  <c r="Q63" i="1" a="1"/>
  <c r="Q63" i="1" s="1"/>
  <c r="Q67" i="1" a="1"/>
  <c r="Q67" i="1" s="1"/>
  <c r="V67" i="1" a="1"/>
  <c r="V67" i="1" s="1"/>
  <c r="N68" i="1" a="1"/>
  <c r="N68" i="1" s="1"/>
  <c r="U69" i="1" a="1"/>
  <c r="U69" i="1" s="1"/>
  <c r="T71" i="1" a="1"/>
  <c r="T71" i="1" s="1"/>
  <c r="Q72" i="1" a="1"/>
  <c r="Q72" i="1" s="1"/>
  <c r="Q73" i="1" a="1"/>
  <c r="Q73" i="1" s="1"/>
  <c r="T74" i="1" a="1"/>
  <c r="T74" i="1" s="1"/>
  <c r="K75" i="1" a="1"/>
  <c r="K75" i="1" s="1"/>
  <c r="L75" i="1" s="1" a="1"/>
  <c r="L75" i="1" s="1"/>
  <c r="N36" i="1" a="1"/>
  <c r="N36" i="1" s="1"/>
  <c r="N38" i="1" a="1"/>
  <c r="N38" i="1" s="1"/>
  <c r="N40" i="1" a="1"/>
  <c r="N40" i="1" s="1"/>
  <c r="N42" i="1" a="1"/>
  <c r="N42" i="1" s="1"/>
  <c r="N44" i="1" a="1"/>
  <c r="N44" i="1" s="1"/>
  <c r="N46" i="1" a="1"/>
  <c r="N46" i="1" s="1"/>
  <c r="N49" i="1" a="1"/>
  <c r="N49" i="1" s="1"/>
  <c r="N50" i="1" a="1"/>
  <c r="N50" i="1" s="1"/>
  <c r="N52" i="1" a="1"/>
  <c r="N52" i="1" s="1"/>
  <c r="N54" i="1" a="1"/>
  <c r="N54" i="1" s="1"/>
  <c r="N56" i="1" a="1"/>
  <c r="N56" i="1" s="1"/>
  <c r="N58" i="1" a="1"/>
  <c r="N58" i="1" s="1"/>
  <c r="K59" i="1" a="1"/>
  <c r="K59" i="1" s="1"/>
  <c r="L59" i="1" s="1" a="1"/>
  <c r="L59" i="1" s="1"/>
  <c r="I60" i="1" a="1"/>
  <c r="I60" i="1" s="1"/>
  <c r="U60" i="1" a="1"/>
  <c r="U60" i="1" s="1"/>
  <c r="N65" i="1" a="1"/>
  <c r="N65" i="1" s="1"/>
  <c r="S66" i="1" a="1"/>
  <c r="S66" i="1" s="1"/>
  <c r="K67" i="1" a="1"/>
  <c r="K67" i="1" s="1"/>
  <c r="L67" i="1" s="1" a="1"/>
  <c r="L67" i="1" s="1"/>
  <c r="I68" i="1" a="1"/>
  <c r="I68" i="1" s="1"/>
  <c r="U68" i="1" a="1"/>
  <c r="U68" i="1" s="1"/>
  <c r="I72" i="1" a="1"/>
  <c r="I72" i="1" s="1"/>
  <c r="R73" i="1" a="1"/>
  <c r="R73" i="1" s="1"/>
  <c r="U74" i="1" a="1"/>
  <c r="U74" i="1" s="1"/>
  <c r="O17" i="1" s="1"/>
  <c r="O16" i="1" s="1"/>
  <c r="V86" i="1" a="1"/>
  <c r="V86" i="1" s="1"/>
  <c r="R89" i="1" a="1"/>
  <c r="R89" i="1" s="1"/>
  <c r="N37" i="1" a="1"/>
  <c r="N37" i="1" s="1"/>
  <c r="N39" i="1" a="1"/>
  <c r="N39" i="1" s="1"/>
  <c r="N41" i="1" a="1"/>
  <c r="N41" i="1" s="1"/>
  <c r="N43" i="1" a="1"/>
  <c r="N43" i="1" s="1"/>
  <c r="N45" i="1" a="1"/>
  <c r="N45" i="1" s="1"/>
  <c r="N47" i="1" a="1"/>
  <c r="N47" i="1" s="1"/>
  <c r="N48" i="1" a="1"/>
  <c r="N48" i="1" s="1"/>
  <c r="N51" i="1" a="1"/>
  <c r="N51" i="1" s="1"/>
  <c r="N53" i="1" a="1"/>
  <c r="N53" i="1" s="1"/>
  <c r="N55" i="1" a="1"/>
  <c r="N55" i="1" s="1"/>
  <c r="N57" i="1" a="1"/>
  <c r="N57" i="1" s="1"/>
  <c r="N61" i="1" a="1"/>
  <c r="N61" i="1" s="1"/>
  <c r="K63" i="1" a="1"/>
  <c r="K63" i="1" s="1"/>
  <c r="L63" i="1" s="1" a="1"/>
  <c r="L63" i="1" s="1"/>
  <c r="R63" i="1" a="1"/>
  <c r="R63" i="1" s="1"/>
  <c r="Q64" i="1" a="1"/>
  <c r="Q64" i="1" s="1"/>
  <c r="V64" i="1" a="1"/>
  <c r="V64" i="1" s="1"/>
  <c r="S335" i="1" a="1"/>
  <c r="S335" i="1" s="1"/>
  <c r="T333" i="1" a="1"/>
  <c r="T333" i="1" s="1"/>
  <c r="S327" i="1" a="1"/>
  <c r="S327" i="1" s="1"/>
  <c r="T325" i="1" a="1"/>
  <c r="T325" i="1" s="1"/>
  <c r="S319" i="1" a="1"/>
  <c r="S319" i="1" s="1"/>
  <c r="T317" i="1" a="1"/>
  <c r="T317" i="1" s="1"/>
  <c r="S311" i="1" a="1"/>
  <c r="S311" i="1" s="1"/>
  <c r="T309" i="1" a="1"/>
  <c r="T309" i="1" s="1"/>
  <c r="S303" i="1" a="1"/>
  <c r="S303" i="1" s="1"/>
  <c r="T301" i="1" a="1"/>
  <c r="T301" i="1" s="1"/>
  <c r="S330" i="1" a="1"/>
  <c r="S330" i="1" s="1"/>
  <c r="S322" i="1" a="1"/>
  <c r="S322" i="1" s="1"/>
  <c r="S314" i="1" a="1"/>
  <c r="S314" i="1" s="1"/>
  <c r="S306" i="1" a="1"/>
  <c r="S306" i="1" s="1"/>
  <c r="S298" i="1" a="1"/>
  <c r="S298" i="1" s="1"/>
  <c r="T293" i="1" a="1"/>
  <c r="T293" i="1" s="1"/>
  <c r="S290" i="1" a="1"/>
  <c r="S290" i="1" s="1"/>
  <c r="T285" i="1" a="1"/>
  <c r="T285" i="1" s="1"/>
  <c r="S282" i="1" a="1"/>
  <c r="S282" i="1" s="1"/>
  <c r="T335" i="1" a="1"/>
  <c r="T335" i="1" s="1"/>
  <c r="S325" i="1" a="1"/>
  <c r="S325" i="1" s="1"/>
  <c r="S324" i="1" a="1"/>
  <c r="S324" i="1" s="1"/>
  <c r="T315" i="1" a="1"/>
  <c r="T315" i="1" s="1"/>
  <c r="T313" i="1" a="1"/>
  <c r="T313" i="1" s="1"/>
  <c r="T312" i="1" a="1"/>
  <c r="T312" i="1" s="1"/>
  <c r="S310" i="1" a="1"/>
  <c r="S310" i="1" s="1"/>
  <c r="S299" i="1" a="1"/>
  <c r="S299" i="1" s="1"/>
  <c r="T295" i="1" a="1"/>
  <c r="T295" i="1" s="1"/>
  <c r="S294" i="1" a="1"/>
  <c r="S294" i="1" s="1"/>
  <c r="S286" i="1" a="1"/>
  <c r="S286" i="1" s="1"/>
  <c r="T280" i="1" a="1"/>
  <c r="T280" i="1" s="1"/>
  <c r="S277" i="1" a="1"/>
  <c r="S277" i="1" s="1"/>
  <c r="T272" i="1" a="1"/>
  <c r="T272" i="1" s="1"/>
  <c r="T331" i="1" a="1"/>
  <c r="T331" i="1" s="1"/>
  <c r="T329" i="1" a="1"/>
  <c r="T329" i="1" s="1"/>
  <c r="T328" i="1" a="1"/>
  <c r="T328" i="1" s="1"/>
  <c r="S326" i="1" a="1"/>
  <c r="S326" i="1" s="1"/>
  <c r="S315" i="1" a="1"/>
  <c r="S315" i="1" s="1"/>
  <c r="S313" i="1" a="1"/>
  <c r="S313" i="1" s="1"/>
  <c r="S333" i="1" a="1"/>
  <c r="S333" i="1" s="1"/>
  <c r="S332" i="1" a="1"/>
  <c r="S332" i="1" s="1"/>
  <c r="T323" i="1" a="1"/>
  <c r="T323" i="1" s="1"/>
  <c r="T321" i="1" a="1"/>
  <c r="T321" i="1" s="1"/>
  <c r="T320" i="1" a="1"/>
  <c r="T320" i="1" s="1"/>
  <c r="S318" i="1" a="1"/>
  <c r="S318" i="1" s="1"/>
  <c r="S307" i="1" a="1"/>
  <c r="S307" i="1" s="1"/>
  <c r="S305" i="1" a="1"/>
  <c r="S305" i="1" s="1"/>
  <c r="S304" i="1" a="1"/>
  <c r="S304" i="1" s="1"/>
  <c r="T297" i="1" a="1"/>
  <c r="T297" i="1" s="1"/>
  <c r="S292" i="1" a="1"/>
  <c r="S292" i="1" s="1"/>
  <c r="T319" i="1" a="1"/>
  <c r="T319" i="1" s="1"/>
  <c r="T318" i="1" a="1"/>
  <c r="T318" i="1" s="1"/>
  <c r="S312" i="1" a="1"/>
  <c r="S312" i="1" s="1"/>
  <c r="T304" i="1" a="1"/>
  <c r="T304" i="1" s="1"/>
  <c r="S301" i="1" a="1"/>
  <c r="S301" i="1" s="1"/>
  <c r="T288" i="1" a="1"/>
  <c r="T288" i="1" s="1"/>
  <c r="T286" i="1" a="1"/>
  <c r="T286" i="1" s="1"/>
  <c r="S285" i="1" a="1"/>
  <c r="S285" i="1" s="1"/>
  <c r="S284" i="1" a="1"/>
  <c r="S284" i="1" s="1"/>
  <c r="S283" i="1" a="1"/>
  <c r="S283" i="1" s="1"/>
  <c r="S280" i="1" a="1"/>
  <c r="S280" i="1" s="1"/>
  <c r="T276" i="1" a="1"/>
  <c r="T276" i="1" s="1"/>
  <c r="S272" i="1" a="1"/>
  <c r="S272" i="1" s="1"/>
  <c r="T267" i="1" a="1"/>
  <c r="T267" i="1" s="1"/>
  <c r="S264" i="1" a="1"/>
  <c r="S264" i="1" s="1"/>
  <c r="T259" i="1" a="1"/>
  <c r="T259" i="1" s="1"/>
  <c r="S256" i="1" a="1"/>
  <c r="S256" i="1" s="1"/>
  <c r="T251" i="1" a="1"/>
  <c r="T251" i="1" s="1"/>
  <c r="S248" i="1" a="1"/>
  <c r="S248" i="1" s="1"/>
  <c r="T243" i="1" a="1"/>
  <c r="T243" i="1" s="1"/>
  <c r="S240" i="1" a="1"/>
  <c r="S240" i="1" s="1"/>
  <c r="T235" i="1" a="1"/>
  <c r="T235" i="1" s="1"/>
  <c r="T336" i="1" a="1"/>
  <c r="T336" i="1" s="1"/>
  <c r="T334" i="1" a="1"/>
  <c r="T334" i="1" s="1"/>
  <c r="T332" i="1" a="1"/>
  <c r="T332" i="1" s="1"/>
  <c r="S323" i="1" a="1"/>
  <c r="S323" i="1" s="1"/>
  <c r="T308" i="1" a="1"/>
  <c r="T308" i="1" s="1"/>
  <c r="T337" i="1" a="1"/>
  <c r="T337" i="1" s="1"/>
  <c r="S336" i="1" a="1"/>
  <c r="S336" i="1" s="1"/>
  <c r="S334" i="1" a="1"/>
  <c r="S334" i="1" s="1"/>
  <c r="T322" i="1" a="1"/>
  <c r="T322" i="1" s="1"/>
  <c r="T314" i="1" a="1"/>
  <c r="T314" i="1" s="1"/>
  <c r="S308" i="1" a="1"/>
  <c r="S308" i="1" s="1"/>
  <c r="S300" i="1" a="1"/>
  <c r="S300" i="1" s="1"/>
  <c r="T289" i="1" a="1"/>
  <c r="T289" i="1" s="1"/>
  <c r="S287" i="1" a="1"/>
  <c r="S287" i="1" s="1"/>
  <c r="T279" i="1" a="1"/>
  <c r="T279" i="1" s="1"/>
  <c r="S275" i="1" a="1"/>
  <c r="S275" i="1" s="1"/>
  <c r="S270" i="1" a="1"/>
  <c r="S270" i="1" s="1"/>
  <c r="T265" i="1" a="1"/>
  <c r="T265" i="1" s="1"/>
  <c r="S262" i="1" a="1"/>
  <c r="S262" i="1" s="1"/>
  <c r="T257" i="1" a="1"/>
  <c r="T257" i="1" s="1"/>
  <c r="S254" i="1" a="1"/>
  <c r="S254" i="1" s="1"/>
  <c r="T249" i="1" a="1"/>
  <c r="T249" i="1" s="1"/>
  <c r="S246" i="1" a="1"/>
  <c r="S246" i="1" s="1"/>
  <c r="T241" i="1" a="1"/>
  <c r="T241" i="1" s="1"/>
  <c r="S238" i="1" a="1"/>
  <c r="S238" i="1" s="1"/>
  <c r="T233" i="1" a="1"/>
  <c r="T233" i="1" s="1"/>
  <c r="S337" i="1" a="1"/>
  <c r="S337" i="1" s="1"/>
  <c r="S331" i="1" a="1"/>
  <c r="S331" i="1" s="1"/>
  <c r="T330" i="1" a="1"/>
  <c r="T330" i="1" s="1"/>
  <c r="T311" i="1" a="1"/>
  <c r="T311" i="1" s="1"/>
  <c r="T299" i="1" a="1"/>
  <c r="T299" i="1" s="1"/>
  <c r="T296" i="1" a="1"/>
  <c r="T296" i="1" s="1"/>
  <c r="S289" i="1" a="1"/>
  <c r="S289" i="1" s="1"/>
  <c r="S279" i="1" a="1"/>
  <c r="S279" i="1" s="1"/>
  <c r="T268" i="1" a="1"/>
  <c r="T268" i="1" s="1"/>
  <c r="T307" i="1" a="1"/>
  <c r="T307" i="1" s="1"/>
  <c r="T305" i="1" a="1"/>
  <c r="T305" i="1" s="1"/>
  <c r="S296" i="1" a="1"/>
  <c r="S296" i="1" s="1"/>
  <c r="S293" i="1" a="1"/>
  <c r="S293" i="1" s="1"/>
  <c r="T290" i="1" a="1"/>
  <c r="T290" i="1" s="1"/>
  <c r="T278" i="1" a="1"/>
  <c r="T278" i="1" s="1"/>
  <c r="T274" i="1" a="1"/>
  <c r="T274" i="1" s="1"/>
  <c r="S329" i="1" a="1"/>
  <c r="S329" i="1" s="1"/>
  <c r="S321" i="1" a="1"/>
  <c r="S321" i="1" s="1"/>
  <c r="T310" i="1" a="1"/>
  <c r="T310" i="1" s="1"/>
  <c r="T303" i="1" a="1"/>
  <c r="T303" i="1" s="1"/>
  <c r="S295" i="1" a="1"/>
  <c r="S295" i="1" s="1"/>
  <c r="T281" i="1" a="1"/>
  <c r="T281" i="1" s="1"/>
  <c r="S278" i="1" a="1"/>
  <c r="S278" i="1" s="1"/>
  <c r="S274" i="1" a="1"/>
  <c r="S274" i="1" s="1"/>
  <c r="T273" i="1" a="1"/>
  <c r="T273" i="1" s="1"/>
  <c r="S271" i="1" a="1"/>
  <c r="S271" i="1" s="1"/>
  <c r="T266" i="1" a="1"/>
  <c r="T266" i="1" s="1"/>
  <c r="S263" i="1" a="1"/>
  <c r="S263" i="1" s="1"/>
  <c r="S328" i="1" a="1"/>
  <c r="S328" i="1" s="1"/>
  <c r="T327" i="1" a="1"/>
  <c r="T327" i="1" s="1"/>
  <c r="T326" i="1" a="1"/>
  <c r="T326" i="1" s="1"/>
  <c r="T324" i="1" a="1"/>
  <c r="T324" i="1" s="1"/>
  <c r="T316" i="1" a="1"/>
  <c r="T316" i="1" s="1"/>
  <c r="T302" i="1" a="1"/>
  <c r="T302" i="1" s="1"/>
  <c r="T294" i="1" a="1"/>
  <c r="T294" i="1" s="1"/>
  <c r="T291" i="1" a="1"/>
  <c r="T291" i="1" s="1"/>
  <c r="T282" i="1" a="1"/>
  <c r="T282" i="1" s="1"/>
  <c r="S281" i="1" a="1"/>
  <c r="S281" i="1" s="1"/>
  <c r="S320" i="1" a="1"/>
  <c r="S320" i="1" s="1"/>
  <c r="S317" i="1" a="1"/>
  <c r="S317" i="1" s="1"/>
  <c r="S316" i="1" a="1"/>
  <c r="S316" i="1" s="1"/>
  <c r="S309" i="1" a="1"/>
  <c r="S309" i="1" s="1"/>
  <c r="S302" i="1" a="1"/>
  <c r="S302" i="1" s="1"/>
  <c r="T298" i="1" a="1"/>
  <c r="T298" i="1" s="1"/>
  <c r="S291" i="1" a="1"/>
  <c r="S291" i="1" s="1"/>
  <c r="T284" i="1" a="1"/>
  <c r="T284" i="1" s="1"/>
  <c r="T283" i="1" a="1"/>
  <c r="T283" i="1" s="1"/>
  <c r="T277" i="1" a="1"/>
  <c r="T277" i="1" s="1"/>
  <c r="S269" i="1" a="1"/>
  <c r="S269" i="1" s="1"/>
  <c r="T264" i="1" a="1"/>
  <c r="T264" i="1" s="1"/>
  <c r="T253" i="1" a="1"/>
  <c r="T253" i="1" s="1"/>
  <c r="T245" i="1" a="1"/>
  <c r="T245" i="1" s="1"/>
  <c r="T237" i="1" a="1"/>
  <c r="T237" i="1" s="1"/>
  <c r="S229" i="1" a="1"/>
  <c r="S229" i="1" s="1"/>
  <c r="T228" i="1" a="1"/>
  <c r="T228" i="1" s="1"/>
  <c r="S221" i="1" a="1"/>
  <c r="S221" i="1" s="1"/>
  <c r="T220" i="1" a="1"/>
  <c r="T220" i="1" s="1"/>
  <c r="T254" i="1" a="1"/>
  <c r="T254" i="1" s="1"/>
  <c r="S253" i="1" a="1"/>
  <c r="S253" i="1" s="1"/>
  <c r="T246" i="1" a="1"/>
  <c r="T246" i="1" s="1"/>
  <c r="S245" i="1" a="1"/>
  <c r="S245" i="1" s="1"/>
  <c r="T238" i="1" a="1"/>
  <c r="T238" i="1" s="1"/>
  <c r="S237" i="1" a="1"/>
  <c r="S237" i="1" s="1"/>
  <c r="S228" i="1" a="1"/>
  <c r="S228" i="1" s="1"/>
  <c r="T227" i="1" a="1"/>
  <c r="T227" i="1" s="1"/>
  <c r="S220" i="1" a="1"/>
  <c r="S220" i="1" s="1"/>
  <c r="T219" i="1" a="1"/>
  <c r="T219" i="1" s="1"/>
  <c r="S212" i="1" a="1"/>
  <c r="S212" i="1" s="1"/>
  <c r="T211" i="1" a="1"/>
  <c r="T211" i="1" s="1"/>
  <c r="S205" i="1" a="1"/>
  <c r="S205" i="1" s="1"/>
  <c r="T200" i="1" a="1"/>
  <c r="T200" i="1" s="1"/>
  <c r="T306" i="1" a="1"/>
  <c r="T306" i="1" s="1"/>
  <c r="S297" i="1" a="1"/>
  <c r="S297" i="1" s="1"/>
  <c r="S273" i="1" a="1"/>
  <c r="S273" i="1" s="1"/>
  <c r="T270" i="1" a="1"/>
  <c r="T270" i="1" s="1"/>
  <c r="T261" i="1" a="1"/>
  <c r="T261" i="1" s="1"/>
  <c r="T255" i="1" a="1"/>
  <c r="T255" i="1" s="1"/>
  <c r="T287" i="1" a="1"/>
  <c r="T287" i="1" s="1"/>
  <c r="S261" i="1" a="1"/>
  <c r="S261" i="1" s="1"/>
  <c r="S255" i="1" a="1"/>
  <c r="S255" i="1" s="1"/>
  <c r="S247" i="1" a="1"/>
  <c r="S247" i="1" s="1"/>
  <c r="S239" i="1" a="1"/>
  <c r="S239" i="1" s="1"/>
  <c r="S226" i="1" a="1"/>
  <c r="S226" i="1" s="1"/>
  <c r="T225" i="1" a="1"/>
  <c r="T225" i="1" s="1"/>
  <c r="T300" i="1" a="1"/>
  <c r="T300" i="1" s="1"/>
  <c r="S288" i="1" a="1"/>
  <c r="S288" i="1" s="1"/>
  <c r="S276" i="1" a="1"/>
  <c r="S276" i="1" s="1"/>
  <c r="T271" i="1" a="1"/>
  <c r="T271" i="1" s="1"/>
  <c r="S268" i="1" a="1"/>
  <c r="S268" i="1" s="1"/>
  <c r="S267" i="1" a="1"/>
  <c r="S267" i="1" s="1"/>
  <c r="T263" i="1" a="1"/>
  <c r="T263" i="1" s="1"/>
  <c r="T258" i="1" a="1"/>
  <c r="T258" i="1" s="1"/>
  <c r="S257" i="1" a="1"/>
  <c r="S257" i="1" s="1"/>
  <c r="T256" i="1" a="1"/>
  <c r="T256" i="1" s="1"/>
  <c r="T250" i="1" a="1"/>
  <c r="T250" i="1" s="1"/>
  <c r="S249" i="1" a="1"/>
  <c r="S249" i="1" s="1"/>
  <c r="T248" i="1" a="1"/>
  <c r="T248" i="1" s="1"/>
  <c r="T242" i="1" a="1"/>
  <c r="T242" i="1" s="1"/>
  <c r="S241" i="1" a="1"/>
  <c r="S241" i="1" s="1"/>
  <c r="T240" i="1" a="1"/>
  <c r="T240" i="1" s="1"/>
  <c r="T234" i="1" a="1"/>
  <c r="T234" i="1" s="1"/>
  <c r="S233" i="1" a="1"/>
  <c r="S233" i="1" s="1"/>
  <c r="T232" i="1" a="1"/>
  <c r="T232" i="1" s="1"/>
  <c r="S225" i="1" a="1"/>
  <c r="S225" i="1" s="1"/>
  <c r="T224" i="1" a="1"/>
  <c r="T224" i="1" s="1"/>
  <c r="S217" i="1" a="1"/>
  <c r="S217" i="1" s="1"/>
  <c r="T216" i="1" a="1"/>
  <c r="T216" i="1" s="1"/>
  <c r="S209" i="1" a="1"/>
  <c r="S209" i="1" s="1"/>
  <c r="T208" i="1" a="1"/>
  <c r="T208" i="1" s="1"/>
  <c r="S206" i="1" a="1"/>
  <c r="S206" i="1" s="1"/>
  <c r="T201" i="1" a="1"/>
  <c r="T201" i="1" s="1"/>
  <c r="T260" i="1" a="1"/>
  <c r="T260" i="1" s="1"/>
  <c r="S258" i="1" a="1"/>
  <c r="S258" i="1" s="1"/>
  <c r="T252" i="1" a="1"/>
  <c r="T252" i="1" s="1"/>
  <c r="S250" i="1" a="1"/>
  <c r="S250" i="1" s="1"/>
  <c r="T244" i="1" a="1"/>
  <c r="T244" i="1" s="1"/>
  <c r="S242" i="1" a="1"/>
  <c r="S242" i="1" s="1"/>
  <c r="T236" i="1" a="1"/>
  <c r="T236" i="1" s="1"/>
  <c r="S234" i="1" a="1"/>
  <c r="S234" i="1" s="1"/>
  <c r="S232" i="1" a="1"/>
  <c r="S232" i="1" s="1"/>
  <c r="T231" i="1" a="1"/>
  <c r="T231" i="1" s="1"/>
  <c r="S224" i="1" a="1"/>
  <c r="S224" i="1" s="1"/>
  <c r="T223" i="1" a="1"/>
  <c r="T223" i="1" s="1"/>
  <c r="S216" i="1" a="1"/>
  <c r="S216" i="1" s="1"/>
  <c r="T215" i="1" a="1"/>
  <c r="T215" i="1" s="1"/>
  <c r="S208" i="1" a="1"/>
  <c r="S208" i="1" s="1"/>
  <c r="T204" i="1" a="1"/>
  <c r="T204" i="1" s="1"/>
  <c r="S201" i="1" a="1"/>
  <c r="S201" i="1" s="1"/>
  <c r="T292" i="1" a="1"/>
  <c r="T292" i="1" s="1"/>
  <c r="T275" i="1" a="1"/>
  <c r="T275" i="1" s="1"/>
  <c r="S266" i="1" a="1"/>
  <c r="S266" i="1" s="1"/>
  <c r="S260" i="1" a="1"/>
  <c r="S260" i="1" s="1"/>
  <c r="S259" i="1" a="1"/>
  <c r="S259" i="1" s="1"/>
  <c r="S252" i="1" a="1"/>
  <c r="S252" i="1" s="1"/>
  <c r="S251" i="1" a="1"/>
  <c r="S251" i="1" s="1"/>
  <c r="T269" i="1" a="1"/>
  <c r="T269" i="1" s="1"/>
  <c r="S265" i="1" a="1"/>
  <c r="S265" i="1" s="1"/>
  <c r="T262" i="1" a="1"/>
  <c r="T262" i="1" s="1"/>
  <c r="S230" i="1" a="1"/>
  <c r="S230" i="1" s="1"/>
  <c r="T229" i="1" a="1"/>
  <c r="T229" i="1" s="1"/>
  <c r="S214" i="1" a="1"/>
  <c r="S214" i="1" s="1"/>
  <c r="T213" i="1" a="1"/>
  <c r="T213" i="1" s="1"/>
  <c r="T209" i="1" a="1"/>
  <c r="T209" i="1" s="1"/>
  <c r="S204" i="1" a="1"/>
  <c r="S204" i="1" s="1"/>
  <c r="T202" i="1" a="1"/>
  <c r="T202" i="1" s="1"/>
  <c r="S197" i="1" a="1"/>
  <c r="S197" i="1" s="1"/>
  <c r="T192" i="1" a="1"/>
  <c r="T192" i="1" s="1"/>
  <c r="S189" i="1" a="1"/>
  <c r="S189" i="1" s="1"/>
  <c r="T184" i="1" a="1"/>
  <c r="T184" i="1" s="1"/>
  <c r="S181" i="1" a="1"/>
  <c r="S181" i="1" s="1"/>
  <c r="T176" i="1" a="1"/>
  <c r="T176" i="1" s="1"/>
  <c r="S173" i="1" a="1"/>
  <c r="S173" i="1" s="1"/>
  <c r="T168" i="1" a="1"/>
  <c r="T168" i="1" s="1"/>
  <c r="S165" i="1" a="1"/>
  <c r="S165" i="1" s="1"/>
  <c r="T160" i="1" a="1"/>
  <c r="T160" i="1" s="1"/>
  <c r="S157" i="1" a="1"/>
  <c r="S157" i="1" s="1"/>
  <c r="T152" i="1" a="1"/>
  <c r="T152" i="1" s="1"/>
  <c r="S231" i="1" a="1"/>
  <c r="S231" i="1" s="1"/>
  <c r="S213" i="1" a="1"/>
  <c r="S213" i="1" s="1"/>
  <c r="T206" i="1" a="1"/>
  <c r="T206" i="1" s="1"/>
  <c r="S202" i="1" a="1"/>
  <c r="S202" i="1" s="1"/>
  <c r="T195" i="1" a="1"/>
  <c r="T195" i="1" s="1"/>
  <c r="S192" i="1" a="1"/>
  <c r="S192" i="1" s="1"/>
  <c r="T187" i="1" a="1"/>
  <c r="T187" i="1" s="1"/>
  <c r="S184" i="1" a="1"/>
  <c r="S184" i="1" s="1"/>
  <c r="T179" i="1" a="1"/>
  <c r="T179" i="1" s="1"/>
  <c r="S176" i="1" a="1"/>
  <c r="S176" i="1" s="1"/>
  <c r="T171" i="1" a="1"/>
  <c r="T171" i="1" s="1"/>
  <c r="T230" i="1" a="1"/>
  <c r="T230" i="1" s="1"/>
  <c r="S219" i="1" a="1"/>
  <c r="S219" i="1" s="1"/>
  <c r="T218" i="1" a="1"/>
  <c r="T218" i="1" s="1"/>
  <c r="T212" i="1" a="1"/>
  <c r="T212" i="1" s="1"/>
  <c r="S200" i="1" a="1"/>
  <c r="S200" i="1" s="1"/>
  <c r="T198" i="1" a="1"/>
  <c r="T198" i="1" s="1"/>
  <c r="S195" i="1" a="1"/>
  <c r="S195" i="1" s="1"/>
  <c r="T190" i="1" a="1"/>
  <c r="T190" i="1" s="1"/>
  <c r="S187" i="1" a="1"/>
  <c r="S187" i="1" s="1"/>
  <c r="T182" i="1" a="1"/>
  <c r="T182" i="1" s="1"/>
  <c r="S179" i="1" a="1"/>
  <c r="S179" i="1" s="1"/>
  <c r="T174" i="1" a="1"/>
  <c r="T174" i="1" s="1"/>
  <c r="S171" i="1" a="1"/>
  <c r="S171" i="1" s="1"/>
  <c r="T166" i="1" a="1"/>
  <c r="T166" i="1" s="1"/>
  <c r="S163" i="1" a="1"/>
  <c r="S163" i="1" s="1"/>
  <c r="T158" i="1" a="1"/>
  <c r="T158" i="1" s="1"/>
  <c r="S244" i="1" a="1"/>
  <c r="S244" i="1" s="1"/>
  <c r="S227" i="1" a="1"/>
  <c r="S227" i="1" s="1"/>
  <c r="T221" i="1" a="1"/>
  <c r="T221" i="1" s="1"/>
  <c r="S218" i="1" a="1"/>
  <c r="S218" i="1" s="1"/>
  <c r="T207" i="1" a="1"/>
  <c r="T207" i="1" s="1"/>
  <c r="S198" i="1" a="1"/>
  <c r="S198" i="1" s="1"/>
  <c r="T193" i="1" a="1"/>
  <c r="T193" i="1" s="1"/>
  <c r="S190" i="1" a="1"/>
  <c r="S190" i="1" s="1"/>
  <c r="T185" i="1" a="1"/>
  <c r="T185" i="1" s="1"/>
  <c r="S182" i="1" a="1"/>
  <c r="S182" i="1" s="1"/>
  <c r="T177" i="1" a="1"/>
  <c r="T177" i="1" s="1"/>
  <c r="S174" i="1" a="1"/>
  <c r="S174" i="1" s="1"/>
  <c r="T169" i="1" a="1"/>
  <c r="T169" i="1" s="1"/>
  <c r="S166" i="1" a="1"/>
  <c r="S166" i="1" s="1"/>
  <c r="T161" i="1" a="1"/>
  <c r="T161" i="1" s="1"/>
  <c r="S158" i="1" a="1"/>
  <c r="S158" i="1" s="1"/>
  <c r="T153" i="1" a="1"/>
  <c r="T153" i="1" s="1"/>
  <c r="S150" i="1" a="1"/>
  <c r="S150" i="1" s="1"/>
  <c r="T145" i="1" a="1"/>
  <c r="T145" i="1" s="1"/>
  <c r="S236" i="1" a="1"/>
  <c r="S236" i="1" s="1"/>
  <c r="T222" i="1" a="1"/>
  <c r="T222" i="1" s="1"/>
  <c r="T217" i="1" a="1"/>
  <c r="T217" i="1" s="1"/>
  <c r="S207" i="1" a="1"/>
  <c r="S207" i="1" s="1"/>
  <c r="T205" i="1" a="1"/>
  <c r="T205" i="1" s="1"/>
  <c r="T203" i="1" a="1"/>
  <c r="T203" i="1" s="1"/>
  <c r="T196" i="1" a="1"/>
  <c r="T196" i="1" s="1"/>
  <c r="S193" i="1" a="1"/>
  <c r="S193" i="1" s="1"/>
  <c r="T188" i="1" a="1"/>
  <c r="T188" i="1" s="1"/>
  <c r="S185" i="1" a="1"/>
  <c r="S185" i="1" s="1"/>
  <c r="T180" i="1" a="1"/>
  <c r="T180" i="1" s="1"/>
  <c r="S177" i="1" a="1"/>
  <c r="S177" i="1" s="1"/>
  <c r="T172" i="1" a="1"/>
  <c r="T172" i="1" s="1"/>
  <c r="S169" i="1" a="1"/>
  <c r="S169" i="1" s="1"/>
  <c r="T164" i="1" a="1"/>
  <c r="T164" i="1" s="1"/>
  <c r="S161" i="1" a="1"/>
  <c r="S161" i="1" s="1"/>
  <c r="S222" i="1" a="1"/>
  <c r="S222" i="1" s="1"/>
  <c r="S211" i="1" a="1"/>
  <c r="S211" i="1" s="1"/>
  <c r="S203" i="1" a="1"/>
  <c r="S203" i="1" s="1"/>
  <c r="T199" i="1" a="1"/>
  <c r="T199" i="1" s="1"/>
  <c r="S196" i="1" a="1"/>
  <c r="S196" i="1" s="1"/>
  <c r="T191" i="1" a="1"/>
  <c r="T191" i="1" s="1"/>
  <c r="S188" i="1" a="1"/>
  <c r="S188" i="1" s="1"/>
  <c r="T183" i="1" a="1"/>
  <c r="T183" i="1" s="1"/>
  <c r="T247" i="1" a="1"/>
  <c r="T247" i="1" s="1"/>
  <c r="S243" i="1" a="1"/>
  <c r="S243" i="1" s="1"/>
  <c r="S223" i="1" a="1"/>
  <c r="S223" i="1" s="1"/>
  <c r="T210" i="1" a="1"/>
  <c r="T210" i="1" s="1"/>
  <c r="T189" i="1" a="1"/>
  <c r="T189" i="1" s="1"/>
  <c r="S186" i="1" a="1"/>
  <c r="S186" i="1" s="1"/>
  <c r="S180" i="1" a="1"/>
  <c r="S180" i="1" s="1"/>
  <c r="S175" i="1" a="1"/>
  <c r="S175" i="1" s="1"/>
  <c r="T170" i="1" a="1"/>
  <c r="T170" i="1" s="1"/>
  <c r="T159" i="1" a="1"/>
  <c r="T159" i="1" s="1"/>
  <c r="T156" i="1" a="1"/>
  <c r="T156" i="1" s="1"/>
  <c r="S155" i="1" a="1"/>
  <c r="S155" i="1" s="1"/>
  <c r="T150" i="1" a="1"/>
  <c r="T150" i="1" s="1"/>
  <c r="T140" i="1" a="1"/>
  <c r="T140" i="1" s="1"/>
  <c r="S137" i="1" a="1"/>
  <c r="S137" i="1" s="1"/>
  <c r="T132" i="1" a="1"/>
  <c r="T132" i="1" s="1"/>
  <c r="S129" i="1" a="1"/>
  <c r="S129" i="1" s="1"/>
  <c r="T124" i="1" a="1"/>
  <c r="T124" i="1" s="1"/>
  <c r="S121" i="1" a="1"/>
  <c r="S121" i="1" s="1"/>
  <c r="T116" i="1" a="1"/>
  <c r="T116" i="1" s="1"/>
  <c r="S170" i="1" a="1"/>
  <c r="S170" i="1" s="1"/>
  <c r="T163" i="1" a="1"/>
  <c r="T163" i="1" s="1"/>
  <c r="T162" i="1" a="1"/>
  <c r="T162" i="1" s="1"/>
  <c r="S159" i="1" a="1"/>
  <c r="S159" i="1" s="1"/>
  <c r="S156" i="1" a="1"/>
  <c r="S156" i="1" s="1"/>
  <c r="T149" i="1" a="1"/>
  <c r="T149" i="1" s="1"/>
  <c r="S145" i="1" a="1"/>
  <c r="S145" i="1" s="1"/>
  <c r="T143" i="1" a="1"/>
  <c r="T143" i="1" s="1"/>
  <c r="S140" i="1" a="1"/>
  <c r="S140" i="1" s="1"/>
  <c r="T135" i="1" a="1"/>
  <c r="T135" i="1" s="1"/>
  <c r="S132" i="1" a="1"/>
  <c r="S132" i="1" s="1"/>
  <c r="T226" i="1" a="1"/>
  <c r="T226" i="1" s="1"/>
  <c r="S183" i="1" a="1"/>
  <c r="S183" i="1" s="1"/>
  <c r="S172" i="1" a="1"/>
  <c r="S172" i="1" s="1"/>
  <c r="S162" i="1" a="1"/>
  <c r="S162" i="1" s="1"/>
  <c r="F13" i="1" s="1"/>
  <c r="S149" i="1" a="1"/>
  <c r="S149" i="1" s="1"/>
  <c r="T148" i="1" a="1"/>
  <c r="T148" i="1" s="1"/>
  <c r="S143" i="1" a="1"/>
  <c r="S143" i="1" s="1"/>
  <c r="D13" i="1" s="1"/>
  <c r="T138" i="1" a="1"/>
  <c r="T138" i="1" s="1"/>
  <c r="S135" i="1" a="1"/>
  <c r="S135" i="1" s="1"/>
  <c r="T130" i="1" a="1"/>
  <c r="T130" i="1" s="1"/>
  <c r="T167" i="1" a="1"/>
  <c r="T167" i="1" s="1"/>
  <c r="T157" i="1" a="1"/>
  <c r="T157" i="1" s="1"/>
  <c r="S148" i="1" a="1"/>
  <c r="S148" i="1" s="1"/>
  <c r="T141" i="1" a="1"/>
  <c r="T141" i="1" s="1"/>
  <c r="S138" i="1" a="1"/>
  <c r="S138" i="1" s="1"/>
  <c r="T133" i="1" a="1"/>
  <c r="T133" i="1" s="1"/>
  <c r="S130" i="1" a="1"/>
  <c r="S130" i="1" s="1"/>
  <c r="T125" i="1" a="1"/>
  <c r="T125" i="1" s="1"/>
  <c r="S122" i="1" a="1"/>
  <c r="S122" i="1" s="1"/>
  <c r="T117" i="1" a="1"/>
  <c r="T117" i="1" s="1"/>
  <c r="T214" i="1" a="1"/>
  <c r="T214" i="1" s="1"/>
  <c r="S199" i="1" a="1"/>
  <c r="S199" i="1" s="1"/>
  <c r="T194" i="1" a="1"/>
  <c r="T194" i="1" s="1"/>
  <c r="T181" i="1" a="1"/>
  <c r="T181" i="1" s="1"/>
  <c r="S168" i="1" a="1"/>
  <c r="S168" i="1" s="1"/>
  <c r="S167" i="1" a="1"/>
  <c r="S167" i="1" s="1"/>
  <c r="T144" i="1" a="1"/>
  <c r="T144" i="1" s="1"/>
  <c r="S141" i="1" a="1"/>
  <c r="S141" i="1" s="1"/>
  <c r="T136" i="1" a="1"/>
  <c r="T136" i="1" s="1"/>
  <c r="S133" i="1" a="1"/>
  <c r="S133" i="1" s="1"/>
  <c r="T239" i="1" a="1"/>
  <c r="T239" i="1" s="1"/>
  <c r="S235" i="1" a="1"/>
  <c r="S235" i="1" s="1"/>
  <c r="S215" i="1" a="1"/>
  <c r="S215" i="1" s="1"/>
  <c r="T197" i="1" a="1"/>
  <c r="T197" i="1" s="1"/>
  <c r="S194" i="1" a="1"/>
  <c r="S194" i="1" s="1"/>
  <c r="T178" i="1" a="1"/>
  <c r="T178" i="1" s="1"/>
  <c r="S160" i="1" a="1"/>
  <c r="S160" i="1" s="1"/>
  <c r="S153" i="1" a="1"/>
  <c r="S153" i="1" s="1"/>
  <c r="S152" i="1" a="1"/>
  <c r="S152" i="1" s="1"/>
  <c r="T151" i="1" a="1"/>
  <c r="T151" i="1" s="1"/>
  <c r="T147" i="1" a="1"/>
  <c r="T147" i="1" s="1"/>
  <c r="S144" i="1" a="1"/>
  <c r="S144" i="1" s="1"/>
  <c r="T139" i="1" a="1"/>
  <c r="T139" i="1" s="1"/>
  <c r="S136" i="1" a="1"/>
  <c r="S136" i="1" s="1"/>
  <c r="T131" i="1" a="1"/>
  <c r="T131" i="1" s="1"/>
  <c r="S210" i="1" a="1"/>
  <c r="S210" i="1" s="1"/>
  <c r="S178" i="1" a="1"/>
  <c r="S178" i="1" s="1"/>
  <c r="T173" i="1" a="1"/>
  <c r="T173" i="1" s="1"/>
  <c r="T154" i="1" a="1"/>
  <c r="T154" i="1" s="1"/>
  <c r="S151" i="1" a="1"/>
  <c r="S151" i="1" s="1"/>
  <c r="S147" i="1" a="1"/>
  <c r="S147" i="1" s="1"/>
  <c r="T146" i="1" a="1"/>
  <c r="T146" i="1" s="1"/>
  <c r="T142" i="1" a="1"/>
  <c r="T142" i="1" s="1"/>
  <c r="S191" i="1" a="1"/>
  <c r="S191" i="1" s="1"/>
  <c r="T186" i="1" a="1"/>
  <c r="T186" i="1" s="1"/>
  <c r="T175" i="1" a="1"/>
  <c r="T175" i="1" s="1"/>
  <c r="T165" i="1" a="1"/>
  <c r="T165" i="1" s="1"/>
  <c r="S164" i="1" a="1"/>
  <c r="S164" i="1" s="1"/>
  <c r="T155" i="1" a="1"/>
  <c r="T155" i="1" s="1"/>
  <c r="S154" i="1" a="1"/>
  <c r="S154" i="1" s="1"/>
  <c r="S146" i="1" a="1"/>
  <c r="S146" i="1" s="1"/>
  <c r="S142" i="1" a="1"/>
  <c r="S142" i="1" s="1"/>
  <c r="T137" i="1" a="1"/>
  <c r="T137" i="1" s="1"/>
  <c r="S134" i="1" a="1"/>
  <c r="S134" i="1" s="1"/>
  <c r="T129" i="1" a="1"/>
  <c r="T129" i="1" s="1"/>
  <c r="T126" i="1" a="1"/>
  <c r="T126" i="1" s="1"/>
  <c r="T118" i="1" a="1"/>
  <c r="T118" i="1" s="1"/>
  <c r="T113" i="1" a="1"/>
  <c r="T113" i="1" s="1"/>
  <c r="T109" i="1" a="1"/>
  <c r="T109" i="1" s="1"/>
  <c r="S106" i="1" a="1"/>
  <c r="S106" i="1" s="1"/>
  <c r="T101" i="1" a="1"/>
  <c r="T101" i="1" s="1"/>
  <c r="S98" i="1" a="1"/>
  <c r="S98" i="1" s="1"/>
  <c r="T93" i="1" a="1"/>
  <c r="T93" i="1" s="1"/>
  <c r="S90" i="1" a="1"/>
  <c r="S90" i="1" s="1"/>
  <c r="G13" i="1" s="1"/>
  <c r="G12" i="1" s="1"/>
  <c r="T85" i="1" a="1"/>
  <c r="T85" i="1" s="1"/>
  <c r="S82" i="1" a="1"/>
  <c r="S82" i="1" s="1"/>
  <c r="T77" i="1" a="1"/>
  <c r="T77" i="1" s="1"/>
  <c r="S74" i="1" a="1"/>
  <c r="S74" i="1" s="1"/>
  <c r="T69" i="1" a="1"/>
  <c r="T69" i="1" s="1"/>
  <c r="T127" i="1" a="1"/>
  <c r="T127" i="1" s="1"/>
  <c r="S126" i="1" a="1"/>
  <c r="S126" i="1" s="1"/>
  <c r="T119" i="1" a="1"/>
  <c r="T119" i="1" s="1"/>
  <c r="S118" i="1" a="1"/>
  <c r="S118" i="1" s="1"/>
  <c r="S113" i="1" a="1"/>
  <c r="S113" i="1" s="1"/>
  <c r="S109" i="1" a="1"/>
  <c r="S109" i="1" s="1"/>
  <c r="T104" i="1" a="1"/>
  <c r="T104" i="1" s="1"/>
  <c r="S101" i="1" a="1"/>
  <c r="S101" i="1" s="1"/>
  <c r="T96" i="1" a="1"/>
  <c r="T96" i="1" s="1"/>
  <c r="S93" i="1" a="1"/>
  <c r="S93" i="1" s="1"/>
  <c r="T88" i="1" a="1"/>
  <c r="T88" i="1" s="1"/>
  <c r="S85" i="1" a="1"/>
  <c r="S85" i="1" s="1"/>
  <c r="T80" i="1" a="1"/>
  <c r="T80" i="1" s="1"/>
  <c r="S127" i="1" a="1"/>
  <c r="S127" i="1" s="1"/>
  <c r="T120" i="1" a="1"/>
  <c r="T120" i="1" s="1"/>
  <c r="S119" i="1" a="1"/>
  <c r="S119" i="1" s="1"/>
  <c r="T112" i="1" a="1"/>
  <c r="T112" i="1" s="1"/>
  <c r="T107" i="1" a="1"/>
  <c r="T107" i="1" s="1"/>
  <c r="S104" i="1" a="1"/>
  <c r="S104" i="1" s="1"/>
  <c r="T99" i="1" a="1"/>
  <c r="T99" i="1" s="1"/>
  <c r="S96" i="1" a="1"/>
  <c r="S96" i="1" s="1"/>
  <c r="T91" i="1" a="1"/>
  <c r="T91" i="1" s="1"/>
  <c r="S88" i="1" a="1"/>
  <c r="S88" i="1" s="1"/>
  <c r="L13" i="1" s="1"/>
  <c r="T83" i="1" a="1"/>
  <c r="T83" i="1" s="1"/>
  <c r="S80" i="1" a="1"/>
  <c r="S80" i="1" s="1"/>
  <c r="T75" i="1" a="1"/>
  <c r="T75" i="1" s="1"/>
  <c r="S72" i="1" a="1"/>
  <c r="S72" i="1" s="1"/>
  <c r="N13" i="1" s="1"/>
  <c r="T67" i="1" a="1"/>
  <c r="T67" i="1" s="1"/>
  <c r="S64" i="1" a="1"/>
  <c r="S64" i="1" s="1"/>
  <c r="M13" i="1" s="1"/>
  <c r="T59" i="1" a="1"/>
  <c r="T59" i="1" s="1"/>
  <c r="S139" i="1" a="1"/>
  <c r="S139" i="1" s="1"/>
  <c r="S120" i="1" a="1"/>
  <c r="S120" i="1" s="1"/>
  <c r="S112" i="1" a="1"/>
  <c r="S112" i="1" s="1"/>
  <c r="S107" i="1" a="1"/>
  <c r="S107" i="1" s="1"/>
  <c r="T102" i="1" a="1"/>
  <c r="T102" i="1" s="1"/>
  <c r="S99" i="1" a="1"/>
  <c r="S99" i="1" s="1"/>
  <c r="T94" i="1" a="1"/>
  <c r="T94" i="1" s="1"/>
  <c r="S91" i="1" a="1"/>
  <c r="S91" i="1" s="1"/>
  <c r="T86" i="1" a="1"/>
  <c r="T86" i="1" s="1"/>
  <c r="S83" i="1" a="1"/>
  <c r="S83" i="1" s="1"/>
  <c r="T78" i="1" a="1"/>
  <c r="T78" i="1" s="1"/>
  <c r="S75" i="1" a="1"/>
  <c r="S75" i="1" s="1"/>
  <c r="T70" i="1" a="1"/>
  <c r="T70" i="1" s="1"/>
  <c r="T128" i="1" a="1"/>
  <c r="T128" i="1" s="1"/>
  <c r="T111" i="1" a="1"/>
  <c r="T111" i="1" s="1"/>
  <c r="T105" i="1" a="1"/>
  <c r="T105" i="1" s="1"/>
  <c r="S102" i="1" a="1"/>
  <c r="S102" i="1" s="1"/>
  <c r="T97" i="1" a="1"/>
  <c r="T97" i="1" s="1"/>
  <c r="S94" i="1" a="1"/>
  <c r="S94" i="1" s="1"/>
  <c r="T89" i="1" a="1"/>
  <c r="T89" i="1" s="1"/>
  <c r="S86" i="1" a="1"/>
  <c r="S86" i="1" s="1"/>
  <c r="E13" i="1" s="1"/>
  <c r="T81" i="1" a="1"/>
  <c r="T81" i="1" s="1"/>
  <c r="S78" i="1" a="1"/>
  <c r="S78" i="1" s="1"/>
  <c r="T73" i="1" a="1"/>
  <c r="T73" i="1" s="1"/>
  <c r="T134" i="1" a="1"/>
  <c r="T134" i="1" s="1"/>
  <c r="S128" i="1" a="1"/>
  <c r="S128" i="1" s="1"/>
  <c r="T121" i="1" a="1"/>
  <c r="T121" i="1" s="1"/>
  <c r="S111" i="1" a="1"/>
  <c r="S111" i="1" s="1"/>
  <c r="T108" i="1" a="1"/>
  <c r="T108" i="1" s="1"/>
  <c r="S105" i="1" a="1"/>
  <c r="S105" i="1" s="1"/>
  <c r="T100" i="1" a="1"/>
  <c r="T100" i="1" s="1"/>
  <c r="S97" i="1" a="1"/>
  <c r="S97" i="1" s="1"/>
  <c r="T92" i="1" a="1"/>
  <c r="T92" i="1" s="1"/>
  <c r="S89" i="1" a="1"/>
  <c r="S89" i="1" s="1"/>
  <c r="T84" i="1" a="1"/>
  <c r="T84" i="1" s="1"/>
  <c r="S81" i="1" a="1"/>
  <c r="S81" i="1" s="1"/>
  <c r="T76" i="1" a="1"/>
  <c r="T76" i="1" s="1"/>
  <c r="T123" i="1" a="1"/>
  <c r="T123" i="1" s="1"/>
  <c r="T122" i="1" a="1"/>
  <c r="T122" i="1" s="1"/>
  <c r="T115" i="1" a="1"/>
  <c r="T115" i="1" s="1"/>
  <c r="T114" i="1" a="1"/>
  <c r="T114" i="1" s="1"/>
  <c r="T110" i="1" a="1"/>
  <c r="T110" i="1" s="1"/>
  <c r="S108" i="1" a="1"/>
  <c r="S108" i="1" s="1"/>
  <c r="T103" i="1" a="1"/>
  <c r="T103" i="1" s="1"/>
  <c r="S100" i="1" a="1"/>
  <c r="S100" i="1" s="1"/>
  <c r="T95" i="1" a="1"/>
  <c r="T95" i="1" s="1"/>
  <c r="S92" i="1" a="1"/>
  <c r="S92" i="1" s="1"/>
  <c r="T87" i="1" a="1"/>
  <c r="T87" i="1" s="1"/>
  <c r="S84" i="1" a="1"/>
  <c r="S84" i="1" s="1"/>
  <c r="T79" i="1" a="1"/>
  <c r="T79" i="1" s="1"/>
  <c r="S76" i="1" a="1"/>
  <c r="S76" i="1" s="1"/>
  <c r="S131" i="1" a="1"/>
  <c r="S131" i="1" s="1"/>
  <c r="S125" i="1" a="1"/>
  <c r="S125" i="1" s="1"/>
  <c r="S124" i="1" a="1"/>
  <c r="S124" i="1" s="1"/>
  <c r="S123" i="1" a="1"/>
  <c r="S123" i="1" s="1"/>
  <c r="S117" i="1" a="1"/>
  <c r="S117" i="1" s="1"/>
  <c r="S116" i="1" a="1"/>
  <c r="S116" i="1" s="1"/>
  <c r="S115" i="1" a="1"/>
  <c r="S115" i="1" s="1"/>
  <c r="S114" i="1" a="1"/>
  <c r="S114" i="1" s="1"/>
  <c r="S110" i="1" a="1"/>
  <c r="S110" i="1" s="1"/>
  <c r="T106" i="1" a="1"/>
  <c r="T106" i="1" s="1"/>
  <c r="S103" i="1" a="1"/>
  <c r="S103" i="1" s="1"/>
  <c r="H13" i="1" s="1"/>
  <c r="H12" i="1" s="1"/>
  <c r="T98" i="1" a="1"/>
  <c r="T98" i="1" s="1"/>
  <c r="S95" i="1" a="1"/>
  <c r="S95" i="1" s="1"/>
  <c r="T90" i="1" a="1"/>
  <c r="T90" i="1" s="1"/>
  <c r="Q5" i="1"/>
  <c r="E7" i="1"/>
  <c r="M7" i="1"/>
  <c r="C9" i="1"/>
  <c r="C8" i="1" s="1"/>
  <c r="K9" i="1"/>
  <c r="K8" i="1" s="1"/>
  <c r="H11" i="1"/>
  <c r="B11" i="1" s="1"/>
  <c r="B15" i="2" s="1"/>
  <c r="P11" i="1"/>
  <c r="C15" i="1"/>
  <c r="K15" i="1"/>
  <c r="Q17" i="1"/>
  <c r="Q16" i="1" s="1"/>
  <c r="G19" i="1"/>
  <c r="O19" i="1"/>
  <c r="E20" i="1"/>
  <c r="E3" i="1" s="1"/>
  <c r="M20" i="1"/>
  <c r="M3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R59" i="1" a="1"/>
  <c r="R59" i="1" s="1"/>
  <c r="V60" i="1" a="1"/>
  <c r="V60" i="1" s="1"/>
  <c r="I61" i="1" a="1"/>
  <c r="I61" i="1" s="1"/>
  <c r="U61" i="1" a="1"/>
  <c r="U61" i="1" s="1"/>
  <c r="S62" i="1" a="1"/>
  <c r="S62" i="1" s="1"/>
  <c r="K64" i="1" a="1"/>
  <c r="K64" i="1" s="1"/>
  <c r="L64" i="1" s="1" a="1"/>
  <c r="L64" i="1" s="1"/>
  <c r="I65" i="1" a="1"/>
  <c r="I65" i="1" s="1"/>
  <c r="T66" i="1" a="1"/>
  <c r="T66" i="1" s="1"/>
  <c r="R67" i="1" a="1"/>
  <c r="R67" i="1" s="1"/>
  <c r="V68" i="1" a="1"/>
  <c r="V68" i="1" s="1"/>
  <c r="I69" i="1" a="1"/>
  <c r="I69" i="1" s="1"/>
  <c r="V69" i="1" a="1"/>
  <c r="V69" i="1" s="1"/>
  <c r="U71" i="1" a="1"/>
  <c r="U71" i="1" s="1"/>
  <c r="R72" i="1" a="1"/>
  <c r="R72" i="1" s="1"/>
  <c r="S73" i="1" a="1"/>
  <c r="S73" i="1" s="1"/>
  <c r="I74" i="1" a="1"/>
  <c r="I74" i="1" s="1"/>
  <c r="O5" i="1" s="1"/>
  <c r="O4" i="1" s="1"/>
  <c r="U78" i="1" a="1"/>
  <c r="U78" i="1" s="1"/>
  <c r="U88" i="1" a="1"/>
  <c r="U88" i="1" s="1"/>
  <c r="D15" i="1"/>
  <c r="L15" i="1"/>
  <c r="R17" i="1"/>
  <c r="R16" i="1" s="1"/>
  <c r="U58" i="1" a="1"/>
  <c r="U58" i="1" s="1"/>
  <c r="R64" i="1" a="1"/>
  <c r="R64" i="1" s="1"/>
  <c r="Q65" i="1" a="1"/>
  <c r="Q65" i="1" s="1"/>
  <c r="V65" i="1" a="1"/>
  <c r="V65" i="1" s="1"/>
  <c r="N66" i="1" a="1"/>
  <c r="N66" i="1" s="1"/>
  <c r="Q69" i="1" a="1"/>
  <c r="Q69" i="1" s="1"/>
  <c r="M69" i="1" s="1"/>
  <c r="I70" i="1" a="1"/>
  <c r="I70" i="1" s="1"/>
  <c r="R70" i="1" a="1"/>
  <c r="R70" i="1" s="1"/>
  <c r="N71" i="1" a="1"/>
  <c r="N71" i="1" s="1"/>
  <c r="K72" i="1" a="1"/>
  <c r="K72" i="1" s="1"/>
  <c r="L72" i="1" s="1" a="1"/>
  <c r="L72" i="1" s="1"/>
  <c r="T72" i="1" a="1"/>
  <c r="T72" i="1" s="1"/>
  <c r="Q75" i="1" a="1"/>
  <c r="Q75" i="1" s="1"/>
  <c r="V76" i="1" a="1"/>
  <c r="V76" i="1" s="1"/>
  <c r="V78" i="1" a="1"/>
  <c r="V78" i="1" s="1"/>
  <c r="E15" i="1"/>
  <c r="M15" i="1"/>
  <c r="I19" i="1"/>
  <c r="Q19" i="1"/>
  <c r="G20" i="1"/>
  <c r="G3" i="1" s="1"/>
  <c r="O20" i="1"/>
  <c r="O3" i="1" s="1"/>
  <c r="E23" i="1"/>
  <c r="K23" i="1" a="1"/>
  <c r="K23" i="1" s="1"/>
  <c r="L23" i="1" s="1" a="1"/>
  <c r="L23" i="1" s="1"/>
  <c r="K24" i="1" a="1"/>
  <c r="K24" i="1" s="1"/>
  <c r="L24" i="1" s="1" a="1"/>
  <c r="L24" i="1" s="1"/>
  <c r="E25" i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K32" i="1" a="1"/>
  <c r="K32" i="1" s="1"/>
  <c r="L32" i="1" s="1" a="1"/>
  <c r="L32" i="1" s="1"/>
  <c r="K33" i="1" a="1"/>
  <c r="K33" i="1" s="1"/>
  <c r="L33" i="1" s="1" a="1"/>
  <c r="L33" i="1" s="1"/>
  <c r="K34" i="1" a="1"/>
  <c r="K34" i="1" s="1"/>
  <c r="L34" i="1" s="1" a="1"/>
  <c r="L34" i="1" s="1"/>
  <c r="K35" i="1" a="1"/>
  <c r="K35" i="1" s="1"/>
  <c r="L35" i="1" s="1" a="1"/>
  <c r="L35" i="1" s="1"/>
  <c r="K36" i="1" a="1"/>
  <c r="K36" i="1" s="1"/>
  <c r="L36" i="1" s="1" a="1"/>
  <c r="L36" i="1" s="1"/>
  <c r="K37" i="1" a="1"/>
  <c r="K37" i="1" s="1"/>
  <c r="L37" i="1" s="1" a="1"/>
  <c r="L37" i="1" s="1"/>
  <c r="K38" i="1" a="1"/>
  <c r="K38" i="1" s="1"/>
  <c r="L38" i="1" s="1" a="1"/>
  <c r="L38" i="1" s="1"/>
  <c r="K39" i="1" a="1"/>
  <c r="K39" i="1" s="1"/>
  <c r="L39" i="1" s="1" a="1"/>
  <c r="L39" i="1" s="1"/>
  <c r="K40" i="1" a="1"/>
  <c r="K40" i="1" s="1"/>
  <c r="L40" i="1" s="1" a="1"/>
  <c r="L40" i="1" s="1"/>
  <c r="K41" i="1" a="1"/>
  <c r="K41" i="1" s="1"/>
  <c r="L41" i="1" s="1" a="1"/>
  <c r="L41" i="1" s="1"/>
  <c r="K42" i="1" a="1"/>
  <c r="K42" i="1" s="1"/>
  <c r="L42" i="1" s="1" a="1"/>
  <c r="L42" i="1" s="1"/>
  <c r="K43" i="1" a="1"/>
  <c r="K43" i="1" s="1"/>
  <c r="L43" i="1" s="1" a="1"/>
  <c r="L43" i="1" s="1"/>
  <c r="K44" i="1" a="1"/>
  <c r="K44" i="1" s="1"/>
  <c r="L44" i="1" s="1" a="1"/>
  <c r="L44" i="1" s="1"/>
  <c r="K45" i="1" a="1"/>
  <c r="K45" i="1" s="1"/>
  <c r="L45" i="1" s="1" a="1"/>
  <c r="L45" i="1" s="1"/>
  <c r="K46" i="1" a="1"/>
  <c r="K46" i="1" s="1"/>
  <c r="L46" i="1" s="1" a="1"/>
  <c r="L46" i="1" s="1"/>
  <c r="K47" i="1" a="1"/>
  <c r="K47" i="1" s="1"/>
  <c r="L47" i="1" s="1" a="1"/>
  <c r="L47" i="1" s="1"/>
  <c r="K48" i="1" a="1"/>
  <c r="K48" i="1" s="1"/>
  <c r="L48" i="1" s="1" a="1"/>
  <c r="L48" i="1" s="1"/>
  <c r="K49" i="1" a="1"/>
  <c r="K49" i="1" s="1"/>
  <c r="L49" i="1" s="1" a="1"/>
  <c r="L49" i="1" s="1"/>
  <c r="K50" i="1" a="1"/>
  <c r="K50" i="1" s="1"/>
  <c r="L50" i="1" s="1" a="1"/>
  <c r="L50" i="1" s="1"/>
  <c r="K51" i="1" a="1"/>
  <c r="K51" i="1" s="1"/>
  <c r="L51" i="1" s="1" a="1"/>
  <c r="L51" i="1" s="1"/>
  <c r="K52" i="1" a="1"/>
  <c r="K52" i="1" s="1"/>
  <c r="L52" i="1" s="1" a="1"/>
  <c r="L52" i="1" s="1"/>
  <c r="K53" i="1" a="1"/>
  <c r="K53" i="1" s="1"/>
  <c r="L53" i="1" s="1" a="1"/>
  <c r="L53" i="1" s="1"/>
  <c r="K54" i="1" a="1"/>
  <c r="K54" i="1" s="1"/>
  <c r="L54" i="1" s="1" a="1"/>
  <c r="L54" i="1" s="1"/>
  <c r="K55" i="1" a="1"/>
  <c r="K55" i="1" s="1"/>
  <c r="L55" i="1" s="1" a="1"/>
  <c r="L55" i="1" s="1"/>
  <c r="K56" i="1" a="1"/>
  <c r="K56" i="1" s="1"/>
  <c r="L56" i="1" s="1" a="1"/>
  <c r="L56" i="1" s="1"/>
  <c r="K57" i="1" a="1"/>
  <c r="K57" i="1" s="1"/>
  <c r="L57" i="1" s="1" a="1"/>
  <c r="L57" i="1" s="1"/>
  <c r="K58" i="1" a="1"/>
  <c r="K58" i="1" s="1"/>
  <c r="L58" i="1" s="1" a="1"/>
  <c r="L58" i="1" s="1"/>
  <c r="Q58" i="1" a="1"/>
  <c r="Q58" i="1" s="1"/>
  <c r="R60" i="1" a="1"/>
  <c r="R60" i="1" s="1"/>
  <c r="Q61" i="1" a="1"/>
  <c r="Q61" i="1" s="1"/>
  <c r="V61" i="1" a="1"/>
  <c r="V61" i="1" s="1"/>
  <c r="N62" i="1" a="1"/>
  <c r="N62" i="1" s="1"/>
  <c r="U62" i="1" a="1"/>
  <c r="U62" i="1" s="1"/>
  <c r="T63" i="1" a="1"/>
  <c r="T63" i="1" s="1"/>
  <c r="K65" i="1" a="1"/>
  <c r="K65" i="1" s="1"/>
  <c r="L65" i="1" s="1" a="1"/>
  <c r="L65" i="1" s="1"/>
  <c r="I66" i="1" a="1"/>
  <c r="I66" i="1" s="1"/>
  <c r="U66" i="1" a="1"/>
  <c r="U66" i="1" s="1"/>
  <c r="S67" i="1" a="1"/>
  <c r="S67" i="1" s="1"/>
  <c r="R68" i="1" a="1"/>
  <c r="R68" i="1" s="1"/>
  <c r="U72" i="1" a="1"/>
  <c r="U72" i="1" s="1"/>
  <c r="I73" i="1" a="1"/>
  <c r="I73" i="1" s="1"/>
  <c r="R75" i="1" a="1"/>
  <c r="R75" i="1" s="1"/>
  <c r="R79" i="1" a="1"/>
  <c r="R79" i="1" s="1"/>
  <c r="I80" i="1" a="1"/>
  <c r="I80" i="1" s="1"/>
  <c r="I82" i="1" a="1"/>
  <c r="I82" i="1" s="1"/>
  <c r="K83" i="1" a="1"/>
  <c r="K83" i="1" s="1"/>
  <c r="L83" i="1" s="1" a="1"/>
  <c r="L83" i="1" s="1"/>
  <c r="D5" i="1"/>
  <c r="D4" i="1" s="1"/>
  <c r="H7" i="1"/>
  <c r="P7" i="1"/>
  <c r="F9" i="1"/>
  <c r="N9" i="1"/>
  <c r="Q13" i="1"/>
  <c r="Q12" i="1" s="1"/>
  <c r="F15" i="1"/>
  <c r="N15" i="1"/>
  <c r="D17" i="1"/>
  <c r="D16" i="1" s="1"/>
  <c r="J19" i="1"/>
  <c r="R19" i="1"/>
  <c r="H20" i="1"/>
  <c r="H3" i="1" s="1"/>
  <c r="P20" i="1"/>
  <c r="P3" i="1" s="1"/>
  <c r="Q23" i="1" a="1"/>
  <c r="Q23" i="1" s="1"/>
  <c r="U23" i="1" a="1"/>
  <c r="U23" i="1" s="1"/>
  <c r="Q24" i="1" a="1"/>
  <c r="Q24" i="1" s="1"/>
  <c r="M24" i="1" s="1"/>
  <c r="U24" i="1" a="1"/>
  <c r="U24" i="1" s="1"/>
  <c r="I17" i="1" s="1"/>
  <c r="I16" i="1" s="1"/>
  <c r="Q25" i="1" a="1"/>
  <c r="Q25" i="1" s="1"/>
  <c r="U25" i="1" a="1"/>
  <c r="U25" i="1" s="1"/>
  <c r="Q26" i="1" a="1"/>
  <c r="Q26" i="1" s="1"/>
  <c r="M26" i="1" s="1"/>
  <c r="U26" i="1" a="1"/>
  <c r="U26" i="1" s="1"/>
  <c r="Q27" i="1" a="1"/>
  <c r="Q27" i="1" s="1"/>
  <c r="U27" i="1" a="1"/>
  <c r="U27" i="1" s="1"/>
  <c r="Q28" i="1" a="1"/>
  <c r="Q28" i="1" s="1"/>
  <c r="M28" i="1" s="1"/>
  <c r="U28" i="1" a="1"/>
  <c r="U28" i="1" s="1"/>
  <c r="Q29" i="1" a="1"/>
  <c r="Q29" i="1" s="1"/>
  <c r="U29" i="1" a="1"/>
  <c r="U29" i="1" s="1"/>
  <c r="Q30" i="1" a="1"/>
  <c r="Q30" i="1" s="1"/>
  <c r="M30" i="1" s="1"/>
  <c r="U30" i="1" a="1"/>
  <c r="U30" i="1" s="1"/>
  <c r="Q31" i="1" a="1"/>
  <c r="Q31" i="1" s="1"/>
  <c r="U31" i="1" a="1"/>
  <c r="U31" i="1" s="1"/>
  <c r="Q32" i="1" a="1"/>
  <c r="Q32" i="1" s="1"/>
  <c r="M32" i="1" s="1"/>
  <c r="U32" i="1" a="1"/>
  <c r="U32" i="1" s="1"/>
  <c r="Q33" i="1" a="1"/>
  <c r="Q33" i="1" s="1"/>
  <c r="U33" i="1" a="1"/>
  <c r="U33" i="1" s="1"/>
  <c r="Q34" i="1" a="1"/>
  <c r="Q34" i="1" s="1"/>
  <c r="M34" i="1" s="1"/>
  <c r="U34" i="1" a="1"/>
  <c r="U34" i="1" s="1"/>
  <c r="Q35" i="1" a="1"/>
  <c r="Q35" i="1" s="1"/>
  <c r="U35" i="1" a="1"/>
  <c r="U35" i="1" s="1"/>
  <c r="Q36" i="1" a="1"/>
  <c r="Q36" i="1" s="1"/>
  <c r="M36" i="1" s="1"/>
  <c r="U36" i="1" a="1"/>
  <c r="U36" i="1" s="1"/>
  <c r="Q37" i="1" a="1"/>
  <c r="Q37" i="1" s="1"/>
  <c r="U37" i="1" a="1"/>
  <c r="U37" i="1" s="1"/>
  <c r="Q38" i="1" a="1"/>
  <c r="Q38" i="1" s="1"/>
  <c r="M38" i="1" s="1"/>
  <c r="U38" i="1" a="1"/>
  <c r="U38" i="1" s="1"/>
  <c r="Q39" i="1" a="1"/>
  <c r="Q39" i="1" s="1"/>
  <c r="U39" i="1" a="1"/>
  <c r="U39" i="1" s="1"/>
  <c r="Q40" i="1" a="1"/>
  <c r="Q40" i="1" s="1"/>
  <c r="M40" i="1" s="1"/>
  <c r="U40" i="1" a="1"/>
  <c r="U40" i="1" s="1"/>
  <c r="Q41" i="1" a="1"/>
  <c r="Q41" i="1" s="1"/>
  <c r="U41" i="1" a="1"/>
  <c r="U41" i="1" s="1"/>
  <c r="Q42" i="1" a="1"/>
  <c r="Q42" i="1" s="1"/>
  <c r="M42" i="1" s="1"/>
  <c r="U42" i="1" a="1"/>
  <c r="U42" i="1" s="1"/>
  <c r="Q43" i="1" a="1"/>
  <c r="Q43" i="1" s="1"/>
  <c r="U43" i="1" a="1"/>
  <c r="U43" i="1" s="1"/>
  <c r="Q44" i="1" a="1"/>
  <c r="Q44" i="1" s="1"/>
  <c r="M44" i="1" s="1"/>
  <c r="U44" i="1" a="1"/>
  <c r="U44" i="1" s="1"/>
  <c r="Q45" i="1" a="1"/>
  <c r="Q45" i="1" s="1"/>
  <c r="U45" i="1" a="1"/>
  <c r="U45" i="1" s="1"/>
  <c r="Q46" i="1" a="1"/>
  <c r="Q46" i="1" s="1"/>
  <c r="M46" i="1" s="1"/>
  <c r="U46" i="1" a="1"/>
  <c r="U46" i="1" s="1"/>
  <c r="Q47" i="1" a="1"/>
  <c r="Q47" i="1" s="1"/>
  <c r="U47" i="1" a="1"/>
  <c r="U47" i="1" s="1"/>
  <c r="Q48" i="1" a="1"/>
  <c r="Q48" i="1" s="1"/>
  <c r="M48" i="1" s="1"/>
  <c r="U48" i="1" a="1"/>
  <c r="U48" i="1" s="1"/>
  <c r="Q49" i="1" a="1"/>
  <c r="Q49" i="1" s="1"/>
  <c r="U49" i="1" a="1"/>
  <c r="U49" i="1" s="1"/>
  <c r="Q50" i="1" a="1"/>
  <c r="Q50" i="1" s="1"/>
  <c r="M50" i="1" s="1"/>
  <c r="U50" i="1" a="1"/>
  <c r="U50" i="1" s="1"/>
  <c r="Q51" i="1" a="1"/>
  <c r="Q51" i="1" s="1"/>
  <c r="U51" i="1" a="1"/>
  <c r="U51" i="1" s="1"/>
  <c r="L17" i="1" s="1"/>
  <c r="L16" i="1" s="1"/>
  <c r="Q52" i="1" a="1"/>
  <c r="Q52" i="1" s="1"/>
  <c r="M52" i="1" s="1"/>
  <c r="U52" i="1" a="1"/>
  <c r="U52" i="1" s="1"/>
  <c r="Q53" i="1" a="1"/>
  <c r="Q53" i="1" s="1"/>
  <c r="U53" i="1" a="1"/>
  <c r="U53" i="1" s="1"/>
  <c r="Q54" i="1" a="1"/>
  <c r="Q54" i="1" s="1"/>
  <c r="M54" i="1" s="1"/>
  <c r="U54" i="1" a="1"/>
  <c r="U54" i="1" s="1"/>
  <c r="Q55" i="1" a="1"/>
  <c r="Q55" i="1" s="1"/>
  <c r="U55" i="1" a="1"/>
  <c r="U55" i="1" s="1"/>
  <c r="Q56" i="1" a="1"/>
  <c r="Q56" i="1" s="1"/>
  <c r="M56" i="1" s="1"/>
  <c r="U56" i="1" a="1"/>
  <c r="U56" i="1" s="1"/>
  <c r="Q57" i="1" a="1"/>
  <c r="Q57" i="1" s="1"/>
  <c r="U57" i="1" a="1"/>
  <c r="U57" i="1" s="1"/>
  <c r="V58" i="1" a="1"/>
  <c r="V58" i="1" s="1"/>
  <c r="K61" i="1" a="1"/>
  <c r="K61" i="1" s="1"/>
  <c r="L61" i="1" s="1" a="1"/>
  <c r="L61" i="1" s="1"/>
  <c r="I62" i="1" a="1"/>
  <c r="I62" i="1" s="1"/>
  <c r="N63" i="1" a="1"/>
  <c r="N63" i="1" s="1"/>
  <c r="R65" i="1" a="1"/>
  <c r="R65" i="1" s="1"/>
  <c r="K69" i="1" a="1"/>
  <c r="K69" i="1" s="1"/>
  <c r="L69" i="1" s="1" a="1"/>
  <c r="L69" i="1" s="1"/>
  <c r="R69" i="1" a="1"/>
  <c r="R69" i="1" s="1"/>
  <c r="K73" i="1" a="1"/>
  <c r="K73" i="1" s="1"/>
  <c r="L73" i="1" s="1" a="1"/>
  <c r="L73" i="1" s="1"/>
  <c r="N74" i="1" a="1"/>
  <c r="N74" i="1" s="1"/>
  <c r="N82" i="1" a="1"/>
  <c r="N82" i="1" s="1"/>
  <c r="Q83" i="1" a="1"/>
  <c r="Q83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V334" i="1" a="1"/>
  <c r="V334" i="1" s="1"/>
  <c r="V326" i="1" a="1"/>
  <c r="V326" i="1" s="1"/>
  <c r="V318" i="1" a="1"/>
  <c r="V318" i="1" s="1"/>
  <c r="V310" i="1" a="1"/>
  <c r="V310" i="1" s="1"/>
  <c r="V302" i="1" a="1"/>
  <c r="V302" i="1" s="1"/>
  <c r="V297" i="1" a="1"/>
  <c r="V297" i="1" s="1"/>
  <c r="V295" i="1" a="1"/>
  <c r="V295" i="1" s="1"/>
  <c r="V332" i="1" a="1"/>
  <c r="V332" i="1" s="1"/>
  <c r="V324" i="1" a="1"/>
  <c r="V324" i="1" s="1"/>
  <c r="V316" i="1" a="1"/>
  <c r="V316" i="1" s="1"/>
  <c r="V308" i="1" a="1"/>
  <c r="V308" i="1" s="1"/>
  <c r="V300" i="1" a="1"/>
  <c r="V300" i="1" s="1"/>
  <c r="U296" i="1" a="1"/>
  <c r="U296" i="1" s="1"/>
  <c r="U295" i="1" a="1"/>
  <c r="U295" i="1" s="1"/>
  <c r="V294" i="1" a="1"/>
  <c r="V294" i="1" s="1"/>
  <c r="U291" i="1" a="1"/>
  <c r="U291" i="1" s="1"/>
  <c r="V289" i="1" a="1"/>
  <c r="V289" i="1" s="1"/>
  <c r="U283" i="1" a="1"/>
  <c r="U283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17" i="1" a="1"/>
  <c r="V317" i="1" s="1"/>
  <c r="U293" i="1" a="1"/>
  <c r="U293" i="1" s="1"/>
  <c r="V292" i="1" a="1"/>
  <c r="V292" i="1" s="1"/>
  <c r="U289" i="1" a="1"/>
  <c r="U289" i="1" s="1"/>
  <c r="V288" i="1" a="1"/>
  <c r="V288" i="1" s="1"/>
  <c r="U285" i="1" a="1"/>
  <c r="U285" i="1" s="1"/>
  <c r="V284" i="1" a="1"/>
  <c r="V284" i="1" s="1"/>
  <c r="U278" i="1" a="1"/>
  <c r="U278" i="1" s="1"/>
  <c r="V276" i="1" a="1"/>
  <c r="V276" i="1" s="1"/>
  <c r="V333" i="1" a="1"/>
  <c r="V333" i="1" s="1"/>
  <c r="V337" i="1" a="1"/>
  <c r="V337" i="1" s="1"/>
  <c r="V336" i="1" a="1"/>
  <c r="V336" i="1" s="1"/>
  <c r="V335" i="1" a="1"/>
  <c r="V335" i="1" s="1"/>
  <c r="V325" i="1" a="1"/>
  <c r="V325" i="1" s="1"/>
  <c r="V322" i="1" a="1"/>
  <c r="V322" i="1" s="1"/>
  <c r="V314" i="1" a="1"/>
  <c r="V314" i="1" s="1"/>
  <c r="U297" i="1" a="1"/>
  <c r="U297" i="1" s="1"/>
  <c r="U279" i="1" a="1"/>
  <c r="U279" i="1" s="1"/>
  <c r="U275" i="1" a="1"/>
  <c r="U275" i="1" s="1"/>
  <c r="V274" i="1" a="1"/>
  <c r="V274" i="1" s="1"/>
  <c r="V271" i="1" a="1"/>
  <c r="V271" i="1" s="1"/>
  <c r="U265" i="1" a="1"/>
  <c r="U265" i="1" s="1"/>
  <c r="V263" i="1" a="1"/>
  <c r="V263" i="1" s="1"/>
  <c r="U257" i="1" a="1"/>
  <c r="U257" i="1" s="1"/>
  <c r="V255" i="1" a="1"/>
  <c r="V255" i="1" s="1"/>
  <c r="U249" i="1" a="1"/>
  <c r="U249" i="1" s="1"/>
  <c r="V247" i="1" a="1"/>
  <c r="V247" i="1" s="1"/>
  <c r="U241" i="1" a="1"/>
  <c r="U241" i="1" s="1"/>
  <c r="V239" i="1" a="1"/>
  <c r="V239" i="1" s="1"/>
  <c r="U233" i="1" a="1"/>
  <c r="U233" i="1" s="1"/>
  <c r="V311" i="1" a="1"/>
  <c r="V311" i="1" s="1"/>
  <c r="V321" i="1" a="1"/>
  <c r="V321" i="1" s="1"/>
  <c r="V313" i="1" a="1"/>
  <c r="V313" i="1" s="1"/>
  <c r="V307" i="1" a="1"/>
  <c r="V307" i="1" s="1"/>
  <c r="V305" i="1" a="1"/>
  <c r="V305" i="1" s="1"/>
  <c r="V303" i="1" a="1"/>
  <c r="V303" i="1" s="1"/>
  <c r="V299" i="1" a="1"/>
  <c r="V299" i="1" s="1"/>
  <c r="V281" i="1" a="1"/>
  <c r="V281" i="1" s="1"/>
  <c r="U274" i="1" a="1"/>
  <c r="U274" i="1" s="1"/>
  <c r="V273" i="1" a="1"/>
  <c r="V273" i="1" s="1"/>
  <c r="U271" i="1" a="1"/>
  <c r="U271" i="1" s="1"/>
  <c r="V269" i="1" a="1"/>
  <c r="V269" i="1" s="1"/>
  <c r="U263" i="1" a="1"/>
  <c r="U263" i="1" s="1"/>
  <c r="V261" i="1" a="1"/>
  <c r="V261" i="1" s="1"/>
  <c r="U255" i="1" a="1"/>
  <c r="U255" i="1" s="1"/>
  <c r="V253" i="1" a="1"/>
  <c r="V253" i="1" s="1"/>
  <c r="U247" i="1" a="1"/>
  <c r="U247" i="1" s="1"/>
  <c r="V245" i="1" a="1"/>
  <c r="V245" i="1" s="1"/>
  <c r="U239" i="1" a="1"/>
  <c r="U239" i="1" s="1"/>
  <c r="V237" i="1" a="1"/>
  <c r="V237" i="1" s="1"/>
  <c r="U290" i="1" a="1"/>
  <c r="U290" i="1" s="1"/>
  <c r="V282" i="1" a="1"/>
  <c r="V282" i="1" s="1"/>
  <c r="U281" i="1" a="1"/>
  <c r="U281" i="1" s="1"/>
  <c r="V277" i="1" a="1"/>
  <c r="V277" i="1" s="1"/>
  <c r="U273" i="1" a="1"/>
  <c r="U273" i="1" s="1"/>
  <c r="V320" i="1" a="1"/>
  <c r="V320" i="1" s="1"/>
  <c r="V291" i="1" a="1"/>
  <c r="V291" i="1" s="1"/>
  <c r="V283" i="1" a="1"/>
  <c r="V283" i="1" s="1"/>
  <c r="V280" i="1" a="1"/>
  <c r="V280" i="1" s="1"/>
  <c r="V312" i="1" a="1"/>
  <c r="V312" i="1" s="1"/>
  <c r="V309" i="1" a="1"/>
  <c r="V309" i="1" s="1"/>
  <c r="V298" i="1" a="1"/>
  <c r="V298" i="1" s="1"/>
  <c r="U294" i="1" a="1"/>
  <c r="U294" i="1" s="1"/>
  <c r="V287" i="1" a="1"/>
  <c r="V287" i="1" s="1"/>
  <c r="V286" i="1" a="1"/>
  <c r="V286" i="1" s="1"/>
  <c r="V285" i="1" a="1"/>
  <c r="V285" i="1" s="1"/>
  <c r="U284" i="1" a="1"/>
  <c r="U284" i="1" s="1"/>
  <c r="U282" i="1" a="1"/>
  <c r="U282" i="1" s="1"/>
  <c r="U277" i="1" a="1"/>
  <c r="U277" i="1" s="1"/>
  <c r="V270" i="1" a="1"/>
  <c r="V270" i="1" s="1"/>
  <c r="U264" i="1" a="1"/>
  <c r="U264" i="1" s="1"/>
  <c r="V262" i="1" a="1"/>
  <c r="V262" i="1" s="1"/>
  <c r="V323" i="1" a="1"/>
  <c r="V323" i="1" s="1"/>
  <c r="V319" i="1" a="1"/>
  <c r="V319" i="1" s="1"/>
  <c r="V315" i="1" a="1"/>
  <c r="V315" i="1" s="1"/>
  <c r="V306" i="1" a="1"/>
  <c r="V306" i="1" s="1"/>
  <c r="V304" i="1" a="1"/>
  <c r="V304" i="1" s="1"/>
  <c r="V301" i="1" a="1"/>
  <c r="V301" i="1" s="1"/>
  <c r="U286" i="1" a="1"/>
  <c r="U286" i="1" s="1"/>
  <c r="U280" i="1" a="1"/>
  <c r="U280" i="1" s="1"/>
  <c r="V279" i="1" a="1"/>
  <c r="V279" i="1" s="1"/>
  <c r="U292" i="1" a="1"/>
  <c r="U292" i="1" s="1"/>
  <c r="U288" i="1" a="1"/>
  <c r="U288" i="1" s="1"/>
  <c r="U287" i="1" a="1"/>
  <c r="U287" i="1" s="1"/>
  <c r="U270" i="1" a="1"/>
  <c r="U270" i="1" s="1"/>
  <c r="V268" i="1" a="1"/>
  <c r="V268" i="1" s="1"/>
  <c r="V256" i="1" a="1"/>
  <c r="V256" i="1" s="1"/>
  <c r="U254" i="1" a="1"/>
  <c r="U254" i="1" s="1"/>
  <c r="V248" i="1" a="1"/>
  <c r="V248" i="1" s="1"/>
  <c r="U246" i="1" a="1"/>
  <c r="U246" i="1" s="1"/>
  <c r="V240" i="1" a="1"/>
  <c r="V240" i="1" s="1"/>
  <c r="U238" i="1" a="1"/>
  <c r="U238" i="1" s="1"/>
  <c r="U227" i="1" a="1"/>
  <c r="U227" i="1" s="1"/>
  <c r="V225" i="1" a="1"/>
  <c r="V225" i="1" s="1"/>
  <c r="U219" i="1" a="1"/>
  <c r="U219" i="1" s="1"/>
  <c r="V296" i="1" a="1"/>
  <c r="V296" i="1" s="1"/>
  <c r="U261" i="1" a="1"/>
  <c r="U261" i="1" s="1"/>
  <c r="V258" i="1" a="1"/>
  <c r="V258" i="1" s="1"/>
  <c r="V257" i="1" a="1"/>
  <c r="V257" i="1" s="1"/>
  <c r="V250" i="1" a="1"/>
  <c r="V250" i="1" s="1"/>
  <c r="V249" i="1" a="1"/>
  <c r="V249" i="1" s="1"/>
  <c r="V242" i="1" a="1"/>
  <c r="V242" i="1" s="1"/>
  <c r="V241" i="1" a="1"/>
  <c r="V241" i="1" s="1"/>
  <c r="V234" i="1" a="1"/>
  <c r="V234" i="1" s="1"/>
  <c r="V233" i="1" a="1"/>
  <c r="V233" i="1" s="1"/>
  <c r="V232" i="1" a="1"/>
  <c r="V232" i="1" s="1"/>
  <c r="U226" i="1" a="1"/>
  <c r="U226" i="1" s="1"/>
  <c r="V224" i="1" a="1"/>
  <c r="V224" i="1" s="1"/>
  <c r="U218" i="1" a="1"/>
  <c r="U218" i="1" s="1"/>
  <c r="V216" i="1" a="1"/>
  <c r="V216" i="1" s="1"/>
  <c r="U210" i="1" a="1"/>
  <c r="U210" i="1" s="1"/>
  <c r="V208" i="1" a="1"/>
  <c r="V208" i="1" s="1"/>
  <c r="U206" i="1" a="1"/>
  <c r="U206" i="1" s="1"/>
  <c r="V204" i="1" a="1"/>
  <c r="V204" i="1" s="1"/>
  <c r="V278" i="1" a="1"/>
  <c r="V278" i="1" s="1"/>
  <c r="V267" i="1" a="1"/>
  <c r="V267" i="1" s="1"/>
  <c r="V259" i="1" a="1"/>
  <c r="V259" i="1" s="1"/>
  <c r="U258" i="1" a="1"/>
  <c r="U258" i="1" s="1"/>
  <c r="U256" i="1" a="1"/>
  <c r="U256" i="1" s="1"/>
  <c r="V251" i="1" a="1"/>
  <c r="V251" i="1" s="1"/>
  <c r="U250" i="1" a="1"/>
  <c r="U250" i="1" s="1"/>
  <c r="U276" i="1" a="1"/>
  <c r="U276" i="1" s="1"/>
  <c r="U268" i="1" a="1"/>
  <c r="U268" i="1" s="1"/>
  <c r="U267" i="1" a="1"/>
  <c r="U267" i="1" s="1"/>
  <c r="V266" i="1" a="1"/>
  <c r="V266" i="1" s="1"/>
  <c r="V260" i="1" a="1"/>
  <c r="V260" i="1" s="1"/>
  <c r="V252" i="1" a="1"/>
  <c r="V252" i="1" s="1"/>
  <c r="V244" i="1" a="1"/>
  <c r="V244" i="1" s="1"/>
  <c r="V236" i="1" a="1"/>
  <c r="V236" i="1" s="1"/>
  <c r="U232" i="1" a="1"/>
  <c r="U232" i="1" s="1"/>
  <c r="V230" i="1" a="1"/>
  <c r="V230" i="1" s="1"/>
  <c r="U224" i="1" a="1"/>
  <c r="U224" i="1" s="1"/>
  <c r="U266" i="1" a="1"/>
  <c r="U266" i="1" s="1"/>
  <c r="U260" i="1" a="1"/>
  <c r="U260" i="1" s="1"/>
  <c r="U259" i="1" a="1"/>
  <c r="U259" i="1" s="1"/>
  <c r="U252" i="1" a="1"/>
  <c r="U252" i="1" s="1"/>
  <c r="U251" i="1" a="1"/>
  <c r="U251" i="1" s="1"/>
  <c r="U244" i="1" a="1"/>
  <c r="U244" i="1" s="1"/>
  <c r="U243" i="1" a="1"/>
  <c r="U243" i="1" s="1"/>
  <c r="U236" i="1" a="1"/>
  <c r="U236" i="1" s="1"/>
  <c r="U235" i="1" a="1"/>
  <c r="U235" i="1" s="1"/>
  <c r="U231" i="1" a="1"/>
  <c r="U231" i="1" s="1"/>
  <c r="V229" i="1" a="1"/>
  <c r="V229" i="1" s="1"/>
  <c r="U223" i="1" a="1"/>
  <c r="U223" i="1" s="1"/>
  <c r="V221" i="1" a="1"/>
  <c r="V221" i="1" s="1"/>
  <c r="U215" i="1" a="1"/>
  <c r="U215" i="1" s="1"/>
  <c r="V213" i="1" a="1"/>
  <c r="V213" i="1" s="1"/>
  <c r="U207" i="1" a="1"/>
  <c r="U207" i="1" s="1"/>
  <c r="V205" i="1" a="1"/>
  <c r="V205" i="1" s="1"/>
  <c r="V290" i="1" a="1"/>
  <c r="V290" i="1" s="1"/>
  <c r="V275" i="1" a="1"/>
  <c r="V275" i="1" s="1"/>
  <c r="V272" i="1" a="1"/>
  <c r="V272" i="1" s="1"/>
  <c r="V265" i="1" a="1"/>
  <c r="V265" i="1" s="1"/>
  <c r="U230" i="1" a="1"/>
  <c r="U230" i="1" s="1"/>
  <c r="K17" i="1" s="1"/>
  <c r="K16" i="1" s="1"/>
  <c r="V228" i="1" a="1"/>
  <c r="V228" i="1" s="1"/>
  <c r="U222" i="1" a="1"/>
  <c r="U222" i="1" s="1"/>
  <c r="V220" i="1" a="1"/>
  <c r="V220" i="1" s="1"/>
  <c r="U214" i="1" a="1"/>
  <c r="U214" i="1" s="1"/>
  <c r="V212" i="1" a="1"/>
  <c r="V212" i="1" s="1"/>
  <c r="U202" i="1" a="1"/>
  <c r="U202" i="1" s="1"/>
  <c r="V200" i="1" a="1"/>
  <c r="V200" i="1" s="1"/>
  <c r="V293" i="1" a="1"/>
  <c r="V293" i="1" s="1"/>
  <c r="U272" i="1" a="1"/>
  <c r="U272" i="1" s="1"/>
  <c r="U269" i="1" a="1"/>
  <c r="U269" i="1" s="1"/>
  <c r="U262" i="1" a="1"/>
  <c r="U262" i="1" s="1"/>
  <c r="V254" i="1" a="1"/>
  <c r="V254" i="1" s="1"/>
  <c r="U253" i="1" a="1"/>
  <c r="U253" i="1" s="1"/>
  <c r="V264" i="1" a="1"/>
  <c r="V264" i="1" s="1"/>
  <c r="U228" i="1" a="1"/>
  <c r="U228" i="1" s="1"/>
  <c r="U242" i="1" a="1"/>
  <c r="U242" i="1" s="1"/>
  <c r="J17" i="1" s="1"/>
  <c r="V238" i="1" a="1"/>
  <c r="V238" i="1" s="1"/>
  <c r="V231" i="1" a="1"/>
  <c r="V231" i="1" s="1"/>
  <c r="V219" i="1" a="1"/>
  <c r="V219" i="1" s="1"/>
  <c r="V218" i="1" a="1"/>
  <c r="V218" i="1" s="1"/>
  <c r="U200" i="1" a="1"/>
  <c r="U200" i="1" s="1"/>
  <c r="U198" i="1" a="1"/>
  <c r="U198" i="1" s="1"/>
  <c r="V196" i="1" a="1"/>
  <c r="V196" i="1" s="1"/>
  <c r="U190" i="1" a="1"/>
  <c r="U190" i="1" s="1"/>
  <c r="V188" i="1" a="1"/>
  <c r="V188" i="1" s="1"/>
  <c r="U182" i="1" a="1"/>
  <c r="U182" i="1" s="1"/>
  <c r="V180" i="1" a="1"/>
  <c r="V180" i="1" s="1"/>
  <c r="U174" i="1" a="1"/>
  <c r="U174" i="1" s="1"/>
  <c r="V172" i="1" a="1"/>
  <c r="V172" i="1" s="1"/>
  <c r="U166" i="1" a="1"/>
  <c r="U166" i="1" s="1"/>
  <c r="V164" i="1" a="1"/>
  <c r="V164" i="1" s="1"/>
  <c r="U158" i="1" a="1"/>
  <c r="U158" i="1" s="1"/>
  <c r="V156" i="1" a="1"/>
  <c r="V156" i="1" s="1"/>
  <c r="U234" i="1" a="1"/>
  <c r="U234" i="1" s="1"/>
  <c r="V227" i="1" a="1"/>
  <c r="V227" i="1" s="1"/>
  <c r="U212" i="1" a="1"/>
  <c r="U212" i="1" s="1"/>
  <c r="U208" i="1" a="1"/>
  <c r="U208" i="1" s="1"/>
  <c r="V207" i="1" a="1"/>
  <c r="V207" i="1" s="1"/>
  <c r="V203" i="1" a="1"/>
  <c r="V203" i="1" s="1"/>
  <c r="V199" i="1" a="1"/>
  <c r="V199" i="1" s="1"/>
  <c r="U193" i="1" a="1"/>
  <c r="U193" i="1" s="1"/>
  <c r="V191" i="1" a="1"/>
  <c r="V191" i="1" s="1"/>
  <c r="U185" i="1" a="1"/>
  <c r="U185" i="1" s="1"/>
  <c r="V183" i="1" a="1"/>
  <c r="V183" i="1" s="1"/>
  <c r="U177" i="1" a="1"/>
  <c r="U177" i="1" s="1"/>
  <c r="V175" i="1" a="1"/>
  <c r="V175" i="1" s="1"/>
  <c r="U245" i="1" a="1"/>
  <c r="U245" i="1" s="1"/>
  <c r="U221" i="1" a="1"/>
  <c r="U221" i="1" s="1"/>
  <c r="U220" i="1" a="1"/>
  <c r="U220" i="1" s="1"/>
  <c r="V217" i="1" a="1"/>
  <c r="V217" i="1" s="1"/>
  <c r="V211" i="1" a="1"/>
  <c r="V211" i="1" s="1"/>
  <c r="U205" i="1" a="1"/>
  <c r="U205" i="1" s="1"/>
  <c r="V201" i="1" a="1"/>
  <c r="V201" i="1" s="1"/>
  <c r="U196" i="1" a="1"/>
  <c r="U196" i="1" s="1"/>
  <c r="V194" i="1" a="1"/>
  <c r="V194" i="1" s="1"/>
  <c r="U188" i="1" a="1"/>
  <c r="U188" i="1" s="1"/>
  <c r="V186" i="1" a="1"/>
  <c r="V186" i="1" s="1"/>
  <c r="U180" i="1" a="1"/>
  <c r="U180" i="1" s="1"/>
  <c r="V178" i="1" a="1"/>
  <c r="V178" i="1" s="1"/>
  <c r="U172" i="1" a="1"/>
  <c r="U172" i="1" s="1"/>
  <c r="V170" i="1" a="1"/>
  <c r="V170" i="1" s="1"/>
  <c r="U164" i="1" a="1"/>
  <c r="U164" i="1" s="1"/>
  <c r="V162" i="1" a="1"/>
  <c r="V162" i="1" s="1"/>
  <c r="U237" i="1" a="1"/>
  <c r="U237" i="1" s="1"/>
  <c r="U225" i="1" a="1"/>
  <c r="U225" i="1" s="1"/>
  <c r="V222" i="1" a="1"/>
  <c r="V222" i="1" s="1"/>
  <c r="U217" i="1" a="1"/>
  <c r="U217" i="1" s="1"/>
  <c r="U203" i="1" a="1"/>
  <c r="U203" i="1" s="1"/>
  <c r="U201" i="1" a="1"/>
  <c r="U201" i="1" s="1"/>
  <c r="U199" i="1" a="1"/>
  <c r="U199" i="1" s="1"/>
  <c r="V197" i="1" a="1"/>
  <c r="V197" i="1" s="1"/>
  <c r="U191" i="1" a="1"/>
  <c r="U191" i="1" s="1"/>
  <c r="V189" i="1" a="1"/>
  <c r="V189" i="1" s="1"/>
  <c r="U183" i="1" a="1"/>
  <c r="U183" i="1" s="1"/>
  <c r="V181" i="1" a="1"/>
  <c r="V181" i="1" s="1"/>
  <c r="U175" i="1" a="1"/>
  <c r="U175" i="1" s="1"/>
  <c r="V173" i="1" a="1"/>
  <c r="V173" i="1" s="1"/>
  <c r="U167" i="1" a="1"/>
  <c r="U167" i="1" s="1"/>
  <c r="V165" i="1" a="1"/>
  <c r="V165" i="1" s="1"/>
  <c r="U159" i="1" a="1"/>
  <c r="U159" i="1" s="1"/>
  <c r="V157" i="1" a="1"/>
  <c r="V157" i="1" s="1"/>
  <c r="U151" i="1" a="1"/>
  <c r="U151" i="1" s="1"/>
  <c r="V149" i="1" a="1"/>
  <c r="V149" i="1" s="1"/>
  <c r="U248" i="1" a="1"/>
  <c r="U248" i="1" s="1"/>
  <c r="U229" i="1" a="1"/>
  <c r="U229" i="1" s="1"/>
  <c r="V223" i="1" a="1"/>
  <c r="V223" i="1" s="1"/>
  <c r="U211" i="1" a="1"/>
  <c r="U211" i="1" s="1"/>
  <c r="V210" i="1" a="1"/>
  <c r="V210" i="1" s="1"/>
  <c r="U194" i="1" a="1"/>
  <c r="U194" i="1" s="1"/>
  <c r="V192" i="1" a="1"/>
  <c r="V192" i="1" s="1"/>
  <c r="U186" i="1" a="1"/>
  <c r="U186" i="1" s="1"/>
  <c r="V184" i="1" a="1"/>
  <c r="V184" i="1" s="1"/>
  <c r="U178" i="1" a="1"/>
  <c r="U178" i="1" s="1"/>
  <c r="V176" i="1" a="1"/>
  <c r="V176" i="1" s="1"/>
  <c r="U170" i="1" a="1"/>
  <c r="U170" i="1" s="1"/>
  <c r="V168" i="1" a="1"/>
  <c r="V168" i="1" s="1"/>
  <c r="U162" i="1" a="1"/>
  <c r="U162" i="1" s="1"/>
  <c r="V160" i="1" a="1"/>
  <c r="V160" i="1" s="1"/>
  <c r="V243" i="1" a="1"/>
  <c r="V243" i="1" s="1"/>
  <c r="U240" i="1" a="1"/>
  <c r="U240" i="1" s="1"/>
  <c r="U216" i="1" a="1"/>
  <c r="U216" i="1" s="1"/>
  <c r="V215" i="1" a="1"/>
  <c r="V215" i="1" s="1"/>
  <c r="U197" i="1" a="1"/>
  <c r="U197" i="1" s="1"/>
  <c r="V195" i="1" a="1"/>
  <c r="V195" i="1" s="1"/>
  <c r="U189" i="1" a="1"/>
  <c r="U189" i="1" s="1"/>
  <c r="V187" i="1" a="1"/>
  <c r="V187" i="1" s="1"/>
  <c r="V235" i="1" a="1"/>
  <c r="V235" i="1" s="1"/>
  <c r="V226" i="1" a="1"/>
  <c r="V226" i="1" s="1"/>
  <c r="V214" i="1" a="1"/>
  <c r="V214" i="1" s="1"/>
  <c r="V209" i="1" a="1"/>
  <c r="V209" i="1" s="1"/>
  <c r="V206" i="1" a="1"/>
  <c r="V206" i="1" s="1"/>
  <c r="V246" i="1" a="1"/>
  <c r="V246" i="1" s="1"/>
  <c r="V198" i="1" a="1"/>
  <c r="V198" i="1" s="1"/>
  <c r="V193" i="1" a="1"/>
  <c r="V193" i="1" s="1"/>
  <c r="V169" i="1" a="1"/>
  <c r="V169" i="1" s="1"/>
  <c r="U163" i="1" a="1"/>
  <c r="U163" i="1" s="1"/>
  <c r="V144" i="1" a="1"/>
  <c r="V144" i="1" s="1"/>
  <c r="U138" i="1" a="1"/>
  <c r="U138" i="1" s="1"/>
  <c r="V136" i="1" a="1"/>
  <c r="V136" i="1" s="1"/>
  <c r="U130" i="1" a="1"/>
  <c r="U130" i="1" s="1"/>
  <c r="V128" i="1" a="1"/>
  <c r="V128" i="1" s="1"/>
  <c r="U122" i="1" a="1"/>
  <c r="U122" i="1" s="1"/>
  <c r="V120" i="1" a="1"/>
  <c r="V120" i="1" s="1"/>
  <c r="U114" i="1" a="1"/>
  <c r="U114" i="1" s="1"/>
  <c r="U113" i="1" a="1"/>
  <c r="U113" i="1" s="1"/>
  <c r="U112" i="1" a="1"/>
  <c r="U112" i="1" s="1"/>
  <c r="U111" i="1" a="1"/>
  <c r="U111" i="1" s="1"/>
  <c r="U110" i="1" a="1"/>
  <c r="U110" i="1" s="1"/>
  <c r="U109" i="1" a="1"/>
  <c r="U109" i="1" s="1"/>
  <c r="U171" i="1" a="1"/>
  <c r="U171" i="1" s="1"/>
  <c r="U169" i="1" a="1"/>
  <c r="U169" i="1" s="1"/>
  <c r="V161" i="1" a="1"/>
  <c r="V161" i="1" s="1"/>
  <c r="U157" i="1" a="1"/>
  <c r="U157" i="1" s="1"/>
  <c r="V152" i="1" a="1"/>
  <c r="V152" i="1" s="1"/>
  <c r="U148" i="1" a="1"/>
  <c r="U148" i="1" s="1"/>
  <c r="V147" i="1" a="1"/>
  <c r="V147" i="1" s="1"/>
  <c r="U141" i="1" a="1"/>
  <c r="U141" i="1" s="1"/>
  <c r="V139" i="1" a="1"/>
  <c r="V139" i="1" s="1"/>
  <c r="U133" i="1" a="1"/>
  <c r="U133" i="1" s="1"/>
  <c r="V131" i="1" a="1"/>
  <c r="V131" i="1" s="1"/>
  <c r="U195" i="1" a="1"/>
  <c r="U195" i="1" s="1"/>
  <c r="U181" i="1" a="1"/>
  <c r="U181" i="1" s="1"/>
  <c r="U176" i="1" a="1"/>
  <c r="U176" i="1" s="1"/>
  <c r="U168" i="1" a="1"/>
  <c r="U168" i="1" s="1"/>
  <c r="V167" i="1" a="1"/>
  <c r="V167" i="1" s="1"/>
  <c r="U161" i="1" a="1"/>
  <c r="U161" i="1" s="1"/>
  <c r="C17" i="1" s="1"/>
  <c r="C16" i="1" s="1"/>
  <c r="V153" i="1" a="1"/>
  <c r="V153" i="1" s="1"/>
  <c r="V151" i="1" a="1"/>
  <c r="V151" i="1" s="1"/>
  <c r="U144" i="1" a="1"/>
  <c r="U144" i="1" s="1"/>
  <c r="V142" i="1" a="1"/>
  <c r="V142" i="1" s="1"/>
  <c r="U136" i="1" a="1"/>
  <c r="U136" i="1" s="1"/>
  <c r="V134" i="1" a="1"/>
  <c r="V134" i="1" s="1"/>
  <c r="U213" i="1" a="1"/>
  <c r="U213" i="1" s="1"/>
  <c r="U204" i="1" a="1"/>
  <c r="U204" i="1" s="1"/>
  <c r="U192" i="1" a="1"/>
  <c r="U192" i="1" s="1"/>
  <c r="V190" i="1" a="1"/>
  <c r="V190" i="1" s="1"/>
  <c r="V185" i="1" a="1"/>
  <c r="V185" i="1" s="1"/>
  <c r="V177" i="1" a="1"/>
  <c r="V177" i="1" s="1"/>
  <c r="U160" i="1" a="1"/>
  <c r="U160" i="1" s="1"/>
  <c r="V158" i="1" a="1"/>
  <c r="V158" i="1" s="1"/>
  <c r="V154" i="1" a="1"/>
  <c r="V154" i="1" s="1"/>
  <c r="U153" i="1" a="1"/>
  <c r="U153" i="1" s="1"/>
  <c r="U152" i="1" a="1"/>
  <c r="U152" i="1" s="1"/>
  <c r="U147" i="1" a="1"/>
  <c r="U147" i="1" s="1"/>
  <c r="V146" i="1" a="1"/>
  <c r="V146" i="1" s="1"/>
  <c r="U139" i="1" a="1"/>
  <c r="U139" i="1" s="1"/>
  <c r="V137" i="1" a="1"/>
  <c r="V137" i="1" s="1"/>
  <c r="U131" i="1" a="1"/>
  <c r="U131" i="1" s="1"/>
  <c r="V129" i="1" a="1"/>
  <c r="V129" i="1" s="1"/>
  <c r="U123" i="1" a="1"/>
  <c r="U123" i="1" s="1"/>
  <c r="V121" i="1" a="1"/>
  <c r="V121" i="1" s="1"/>
  <c r="U115" i="1" a="1"/>
  <c r="U115" i="1" s="1"/>
  <c r="U173" i="1" a="1"/>
  <c r="U173" i="1" s="1"/>
  <c r="V166" i="1" a="1"/>
  <c r="V166" i="1" s="1"/>
  <c r="V155" i="1" a="1"/>
  <c r="V155" i="1" s="1"/>
  <c r="U154" i="1" a="1"/>
  <c r="U154" i="1" s="1"/>
  <c r="V150" i="1" a="1"/>
  <c r="V150" i="1" s="1"/>
  <c r="U146" i="1" a="1"/>
  <c r="U146" i="1" s="1"/>
  <c r="U142" i="1" a="1"/>
  <c r="U142" i="1" s="1"/>
  <c r="V140" i="1" a="1"/>
  <c r="V140" i="1" s="1"/>
  <c r="U134" i="1" a="1"/>
  <c r="U134" i="1" s="1"/>
  <c r="V132" i="1" a="1"/>
  <c r="V132" i="1" s="1"/>
  <c r="U209" i="1" a="1"/>
  <c r="U209" i="1" s="1"/>
  <c r="V202" i="1" a="1"/>
  <c r="V202" i="1" s="1"/>
  <c r="U187" i="1" a="1"/>
  <c r="U187" i="1" s="1"/>
  <c r="V179" i="1" a="1"/>
  <c r="V179" i="1" s="1"/>
  <c r="U165" i="1" a="1"/>
  <c r="U165" i="1" s="1"/>
  <c r="V145" i="1" a="1"/>
  <c r="V145" i="1" s="1"/>
  <c r="V143" i="1" a="1"/>
  <c r="V143" i="1" s="1"/>
  <c r="U137" i="1" a="1"/>
  <c r="U137" i="1" s="1"/>
  <c r="V135" i="1" a="1"/>
  <c r="V135" i="1" s="1"/>
  <c r="U184" i="1" a="1"/>
  <c r="U184" i="1" s="1"/>
  <c r="V182" i="1" a="1"/>
  <c r="V182" i="1" s="1"/>
  <c r="V174" i="1" a="1"/>
  <c r="V174" i="1" s="1"/>
  <c r="V163" i="1" a="1"/>
  <c r="V163" i="1" s="1"/>
  <c r="V159" i="1" a="1"/>
  <c r="V159" i="1" s="1"/>
  <c r="U155" i="1" a="1"/>
  <c r="U155" i="1" s="1"/>
  <c r="U150" i="1" a="1"/>
  <c r="U150" i="1" s="1"/>
  <c r="U179" i="1" a="1"/>
  <c r="U179" i="1" s="1"/>
  <c r="V171" i="1" a="1"/>
  <c r="V171" i="1" s="1"/>
  <c r="U156" i="1" a="1"/>
  <c r="U156" i="1" s="1"/>
  <c r="U149" i="1" a="1"/>
  <c r="U149" i="1" s="1"/>
  <c r="V148" i="1" a="1"/>
  <c r="V148" i="1" s="1"/>
  <c r="U145" i="1" a="1"/>
  <c r="U145" i="1" s="1"/>
  <c r="U143" i="1" a="1"/>
  <c r="U143" i="1" s="1"/>
  <c r="V141" i="1" a="1"/>
  <c r="V141" i="1" s="1"/>
  <c r="U135" i="1" a="1"/>
  <c r="U135" i="1" s="1"/>
  <c r="V133" i="1" a="1"/>
  <c r="V133" i="1" s="1"/>
  <c r="U127" i="1" a="1"/>
  <c r="U127" i="1" s="1"/>
  <c r="U119" i="1" a="1"/>
  <c r="U119" i="1" s="1"/>
  <c r="U107" i="1" a="1"/>
  <c r="U107" i="1" s="1"/>
  <c r="V105" i="1" a="1"/>
  <c r="V105" i="1" s="1"/>
  <c r="U99" i="1" a="1"/>
  <c r="U99" i="1" s="1"/>
  <c r="V97" i="1" a="1"/>
  <c r="V97" i="1" s="1"/>
  <c r="U91" i="1" a="1"/>
  <c r="U91" i="1" s="1"/>
  <c r="V89" i="1" a="1"/>
  <c r="V89" i="1" s="1"/>
  <c r="U83" i="1" a="1"/>
  <c r="U83" i="1" s="1"/>
  <c r="V81" i="1" a="1"/>
  <c r="V81" i="1" s="1"/>
  <c r="U75" i="1" a="1"/>
  <c r="U75" i="1" s="1"/>
  <c r="V73" i="1" a="1"/>
  <c r="V73" i="1" s="1"/>
  <c r="V130" i="1" a="1"/>
  <c r="V130" i="1" s="1"/>
  <c r="U120" i="1" a="1"/>
  <c r="U120" i="1" s="1"/>
  <c r="V111" i="1" a="1"/>
  <c r="V111" i="1" s="1"/>
  <c r="V108" i="1" a="1"/>
  <c r="V108" i="1" s="1"/>
  <c r="U102" i="1" a="1"/>
  <c r="U102" i="1" s="1"/>
  <c r="V100" i="1" a="1"/>
  <c r="V100" i="1" s="1"/>
  <c r="U94" i="1" a="1"/>
  <c r="U94" i="1" s="1"/>
  <c r="V92" i="1" a="1"/>
  <c r="V92" i="1" s="1"/>
  <c r="U86" i="1" a="1"/>
  <c r="U86" i="1" s="1"/>
  <c r="V84" i="1" a="1"/>
  <c r="V84" i="1" s="1"/>
  <c r="U140" i="1" a="1"/>
  <c r="U140" i="1" s="1"/>
  <c r="U105" i="1" a="1"/>
  <c r="U105" i="1" s="1"/>
  <c r="V103" i="1" a="1"/>
  <c r="V103" i="1" s="1"/>
  <c r="U97" i="1" a="1"/>
  <c r="U97" i="1" s="1"/>
  <c r="V95" i="1" a="1"/>
  <c r="V95" i="1" s="1"/>
  <c r="U89" i="1" a="1"/>
  <c r="U89" i="1" s="1"/>
  <c r="V87" i="1" a="1"/>
  <c r="V87" i="1" s="1"/>
  <c r="U81" i="1" a="1"/>
  <c r="U81" i="1" s="1"/>
  <c r="V79" i="1" a="1"/>
  <c r="V79" i="1" s="1"/>
  <c r="U73" i="1" a="1"/>
  <c r="U73" i="1" s="1"/>
  <c r="V71" i="1" a="1"/>
  <c r="V71" i="1" s="1"/>
  <c r="U65" i="1" a="1"/>
  <c r="U65" i="1" s="1"/>
  <c r="V63" i="1" a="1"/>
  <c r="V63" i="1" s="1"/>
  <c r="U128" i="1" a="1"/>
  <c r="U128" i="1" s="1"/>
  <c r="V124" i="1" a="1"/>
  <c r="V124" i="1" s="1"/>
  <c r="V123" i="1" a="1"/>
  <c r="V123" i="1" s="1"/>
  <c r="V122" i="1" a="1"/>
  <c r="V122" i="1" s="1"/>
  <c r="U121" i="1" a="1"/>
  <c r="U121" i="1" s="1"/>
  <c r="V116" i="1" a="1"/>
  <c r="V116" i="1" s="1"/>
  <c r="V115" i="1" a="1"/>
  <c r="V115" i="1" s="1"/>
  <c r="V114" i="1" a="1"/>
  <c r="V114" i="1" s="1"/>
  <c r="V110" i="1" a="1"/>
  <c r="V110" i="1" s="1"/>
  <c r="U108" i="1" a="1"/>
  <c r="U108" i="1" s="1"/>
  <c r="V106" i="1" a="1"/>
  <c r="V106" i="1" s="1"/>
  <c r="U100" i="1" a="1"/>
  <c r="U100" i="1" s="1"/>
  <c r="V98" i="1" a="1"/>
  <c r="V98" i="1" s="1"/>
  <c r="U92" i="1" a="1"/>
  <c r="U92" i="1" s="1"/>
  <c r="V90" i="1" a="1"/>
  <c r="V90" i="1" s="1"/>
  <c r="U84" i="1" a="1"/>
  <c r="U84" i="1" s="1"/>
  <c r="V82" i="1" a="1"/>
  <c r="V82" i="1" s="1"/>
  <c r="U76" i="1" a="1"/>
  <c r="U76" i="1" s="1"/>
  <c r="V74" i="1" a="1"/>
  <c r="V74" i="1" s="1"/>
  <c r="V138" i="1" a="1"/>
  <c r="V138" i="1" s="1"/>
  <c r="V125" i="1" a="1"/>
  <c r="V125" i="1" s="1"/>
  <c r="V117" i="1" a="1"/>
  <c r="V117" i="1" s="1"/>
  <c r="U103" i="1" a="1"/>
  <c r="U103" i="1" s="1"/>
  <c r="V101" i="1" a="1"/>
  <c r="V101" i="1" s="1"/>
  <c r="U95" i="1" a="1"/>
  <c r="U95" i="1" s="1"/>
  <c r="V93" i="1" a="1"/>
  <c r="V93" i="1" s="1"/>
  <c r="U87" i="1" a="1"/>
  <c r="U87" i="1" s="1"/>
  <c r="V85" i="1" a="1"/>
  <c r="V85" i="1" s="1"/>
  <c r="U79" i="1" a="1"/>
  <c r="U79" i="1" s="1"/>
  <c r="V77" i="1" a="1"/>
  <c r="V77" i="1" s="1"/>
  <c r="U129" i="1" a="1"/>
  <c r="U129" i="1" s="1"/>
  <c r="V126" i="1" a="1"/>
  <c r="V126" i="1" s="1"/>
  <c r="U125" i="1" a="1"/>
  <c r="U125" i="1" s="1"/>
  <c r="U124" i="1" a="1"/>
  <c r="U124" i="1" s="1"/>
  <c r="V118" i="1" a="1"/>
  <c r="V118" i="1" s="1"/>
  <c r="U117" i="1" a="1"/>
  <c r="U117" i="1" s="1"/>
  <c r="U116" i="1" a="1"/>
  <c r="U116" i="1" s="1"/>
  <c r="V113" i="1" a="1"/>
  <c r="V113" i="1" s="1"/>
  <c r="V109" i="1" a="1"/>
  <c r="V109" i="1" s="1"/>
  <c r="U106" i="1" a="1"/>
  <c r="U106" i="1" s="1"/>
  <c r="V104" i="1" a="1"/>
  <c r="V104" i="1" s="1"/>
  <c r="U98" i="1" a="1"/>
  <c r="U98" i="1" s="1"/>
  <c r="V96" i="1" a="1"/>
  <c r="V96" i="1" s="1"/>
  <c r="U90" i="1" a="1"/>
  <c r="U90" i="1" s="1"/>
  <c r="G17" i="1" s="1"/>
  <c r="G16" i="1" s="1"/>
  <c r="V88" i="1" a="1"/>
  <c r="V88" i="1" s="1"/>
  <c r="U82" i="1" a="1"/>
  <c r="U82" i="1" s="1"/>
  <c r="V80" i="1" a="1"/>
  <c r="V80" i="1" s="1"/>
  <c r="U132" i="1" a="1"/>
  <c r="U132" i="1" s="1"/>
  <c r="V127" i="1" a="1"/>
  <c r="V127" i="1" s="1"/>
  <c r="U126" i="1" a="1"/>
  <c r="U126" i="1" s="1"/>
  <c r="V119" i="1" a="1"/>
  <c r="V119" i="1" s="1"/>
  <c r="U118" i="1" a="1"/>
  <c r="U118" i="1" s="1"/>
  <c r="V107" i="1" a="1"/>
  <c r="V107" i="1" s="1"/>
  <c r="U101" i="1" a="1"/>
  <c r="U101" i="1" s="1"/>
  <c r="V99" i="1" a="1"/>
  <c r="V99" i="1" s="1"/>
  <c r="U93" i="1" a="1"/>
  <c r="U93" i="1" s="1"/>
  <c r="V91" i="1" a="1"/>
  <c r="V91" i="1" s="1"/>
  <c r="U85" i="1" a="1"/>
  <c r="U85" i="1" s="1"/>
  <c r="V83" i="1" a="1"/>
  <c r="V83" i="1" s="1"/>
  <c r="U77" i="1" a="1"/>
  <c r="U77" i="1" s="1"/>
  <c r="V75" i="1" a="1"/>
  <c r="V75" i="1" s="1"/>
  <c r="V112" i="1" a="1"/>
  <c r="V112" i="1" s="1"/>
  <c r="U104" i="1" a="1"/>
  <c r="U104" i="1" s="1"/>
  <c r="V102" i="1" a="1"/>
  <c r="V102" i="1" s="1"/>
  <c r="U96" i="1" a="1"/>
  <c r="U96" i="1" s="1"/>
  <c r="V94" i="1" a="1"/>
  <c r="V94" i="1" s="1"/>
  <c r="J5" i="1"/>
  <c r="R5" i="1"/>
  <c r="R4" i="1" s="1"/>
  <c r="F7" i="1"/>
  <c r="F10" i="1" s="1"/>
  <c r="N7" i="1"/>
  <c r="N10" i="1" s="1"/>
  <c r="C5" i="1"/>
  <c r="K5" i="1"/>
  <c r="K4" i="1" s="1"/>
  <c r="G7" i="1"/>
  <c r="O7" i="1"/>
  <c r="E9" i="1"/>
  <c r="E8" i="1" s="1"/>
  <c r="M9" i="1"/>
  <c r="M8" i="1" s="1"/>
  <c r="J13" i="1"/>
  <c r="J12" i="1" s="1"/>
  <c r="R13" i="1"/>
  <c r="R12" i="1" s="1"/>
  <c r="G15" i="1"/>
  <c r="O15" i="1"/>
  <c r="C19" i="1"/>
  <c r="K19" i="1"/>
  <c r="S19" i="1"/>
  <c r="I20" i="1"/>
  <c r="I3" i="1" s="1"/>
  <c r="Q20" i="1"/>
  <c r="Q3" i="1" s="1"/>
  <c r="Q6" i="1" s="1"/>
  <c r="R58" i="1" a="1"/>
  <c r="R58" i="1" s="1"/>
  <c r="I59" i="1" a="1"/>
  <c r="I59" i="1" s="1"/>
  <c r="U59" i="1" a="1"/>
  <c r="U59" i="1" s="1"/>
  <c r="R61" i="1" a="1"/>
  <c r="R61" i="1" s="1"/>
  <c r="Q62" i="1" a="1"/>
  <c r="Q62" i="1" s="1"/>
  <c r="M62" i="1" s="1"/>
  <c r="V62" i="1" a="1"/>
  <c r="V62" i="1" s="1"/>
  <c r="I63" i="1" a="1"/>
  <c r="I63" i="1" s="1"/>
  <c r="U63" i="1" a="1"/>
  <c r="U63" i="1" s="1"/>
  <c r="E17" i="1" s="1"/>
  <c r="E16" i="1" s="1"/>
  <c r="N64" i="1" a="1"/>
  <c r="N64" i="1" s="1"/>
  <c r="Q66" i="1" a="1"/>
  <c r="Q66" i="1" s="1"/>
  <c r="M66" i="1" s="1"/>
  <c r="V66" i="1" a="1"/>
  <c r="V66" i="1" s="1"/>
  <c r="U67" i="1" a="1"/>
  <c r="U67" i="1" s="1"/>
  <c r="U70" i="1" a="1"/>
  <c r="U70" i="1" s="1"/>
  <c r="I71" i="1" a="1"/>
  <c r="I71" i="1" s="1"/>
  <c r="R71" i="1" a="1"/>
  <c r="R71" i="1" s="1"/>
  <c r="I76" i="1" a="1"/>
  <c r="I76" i="1" s="1"/>
  <c r="S77" i="1" a="1"/>
  <c r="S77" i="1" s="1"/>
  <c r="R81" i="1" a="1"/>
  <c r="R81" i="1" s="1"/>
  <c r="T82" i="1" a="1"/>
  <c r="T82" i="1" s="1"/>
  <c r="AB306" i="13"/>
  <c r="AB242" i="13"/>
  <c r="AB180" i="13"/>
  <c r="AB118" i="13"/>
  <c r="AB284" i="13"/>
  <c r="AB220" i="13"/>
  <c r="AB288" i="13"/>
  <c r="AB224" i="13"/>
  <c r="AB184" i="13"/>
  <c r="AB263" i="13"/>
  <c r="AB179" i="13"/>
  <c r="AB94" i="13"/>
  <c r="AB33" i="13"/>
  <c r="B78" i="12"/>
  <c r="M107" i="10"/>
  <c r="AB281" i="13"/>
  <c r="AB217" i="13"/>
  <c r="AB294" i="13"/>
  <c r="AB147" i="13"/>
  <c r="AB80" i="13"/>
  <c r="AB214" i="13"/>
  <c r="AB144" i="13"/>
  <c r="AB76" i="13"/>
  <c r="AB251" i="13"/>
  <c r="AB275" i="13"/>
  <c r="AB117" i="13"/>
  <c r="AB187" i="13"/>
  <c r="AB108" i="13"/>
  <c r="AB22" i="13"/>
  <c r="B61" i="12"/>
  <c r="B25" i="11"/>
  <c r="AB206" i="13"/>
  <c r="AB79" i="13"/>
  <c r="AB6" i="13"/>
  <c r="B33" i="12"/>
  <c r="B100" i="12"/>
  <c r="B30" i="11"/>
  <c r="AB183" i="13"/>
  <c r="B85" i="12"/>
  <c r="B32" i="11"/>
  <c r="AB261" i="13"/>
  <c r="AB40" i="13"/>
  <c r="B68" i="12"/>
  <c r="B107" i="10"/>
  <c r="AB34" i="13"/>
  <c r="AB77" i="13"/>
  <c r="B35" i="11"/>
  <c r="M101" i="10"/>
  <c r="M81" i="10"/>
  <c r="AB174" i="13"/>
  <c r="B96" i="12"/>
  <c r="M108" i="10"/>
  <c r="B83" i="10"/>
  <c r="AB96" i="13"/>
  <c r="AB37" i="13"/>
  <c r="B104" i="10"/>
  <c r="B81" i="12"/>
  <c r="M109" i="10"/>
  <c r="M64" i="10"/>
  <c r="B22" i="10"/>
  <c r="AB20" i="13"/>
  <c r="M97" i="10"/>
  <c r="B67" i="10"/>
  <c r="B72" i="12"/>
  <c r="AB30" i="13"/>
  <c r="AB299" i="13"/>
  <c r="M106" i="10"/>
  <c r="B72" i="10"/>
  <c r="M52" i="10"/>
  <c r="B13" i="11"/>
  <c r="B82" i="10"/>
  <c r="B41" i="10"/>
  <c r="M54" i="9"/>
  <c r="B12" i="9"/>
  <c r="M70" i="10"/>
  <c r="M12" i="10"/>
  <c r="B73" i="10"/>
  <c r="B39" i="10"/>
  <c r="B16" i="10"/>
  <c r="M75" i="10"/>
  <c r="M47" i="10"/>
  <c r="B81" i="10"/>
  <c r="M113" i="10"/>
  <c r="M45" i="10"/>
  <c r="M100" i="10"/>
  <c r="B48" i="9"/>
  <c r="M57" i="10"/>
  <c r="B35" i="9"/>
  <c r="B94" i="8"/>
  <c r="M72" i="8"/>
  <c r="B30" i="8"/>
  <c r="M8" i="8"/>
  <c r="M18" i="10"/>
  <c r="B41" i="9"/>
  <c r="M19" i="9"/>
  <c r="B67" i="9"/>
  <c r="M40" i="9"/>
  <c r="B15" i="9"/>
  <c r="B29" i="10"/>
  <c r="M37" i="9"/>
  <c r="B108" i="8"/>
  <c r="M86" i="8"/>
  <c r="B44" i="8"/>
  <c r="M103" i="8"/>
  <c r="M85" i="8"/>
  <c r="M39" i="8"/>
  <c r="M42" i="9"/>
  <c r="M99" i="8"/>
  <c r="F60" i="8"/>
  <c r="F9" i="8"/>
  <c r="B50" i="8"/>
  <c r="M19" i="8"/>
  <c r="B80" i="8"/>
  <c r="B48" i="8"/>
  <c r="M109" i="8"/>
  <c r="M63" i="8"/>
  <c r="M45" i="8"/>
  <c r="M27" i="8"/>
  <c r="B56" i="9"/>
  <c r="B16" i="9"/>
  <c r="M75" i="8"/>
  <c r="B27" i="8"/>
  <c r="M63" i="9"/>
  <c r="M9" i="9"/>
  <c r="B58" i="8"/>
  <c r="M21" i="8"/>
  <c r="M20" i="9"/>
  <c r="B88" i="8"/>
  <c r="B56" i="8"/>
  <c r="F28" i="8"/>
  <c r="B37" i="8"/>
  <c r="M23" i="8"/>
  <c r="N330" i="1" a="1"/>
  <c r="N330" i="1" s="1"/>
  <c r="N322" i="1" a="1"/>
  <c r="N322" i="1" s="1"/>
  <c r="N314" i="1" a="1"/>
  <c r="N314" i="1" s="1"/>
  <c r="N306" i="1" a="1"/>
  <c r="N306" i="1" s="1"/>
  <c r="N298" i="1" a="1"/>
  <c r="N298" i="1" s="1"/>
  <c r="N296" i="1" a="1"/>
  <c r="N296" i="1" s="1"/>
  <c r="N333" i="1" a="1"/>
  <c r="N333" i="1" s="1"/>
  <c r="N325" i="1" a="1"/>
  <c r="N325" i="1" s="1"/>
  <c r="N317" i="1" a="1"/>
  <c r="N317" i="1" s="1"/>
  <c r="N309" i="1" a="1"/>
  <c r="N309" i="1" s="1"/>
  <c r="N301" i="1" a="1"/>
  <c r="N301" i="1" s="1"/>
  <c r="N293" i="1" a="1"/>
  <c r="N293" i="1" s="1"/>
  <c r="N285" i="1" a="1"/>
  <c r="N285" i="1" s="1"/>
  <c r="N326" i="1" a="1"/>
  <c r="N326" i="1" s="1"/>
  <c r="N316" i="1" a="1"/>
  <c r="N316" i="1" s="1"/>
  <c r="N311" i="1" a="1"/>
  <c r="N311" i="1" s="1"/>
  <c r="N290" i="1" a="1"/>
  <c r="N290" i="1" s="1"/>
  <c r="N282" i="1" a="1"/>
  <c r="N282" i="1" s="1"/>
  <c r="N280" i="1" a="1"/>
  <c r="N280" i="1" s="1"/>
  <c r="N332" i="1" a="1"/>
  <c r="N332" i="1" s="1"/>
  <c r="N327" i="1" a="1"/>
  <c r="N327" i="1" s="1"/>
  <c r="N334" i="1" a="1"/>
  <c r="N334" i="1" s="1"/>
  <c r="N324" i="1" a="1"/>
  <c r="N324" i="1" s="1"/>
  <c r="N319" i="1" a="1"/>
  <c r="N319" i="1" s="1"/>
  <c r="N299" i="1" a="1"/>
  <c r="N299" i="1" s="1"/>
  <c r="N291" i="1" a="1"/>
  <c r="N291" i="1" s="1"/>
  <c r="N337" i="1" a="1"/>
  <c r="N337" i="1" s="1"/>
  <c r="N329" i="1" a="1"/>
  <c r="N329" i="1" s="1"/>
  <c r="N321" i="1" a="1"/>
  <c r="N321" i="1" s="1"/>
  <c r="N313" i="1" a="1"/>
  <c r="N313" i="1" s="1"/>
  <c r="N289" i="1" a="1"/>
  <c r="N289" i="1" s="1"/>
  <c r="N275" i="1" a="1"/>
  <c r="N275" i="1" s="1"/>
  <c r="N267" i="1" a="1"/>
  <c r="N267" i="1" s="1"/>
  <c r="N259" i="1" a="1"/>
  <c r="N259" i="1" s="1"/>
  <c r="N251" i="1" a="1"/>
  <c r="N251" i="1" s="1"/>
  <c r="N243" i="1" a="1"/>
  <c r="N243" i="1" s="1"/>
  <c r="N235" i="1" a="1"/>
  <c r="N235" i="1" s="1"/>
  <c r="D27" i="2"/>
  <c r="N328" i="1" a="1"/>
  <c r="N328" i="1" s="1"/>
  <c r="N307" i="1" a="1"/>
  <c r="N307" i="1" s="1"/>
  <c r="N320" i="1" a="1"/>
  <c r="N320" i="1" s="1"/>
  <c r="N310" i="1" a="1"/>
  <c r="N310" i="1" s="1"/>
  <c r="N303" i="1" a="1"/>
  <c r="N303" i="1" s="1"/>
  <c r="N265" i="1" a="1"/>
  <c r="N265" i="1" s="1"/>
  <c r="N257" i="1" a="1"/>
  <c r="N257" i="1" s="1"/>
  <c r="N249" i="1" a="1"/>
  <c r="N249" i="1" s="1"/>
  <c r="N241" i="1" a="1"/>
  <c r="N241" i="1" s="1"/>
  <c r="N302" i="1" a="1"/>
  <c r="N302" i="1" s="1"/>
  <c r="N294" i="1" a="1"/>
  <c r="N294" i="1" s="1"/>
  <c r="N278" i="1" a="1"/>
  <c r="N278" i="1" s="1"/>
  <c r="N274" i="1" a="1"/>
  <c r="N274" i="1" s="1"/>
  <c r="N268" i="1" a="1"/>
  <c r="N268" i="1" s="1"/>
  <c r="N323" i="1" a="1"/>
  <c r="N323" i="1" s="1"/>
  <c r="N318" i="1" a="1"/>
  <c r="N318" i="1" s="1"/>
  <c r="N315" i="1" a="1"/>
  <c r="N315" i="1" s="1"/>
  <c r="N312" i="1" a="1"/>
  <c r="N312" i="1" s="1"/>
  <c r="N281" i="1" a="1"/>
  <c r="N281" i="1" s="1"/>
  <c r="N273" i="1" a="1"/>
  <c r="N273" i="1" s="1"/>
  <c r="N336" i="1" a="1"/>
  <c r="N336" i="1" s="1"/>
  <c r="N304" i="1" a="1"/>
  <c r="N304" i="1" s="1"/>
  <c r="N284" i="1" a="1"/>
  <c r="N284" i="1" s="1"/>
  <c r="N283" i="1" a="1"/>
  <c r="N283" i="1" s="1"/>
  <c r="N266" i="1" a="1"/>
  <c r="N266" i="1" s="1"/>
  <c r="N335" i="1" a="1"/>
  <c r="N335" i="1" s="1"/>
  <c r="N331" i="1" a="1"/>
  <c r="N331" i="1" s="1"/>
  <c r="N308" i="1" a="1"/>
  <c r="N308" i="1" s="1"/>
  <c r="N300" i="1" a="1"/>
  <c r="N300" i="1" s="1"/>
  <c r="N297" i="1" a="1"/>
  <c r="N297" i="1" s="1"/>
  <c r="N292" i="1" a="1"/>
  <c r="N292" i="1" s="1"/>
  <c r="N288" i="1" a="1"/>
  <c r="N288" i="1" s="1"/>
  <c r="N286" i="1" a="1"/>
  <c r="N286" i="1" s="1"/>
  <c r="N277" i="1" a="1"/>
  <c r="N277" i="1" s="1"/>
  <c r="N287" i="1" a="1"/>
  <c r="N287" i="1" s="1"/>
  <c r="N276" i="1" a="1"/>
  <c r="N276" i="1" s="1"/>
  <c r="N272" i="1" a="1"/>
  <c r="N272" i="1" s="1"/>
  <c r="N264" i="1" a="1"/>
  <c r="N264" i="1" s="1"/>
  <c r="N295" i="1" a="1"/>
  <c r="N295" i="1" s="1"/>
  <c r="N255" i="1" a="1"/>
  <c r="N255" i="1" s="1"/>
  <c r="N247" i="1" a="1"/>
  <c r="N247" i="1" s="1"/>
  <c r="N239" i="1" a="1"/>
  <c r="N239" i="1" s="1"/>
  <c r="N227" i="1" a="1"/>
  <c r="N227" i="1" s="1"/>
  <c r="N219" i="1" a="1"/>
  <c r="N219" i="1" s="1"/>
  <c r="N263" i="1" a="1"/>
  <c r="N263" i="1" s="1"/>
  <c r="N226" i="1" a="1"/>
  <c r="N226" i="1" s="1"/>
  <c r="N218" i="1" a="1"/>
  <c r="N218" i="1" s="1"/>
  <c r="N210" i="1" a="1"/>
  <c r="N210" i="1" s="1"/>
  <c r="N200" i="1" a="1"/>
  <c r="N200" i="1" s="1"/>
  <c r="N305" i="1" a="1"/>
  <c r="N305" i="1" s="1"/>
  <c r="N279" i="1" a="1"/>
  <c r="N279" i="1" s="1"/>
  <c r="N269" i="1" a="1"/>
  <c r="N269" i="1" s="1"/>
  <c r="N258" i="1" a="1"/>
  <c r="N258" i="1" s="1"/>
  <c r="N256" i="1" a="1"/>
  <c r="N256" i="1" s="1"/>
  <c r="N250" i="1" a="1"/>
  <c r="N250" i="1" s="1"/>
  <c r="N260" i="1" a="1"/>
  <c r="N260" i="1" s="1"/>
  <c r="N252" i="1" a="1"/>
  <c r="N252" i="1" s="1"/>
  <c r="N244" i="1" a="1"/>
  <c r="N244" i="1" s="1"/>
  <c r="N236" i="1" a="1"/>
  <c r="N236" i="1" s="1"/>
  <c r="N232" i="1" a="1"/>
  <c r="N232" i="1" s="1"/>
  <c r="N224" i="1" a="1"/>
  <c r="N224" i="1" s="1"/>
  <c r="N262" i="1" a="1"/>
  <c r="N262" i="1" s="1"/>
  <c r="N231" i="1" a="1"/>
  <c r="N231" i="1" s="1"/>
  <c r="N223" i="1" a="1"/>
  <c r="N223" i="1" s="1"/>
  <c r="N215" i="1" a="1"/>
  <c r="N215" i="1" s="1"/>
  <c r="N201" i="1" a="1"/>
  <c r="N201" i="1" s="1"/>
  <c r="N270" i="1" a="1"/>
  <c r="N270" i="1" s="1"/>
  <c r="N230" i="1" a="1"/>
  <c r="N230" i="1" s="1"/>
  <c r="N222" i="1" a="1"/>
  <c r="N222" i="1" s="1"/>
  <c r="N214" i="1" a="1"/>
  <c r="N214" i="1" s="1"/>
  <c r="N204" i="1" a="1"/>
  <c r="N204" i="1" s="1"/>
  <c r="N253" i="1" a="1"/>
  <c r="N253" i="1" s="1"/>
  <c r="N271" i="1" a="1"/>
  <c r="N271" i="1" s="1"/>
  <c r="N261" i="1" a="1"/>
  <c r="N261" i="1" s="1"/>
  <c r="N254" i="1" a="1"/>
  <c r="N254" i="1" s="1"/>
  <c r="N246" i="1" a="1"/>
  <c r="N246" i="1" s="1"/>
  <c r="N238" i="1" a="1"/>
  <c r="N238" i="1" s="1"/>
  <c r="N228" i="1" a="1"/>
  <c r="N228" i="1" s="1"/>
  <c r="N217" i="1" a="1"/>
  <c r="N217" i="1" s="1"/>
  <c r="N207" i="1" a="1"/>
  <c r="N207" i="1" s="1"/>
  <c r="N192" i="1" a="1"/>
  <c r="N192" i="1" s="1"/>
  <c r="N184" i="1" a="1"/>
  <c r="N184" i="1" s="1"/>
  <c r="N176" i="1" a="1"/>
  <c r="N176" i="1" s="1"/>
  <c r="N168" i="1" a="1"/>
  <c r="N168" i="1" s="1"/>
  <c r="N160" i="1" a="1"/>
  <c r="N160" i="1" s="1"/>
  <c r="N152" i="1" a="1"/>
  <c r="N152" i="1" s="1"/>
  <c r="N211" i="1" a="1"/>
  <c r="N211" i="1" s="1"/>
  <c r="N205" i="1" a="1"/>
  <c r="N205" i="1" s="1"/>
  <c r="N203" i="1" a="1"/>
  <c r="N203" i="1" s="1"/>
  <c r="N195" i="1" a="1"/>
  <c r="N195" i="1" s="1"/>
  <c r="N187" i="1" a="1"/>
  <c r="N187" i="1" s="1"/>
  <c r="N179" i="1" a="1"/>
  <c r="N179" i="1" s="1"/>
  <c r="N171" i="1" a="1"/>
  <c r="N171" i="1" s="1"/>
  <c r="N242" i="1" a="1"/>
  <c r="N242" i="1" s="1"/>
  <c r="N216" i="1" a="1"/>
  <c r="N216" i="1" s="1"/>
  <c r="N198" i="1" a="1"/>
  <c r="N198" i="1" s="1"/>
  <c r="N190" i="1" a="1"/>
  <c r="N190" i="1" s="1"/>
  <c r="N182" i="1" a="1"/>
  <c r="N182" i="1" s="1"/>
  <c r="N174" i="1" a="1"/>
  <c r="N174" i="1" s="1"/>
  <c r="N166" i="1" a="1"/>
  <c r="N166" i="1" s="1"/>
  <c r="N158" i="1" a="1"/>
  <c r="N158" i="1" s="1"/>
  <c r="N234" i="1" a="1"/>
  <c r="N234" i="1" s="1"/>
  <c r="N193" i="1" a="1"/>
  <c r="N193" i="1" s="1"/>
  <c r="N185" i="1" a="1"/>
  <c r="N185" i="1" s="1"/>
  <c r="N177" i="1" a="1"/>
  <c r="N177" i="1" s="1"/>
  <c r="N169" i="1" a="1"/>
  <c r="N169" i="1" s="1"/>
  <c r="N161" i="1" a="1"/>
  <c r="N161" i="1" s="1"/>
  <c r="N153" i="1" a="1"/>
  <c r="N153" i="1" s="1"/>
  <c r="N145" i="1" a="1"/>
  <c r="N145" i="1" s="1"/>
  <c r="N245" i="1" a="1"/>
  <c r="N245" i="1" s="1"/>
  <c r="N213" i="1" a="1"/>
  <c r="N213" i="1" s="1"/>
  <c r="N209" i="1" a="1"/>
  <c r="N209" i="1" s="1"/>
  <c r="N196" i="1" a="1"/>
  <c r="N196" i="1" s="1"/>
  <c r="N188" i="1" a="1"/>
  <c r="N188" i="1" s="1"/>
  <c r="N180" i="1" a="1"/>
  <c r="N180" i="1" s="1"/>
  <c r="N172" i="1" a="1"/>
  <c r="N172" i="1" s="1"/>
  <c r="N164" i="1" a="1"/>
  <c r="N164" i="1" s="1"/>
  <c r="N237" i="1" a="1"/>
  <c r="N237" i="1" s="1"/>
  <c r="N202" i="1" a="1"/>
  <c r="N202" i="1" s="1"/>
  <c r="N199" i="1" a="1"/>
  <c r="N199" i="1" s="1"/>
  <c r="N191" i="1" a="1"/>
  <c r="N191" i="1" s="1"/>
  <c r="N183" i="1" a="1"/>
  <c r="N183" i="1" s="1"/>
  <c r="N248" i="1" a="1"/>
  <c r="N248" i="1" s="1"/>
  <c r="N233" i="1" a="1"/>
  <c r="N233" i="1" s="1"/>
  <c r="N229" i="1" a="1"/>
  <c r="N229" i="1" s="1"/>
  <c r="N225" i="1" a="1"/>
  <c r="N225" i="1" s="1"/>
  <c r="N221" i="1" a="1"/>
  <c r="N221" i="1" s="1"/>
  <c r="N220" i="1" a="1"/>
  <c r="N220" i="1" s="1"/>
  <c r="N212" i="1" a="1"/>
  <c r="N212" i="1" s="1"/>
  <c r="N208" i="1" a="1"/>
  <c r="N208" i="1" s="1"/>
  <c r="N206" i="1" a="1"/>
  <c r="N206" i="1" s="1"/>
  <c r="N240" i="1" a="1"/>
  <c r="N240" i="1" s="1"/>
  <c r="N178" i="1" a="1"/>
  <c r="N178" i="1" s="1"/>
  <c r="N149" i="1" a="1"/>
  <c r="N149" i="1" s="1"/>
  <c r="N140" i="1" a="1"/>
  <c r="N140" i="1" s="1"/>
  <c r="N132" i="1" a="1"/>
  <c r="N132" i="1" s="1"/>
  <c r="N124" i="1" a="1"/>
  <c r="N124" i="1" s="1"/>
  <c r="N116" i="1" a="1"/>
  <c r="N116" i="1" s="1"/>
  <c r="N186" i="1" a="1"/>
  <c r="N186" i="1" s="1"/>
  <c r="N173" i="1" a="1"/>
  <c r="N173" i="1" s="1"/>
  <c r="N157" i="1" a="1"/>
  <c r="N157" i="1" s="1"/>
  <c r="N148" i="1" a="1"/>
  <c r="N148" i="1" s="1"/>
  <c r="N143" i="1" a="1"/>
  <c r="N143" i="1" s="1"/>
  <c r="N135" i="1" a="1"/>
  <c r="N135" i="1" s="1"/>
  <c r="N189" i="1" a="1"/>
  <c r="N189" i="1" s="1"/>
  <c r="N175" i="1" a="1"/>
  <c r="N175" i="1" s="1"/>
  <c r="N138" i="1" a="1"/>
  <c r="N138" i="1" s="1"/>
  <c r="N130" i="1" a="1"/>
  <c r="N130" i="1" s="1"/>
  <c r="N165" i="1" a="1"/>
  <c r="N165" i="1" s="1"/>
  <c r="N141" i="1" a="1"/>
  <c r="N141" i="1" s="1"/>
  <c r="N133" i="1" a="1"/>
  <c r="N133" i="1" s="1"/>
  <c r="N125" i="1" a="1"/>
  <c r="N125" i="1" s="1"/>
  <c r="N117" i="1" a="1"/>
  <c r="N117" i="1" s="1"/>
  <c r="N170" i="1" a="1"/>
  <c r="N170" i="1" s="1"/>
  <c r="N154" i="1" a="1"/>
  <c r="N154" i="1" s="1"/>
  <c r="N151" i="1" a="1"/>
  <c r="N151" i="1" s="1"/>
  <c r="N147" i="1" a="1"/>
  <c r="N147" i="1" s="1"/>
  <c r="N144" i="1" a="1"/>
  <c r="N144" i="1" s="1"/>
  <c r="N136" i="1" a="1"/>
  <c r="N136" i="1" s="1"/>
  <c r="N163" i="1" a="1"/>
  <c r="N163" i="1" s="1"/>
  <c r="N162" i="1" a="1"/>
  <c r="N162" i="1" s="1"/>
  <c r="N159" i="1" a="1"/>
  <c r="N159" i="1" s="1"/>
  <c r="N155" i="1" a="1"/>
  <c r="N155" i="1" s="1"/>
  <c r="N146" i="1" a="1"/>
  <c r="N146" i="1" s="1"/>
  <c r="N139" i="1" a="1"/>
  <c r="N139" i="1" s="1"/>
  <c r="N131" i="1" a="1"/>
  <c r="N131" i="1" s="1"/>
  <c r="N194" i="1" a="1"/>
  <c r="N194" i="1" s="1"/>
  <c r="N156" i="1" a="1"/>
  <c r="N156" i="1" s="1"/>
  <c r="N142" i="1" a="1"/>
  <c r="N142" i="1" s="1"/>
  <c r="N197" i="1" a="1"/>
  <c r="N197" i="1" s="1"/>
  <c r="N181" i="1" a="1"/>
  <c r="N181" i="1" s="1"/>
  <c r="N167" i="1" a="1"/>
  <c r="N167" i="1" s="1"/>
  <c r="N150" i="1" a="1"/>
  <c r="N150" i="1" s="1"/>
  <c r="N137" i="1" a="1"/>
  <c r="N137" i="1" s="1"/>
  <c r="N129" i="1" a="1"/>
  <c r="N129" i="1" s="1"/>
  <c r="N120" i="1" a="1"/>
  <c r="N120" i="1" s="1"/>
  <c r="N109" i="1" a="1"/>
  <c r="N109" i="1" s="1"/>
  <c r="N101" i="1" a="1"/>
  <c r="N101" i="1" s="1"/>
  <c r="N93" i="1" a="1"/>
  <c r="N93" i="1" s="1"/>
  <c r="N85" i="1" a="1"/>
  <c r="N85" i="1" s="1"/>
  <c r="N77" i="1" a="1"/>
  <c r="N77" i="1" s="1"/>
  <c r="N69" i="1" a="1"/>
  <c r="N69" i="1" s="1"/>
  <c r="N128" i="1" a="1"/>
  <c r="N128" i="1" s="1"/>
  <c r="N112" i="1" a="1"/>
  <c r="N112" i="1" s="1"/>
  <c r="N104" i="1" a="1"/>
  <c r="N104" i="1" s="1"/>
  <c r="N96" i="1" a="1"/>
  <c r="N96" i="1" s="1"/>
  <c r="N88" i="1" a="1"/>
  <c r="N88" i="1" s="1"/>
  <c r="N80" i="1" a="1"/>
  <c r="N80" i="1" s="1"/>
  <c r="N107" i="1" a="1"/>
  <c r="N107" i="1" s="1"/>
  <c r="N99" i="1" a="1"/>
  <c r="N99" i="1" s="1"/>
  <c r="N91" i="1" a="1"/>
  <c r="N91" i="1" s="1"/>
  <c r="N83" i="1" a="1"/>
  <c r="N83" i="1" s="1"/>
  <c r="N75" i="1" a="1"/>
  <c r="N75" i="1" s="1"/>
  <c r="N67" i="1" a="1"/>
  <c r="N67" i="1" s="1"/>
  <c r="N59" i="1" a="1"/>
  <c r="N59" i="1" s="1"/>
  <c r="N121" i="1" a="1"/>
  <c r="N121" i="1" s="1"/>
  <c r="N111" i="1" a="1"/>
  <c r="N111" i="1" s="1"/>
  <c r="N102" i="1" a="1"/>
  <c r="N102" i="1" s="1"/>
  <c r="N94" i="1" a="1"/>
  <c r="N94" i="1" s="1"/>
  <c r="N86" i="1" a="1"/>
  <c r="N86" i="1" s="1"/>
  <c r="N78" i="1" a="1"/>
  <c r="N78" i="1" s="1"/>
  <c r="N70" i="1" a="1"/>
  <c r="N70" i="1" s="1"/>
  <c r="N123" i="1" a="1"/>
  <c r="N123" i="1" s="1"/>
  <c r="N122" i="1" a="1"/>
  <c r="N122" i="1" s="1"/>
  <c r="N115" i="1" a="1"/>
  <c r="N115" i="1" s="1"/>
  <c r="N105" i="1" a="1"/>
  <c r="N105" i="1" s="1"/>
  <c r="N97" i="1" a="1"/>
  <c r="N97" i="1" s="1"/>
  <c r="N89" i="1" a="1"/>
  <c r="N89" i="1" s="1"/>
  <c r="N81" i="1" a="1"/>
  <c r="N81" i="1" s="1"/>
  <c r="N73" i="1" a="1"/>
  <c r="N73" i="1" s="1"/>
  <c r="N114" i="1" a="1"/>
  <c r="N114" i="1" s="1"/>
  <c r="N110" i="1" a="1"/>
  <c r="N110" i="1" s="1"/>
  <c r="N108" i="1" a="1"/>
  <c r="N108" i="1" s="1"/>
  <c r="N100" i="1" a="1"/>
  <c r="N100" i="1" s="1"/>
  <c r="N92" i="1" a="1"/>
  <c r="N92" i="1" s="1"/>
  <c r="N84" i="1" a="1"/>
  <c r="N84" i="1" s="1"/>
  <c r="N76" i="1" a="1"/>
  <c r="N76" i="1" s="1"/>
  <c r="N134" i="1" a="1"/>
  <c r="N134" i="1" s="1"/>
  <c r="N126" i="1" a="1"/>
  <c r="N126" i="1" s="1"/>
  <c r="N118" i="1" a="1"/>
  <c r="N118" i="1" s="1"/>
  <c r="N103" i="1" a="1"/>
  <c r="N103" i="1" s="1"/>
  <c r="N95" i="1" a="1"/>
  <c r="N95" i="1" s="1"/>
  <c r="N87" i="1" a="1"/>
  <c r="N87" i="1" s="1"/>
  <c r="N79" i="1" a="1"/>
  <c r="N79" i="1" s="1"/>
  <c r="N127" i="1" a="1"/>
  <c r="N127" i="1" s="1"/>
  <c r="N119" i="1" a="1"/>
  <c r="N119" i="1" s="1"/>
  <c r="N113" i="1" a="1"/>
  <c r="N113" i="1" s="1"/>
  <c r="N106" i="1" a="1"/>
  <c r="N106" i="1" s="1"/>
  <c r="N98" i="1" a="1"/>
  <c r="N98" i="1" s="1"/>
  <c r="N90" i="1" a="1"/>
  <c r="N90" i="1" s="1"/>
  <c r="E5" i="1"/>
  <c r="E4" i="1" s="1"/>
  <c r="A7" i="1"/>
  <c r="O293" i="1" s="1"/>
  <c r="I7" i="1"/>
  <c r="Q7" i="1"/>
  <c r="Q10" i="1" s="1"/>
  <c r="G9" i="1"/>
  <c r="G8" i="1" s="1"/>
  <c r="O9" i="1"/>
  <c r="O8" i="1" s="1"/>
  <c r="B2" i="1"/>
  <c r="F5" i="1"/>
  <c r="N5" i="1"/>
  <c r="J7" i="1"/>
  <c r="J10" i="1" s="1"/>
  <c r="R7" i="1"/>
  <c r="R10" i="1" s="1"/>
  <c r="H9" i="1"/>
  <c r="H8" i="1" s="1"/>
  <c r="P9" i="1"/>
  <c r="P8" i="1" s="1"/>
  <c r="C13" i="1"/>
  <c r="C12" i="1" s="1"/>
  <c r="K13" i="1"/>
  <c r="K12" i="1" s="1"/>
  <c r="H15" i="1"/>
  <c r="P15" i="1"/>
  <c r="F17" i="1"/>
  <c r="F16" i="1" s="1"/>
  <c r="N17" i="1"/>
  <c r="N16" i="1" s="1"/>
  <c r="D19" i="1"/>
  <c r="J20" i="1"/>
  <c r="J3" i="1" s="1"/>
  <c r="J6" i="1" s="1"/>
  <c r="R23" i="1" a="1"/>
  <c r="R23" i="1" s="1"/>
  <c r="V23" i="1" a="1"/>
  <c r="V23" i="1" s="1"/>
  <c r="R24" i="1" a="1"/>
  <c r="R24" i="1" s="1"/>
  <c r="V24" i="1" a="1"/>
  <c r="V24" i="1" s="1"/>
  <c r="R25" i="1" a="1"/>
  <c r="R25" i="1" s="1"/>
  <c r="V25" i="1" a="1"/>
  <c r="V25" i="1" s="1"/>
  <c r="R26" i="1" a="1"/>
  <c r="R26" i="1" s="1"/>
  <c r="V26" i="1" a="1"/>
  <c r="V26" i="1" s="1"/>
  <c r="R27" i="1" a="1"/>
  <c r="R27" i="1" s="1"/>
  <c r="V27" i="1" a="1"/>
  <c r="V27" i="1" s="1"/>
  <c r="R28" i="1" a="1"/>
  <c r="R28" i="1" s="1"/>
  <c r="V28" i="1" a="1"/>
  <c r="V28" i="1" s="1"/>
  <c r="R29" i="1" a="1"/>
  <c r="R29" i="1" s="1"/>
  <c r="V29" i="1" a="1"/>
  <c r="V29" i="1" s="1"/>
  <c r="R30" i="1" a="1"/>
  <c r="R30" i="1" s="1"/>
  <c r="V30" i="1" a="1"/>
  <c r="V30" i="1" s="1"/>
  <c r="R31" i="1" a="1"/>
  <c r="R31" i="1" s="1"/>
  <c r="V31" i="1" a="1"/>
  <c r="V31" i="1" s="1"/>
  <c r="R32" i="1" a="1"/>
  <c r="R32" i="1" s="1"/>
  <c r="V32" i="1" a="1"/>
  <c r="V32" i="1" s="1"/>
  <c r="R33" i="1" a="1"/>
  <c r="R33" i="1" s="1"/>
  <c r="V33" i="1" a="1"/>
  <c r="V33" i="1" s="1"/>
  <c r="R34" i="1" a="1"/>
  <c r="R34" i="1" s="1"/>
  <c r="V34" i="1" a="1"/>
  <c r="V34" i="1" s="1"/>
  <c r="R35" i="1" a="1"/>
  <c r="R35" i="1" s="1"/>
  <c r="V35" i="1" a="1"/>
  <c r="V35" i="1" s="1"/>
  <c r="R36" i="1" a="1"/>
  <c r="R36" i="1" s="1"/>
  <c r="V36" i="1" a="1"/>
  <c r="V36" i="1" s="1"/>
  <c r="R37" i="1" a="1"/>
  <c r="R37" i="1" s="1"/>
  <c r="V37" i="1" a="1"/>
  <c r="V37" i="1" s="1"/>
  <c r="R38" i="1" a="1"/>
  <c r="R38" i="1" s="1"/>
  <c r="V38" i="1" a="1"/>
  <c r="V38" i="1" s="1"/>
  <c r="R39" i="1" a="1"/>
  <c r="R39" i="1" s="1"/>
  <c r="V39" i="1" a="1"/>
  <c r="V39" i="1" s="1"/>
  <c r="R40" i="1" a="1"/>
  <c r="R40" i="1" s="1"/>
  <c r="V40" i="1" a="1"/>
  <c r="V40" i="1" s="1"/>
  <c r="R41" i="1" a="1"/>
  <c r="R41" i="1" s="1"/>
  <c r="V41" i="1" a="1"/>
  <c r="V41" i="1" s="1"/>
  <c r="R42" i="1" a="1"/>
  <c r="R42" i="1" s="1"/>
  <c r="V42" i="1" a="1"/>
  <c r="V42" i="1" s="1"/>
  <c r="R43" i="1" a="1"/>
  <c r="R43" i="1" s="1"/>
  <c r="V43" i="1" a="1"/>
  <c r="V43" i="1" s="1"/>
  <c r="R44" i="1" a="1"/>
  <c r="R44" i="1" s="1"/>
  <c r="V44" i="1" a="1"/>
  <c r="V44" i="1" s="1"/>
  <c r="R45" i="1" a="1"/>
  <c r="R45" i="1" s="1"/>
  <c r="V45" i="1" a="1"/>
  <c r="V45" i="1" s="1"/>
  <c r="R46" i="1" a="1"/>
  <c r="R46" i="1" s="1"/>
  <c r="V46" i="1" a="1"/>
  <c r="V46" i="1" s="1"/>
  <c r="R47" i="1" a="1"/>
  <c r="R47" i="1" s="1"/>
  <c r="V47" i="1" a="1"/>
  <c r="V47" i="1" s="1"/>
  <c r="R48" i="1" a="1"/>
  <c r="R48" i="1" s="1"/>
  <c r="V48" i="1" a="1"/>
  <c r="V48" i="1" s="1"/>
  <c r="R49" i="1" a="1"/>
  <c r="R49" i="1" s="1"/>
  <c r="V49" i="1" a="1"/>
  <c r="V49" i="1" s="1"/>
  <c r="R50" i="1" a="1"/>
  <c r="R50" i="1" s="1"/>
  <c r="V50" i="1" a="1"/>
  <c r="V50" i="1" s="1"/>
  <c r="R51" i="1" a="1"/>
  <c r="R51" i="1" s="1"/>
  <c r="V51" i="1" a="1"/>
  <c r="V51" i="1" s="1"/>
  <c r="R52" i="1" a="1"/>
  <c r="R52" i="1" s="1"/>
  <c r="V52" i="1" a="1"/>
  <c r="V52" i="1" s="1"/>
  <c r="R53" i="1" a="1"/>
  <c r="R53" i="1" s="1"/>
  <c r="V53" i="1" a="1"/>
  <c r="V53" i="1" s="1"/>
  <c r="R54" i="1" a="1"/>
  <c r="R54" i="1" s="1"/>
  <c r="V54" i="1" a="1"/>
  <c r="V54" i="1" s="1"/>
  <c r="R55" i="1" a="1"/>
  <c r="R55" i="1" s="1"/>
  <c r="V55" i="1" a="1"/>
  <c r="V55" i="1" s="1"/>
  <c r="R56" i="1" a="1"/>
  <c r="R56" i="1" s="1"/>
  <c r="V56" i="1" a="1"/>
  <c r="V56" i="1" s="1"/>
  <c r="R57" i="1" a="1"/>
  <c r="R57" i="1" s="1"/>
  <c r="V57" i="1" a="1"/>
  <c r="V57" i="1" s="1"/>
  <c r="T60" i="1" a="1"/>
  <c r="T60" i="1" s="1"/>
  <c r="S61" i="1" a="1"/>
  <c r="S61" i="1" s="1"/>
  <c r="I13" i="1" s="1"/>
  <c r="K62" i="1" a="1"/>
  <c r="K62" i="1" s="1"/>
  <c r="L62" i="1" s="1" a="1"/>
  <c r="L62" i="1" s="1"/>
  <c r="I64" i="1" a="1"/>
  <c r="I64" i="1" s="1"/>
  <c r="U64" i="1" a="1"/>
  <c r="U64" i="1" s="1"/>
  <c r="M17" i="1" s="1"/>
  <c r="M16" i="1" s="1"/>
  <c r="S65" i="1" a="1"/>
  <c r="S65" i="1" s="1"/>
  <c r="P13" i="1" s="1"/>
  <c r="P12" i="1" s="1"/>
  <c r="K66" i="1" a="1"/>
  <c r="K66" i="1" s="1"/>
  <c r="L66" i="1" s="1" a="1"/>
  <c r="L66" i="1" s="1"/>
  <c r="T68" i="1" a="1"/>
  <c r="T68" i="1" s="1"/>
  <c r="V70" i="1" a="1"/>
  <c r="V70" i="1" s="1"/>
  <c r="S71" i="1" a="1"/>
  <c r="S71" i="1" s="1"/>
  <c r="U80" i="1" a="1"/>
  <c r="U80" i="1" s="1"/>
  <c r="I90" i="1" a="1"/>
  <c r="I90" i="1" s="1"/>
  <c r="E6" i="11"/>
  <c r="E6" i="10"/>
  <c r="E6" i="9"/>
  <c r="E6" i="8"/>
  <c r="C14" i="2"/>
  <c r="E14" i="2"/>
  <c r="B14" i="2"/>
  <c r="C8" i="4" a="1"/>
  <c r="C8" i="4" s="1"/>
  <c r="J8" i="4" a="1"/>
  <c r="J8" i="4" s="1"/>
  <c r="P6" i="4" a="1"/>
  <c r="P6" i="4" s="1"/>
  <c r="C6" i="11"/>
  <c r="C6" i="9"/>
  <c r="C6" i="10"/>
  <c r="C6" i="8"/>
  <c r="P13" i="4" a="1"/>
  <c r="P13" i="4" s="1"/>
  <c r="O13" i="4" a="1"/>
  <c r="O13" i="4" s="1"/>
  <c r="K13" i="4" a="1"/>
  <c r="K13" i="4" s="1"/>
  <c r="N12" i="4" a="1"/>
  <c r="N12" i="4" s="1"/>
  <c r="J12" i="4" a="1"/>
  <c r="J12" i="4" s="1"/>
  <c r="J17" i="4" s="1"/>
  <c r="F12" i="4" a="1"/>
  <c r="F12" i="4" s="1"/>
  <c r="N13" i="4" a="1"/>
  <c r="N13" i="4" s="1"/>
  <c r="J13" i="4" a="1"/>
  <c r="J13" i="4" s="1"/>
  <c r="M13" i="4" a="1"/>
  <c r="M13" i="4" s="1"/>
  <c r="I13" i="4" a="1"/>
  <c r="I13" i="4" s="1"/>
  <c r="P12" i="4" a="1"/>
  <c r="P12" i="4" s="1"/>
  <c r="P17" i="4" s="1"/>
  <c r="L12" i="4" a="1"/>
  <c r="L12" i="4" s="1"/>
  <c r="L13" i="4" a="1"/>
  <c r="L13" i="4" s="1"/>
  <c r="H13" i="4" a="1"/>
  <c r="H13" i="4" s="1"/>
  <c r="D13" i="4" a="1"/>
  <c r="D13" i="4" s="1"/>
  <c r="O12" i="4" a="1"/>
  <c r="O12" i="4" s="1"/>
  <c r="B13" i="4" a="1"/>
  <c r="B13" i="4" s="1"/>
  <c r="G12" i="4" a="1"/>
  <c r="G12" i="4" s="1"/>
  <c r="K12" i="4" a="1"/>
  <c r="K12" i="4" s="1"/>
  <c r="M11" i="4" a="1"/>
  <c r="M11" i="4" s="1"/>
  <c r="I11" i="4" a="1"/>
  <c r="I11" i="4" s="1"/>
  <c r="I16" i="4" s="1"/>
  <c r="E11" i="4" a="1"/>
  <c r="E11" i="4" s="1"/>
  <c r="P8" i="4" a="1"/>
  <c r="P8" i="4" s="1"/>
  <c r="P18" i="4" s="1"/>
  <c r="L8" i="4" a="1"/>
  <c r="L8" i="4" s="1"/>
  <c r="H8" i="4" a="1"/>
  <c r="H8" i="4" s="1"/>
  <c r="H18" i="4" s="1"/>
  <c r="D8" i="4" a="1"/>
  <c r="D8" i="4" s="1"/>
  <c r="D18" i="4" s="1"/>
  <c r="O6" i="4" a="1"/>
  <c r="O6" i="4" s="1"/>
  <c r="K6" i="4" a="1"/>
  <c r="K6" i="4" s="1"/>
  <c r="G6" i="4" a="1"/>
  <c r="G6" i="4" s="1"/>
  <c r="C6" i="4" a="1"/>
  <c r="C6" i="4" s="1"/>
  <c r="G13" i="4" a="1"/>
  <c r="G13" i="4" s="1"/>
  <c r="F13" i="4" a="1"/>
  <c r="F13" i="4" s="1"/>
  <c r="D12" i="4" a="1"/>
  <c r="D12" i="4" s="1"/>
  <c r="O10" i="4" a="1"/>
  <c r="O10" i="4" s="1"/>
  <c r="E13" i="4" a="1"/>
  <c r="E13" i="4" s="1"/>
  <c r="C13" i="4" a="1"/>
  <c r="C13" i="4" s="1"/>
  <c r="C12" i="4" a="1"/>
  <c r="C12" i="4" s="1"/>
  <c r="I12" i="4" a="1"/>
  <c r="I12" i="4" s="1"/>
  <c r="H12" i="4" a="1"/>
  <c r="H12" i="4" s="1"/>
  <c r="O11" i="4" a="1"/>
  <c r="O11" i="4" s="1"/>
  <c r="J11" i="4" a="1"/>
  <c r="J11" i="4" s="1"/>
  <c r="J10" i="4" a="1"/>
  <c r="J10" i="4" s="1"/>
  <c r="G8" i="4" a="1"/>
  <c r="G8" i="4" s="1"/>
  <c r="G18" i="4" s="1"/>
  <c r="I7" i="4" a="1"/>
  <c r="I7" i="4" s="1"/>
  <c r="F6" i="4" a="1"/>
  <c r="F6" i="4" s="1"/>
  <c r="H5" i="4" a="1"/>
  <c r="H5" i="4" s="1"/>
  <c r="E12" i="4" a="1"/>
  <c r="E12" i="4" s="1"/>
  <c r="E17" i="4" s="1"/>
  <c r="N11" i="4" a="1"/>
  <c r="N11" i="4" s="1"/>
  <c r="C11" i="4" a="1"/>
  <c r="C11" i="4" s="1"/>
  <c r="I10" i="4" a="1"/>
  <c r="I10" i="4" s="1"/>
  <c r="D10" i="4" a="1"/>
  <c r="D10" i="4" s="1"/>
  <c r="O8" i="4" a="1"/>
  <c r="O8" i="4" s="1"/>
  <c r="O18" i="4" s="1"/>
  <c r="F8" i="4" a="1"/>
  <c r="F8" i="4" s="1"/>
  <c r="F18" i="4" s="1"/>
  <c r="H7" i="4" a="1"/>
  <c r="H7" i="4" s="1"/>
  <c r="C7" i="4" a="1"/>
  <c r="C7" i="4" s="1"/>
  <c r="C17" i="4" s="1"/>
  <c r="N6" i="4" a="1"/>
  <c r="N6" i="4" s="1"/>
  <c r="N16" i="4" s="1"/>
  <c r="E6" i="4" a="1"/>
  <c r="E6" i="4" s="1"/>
  <c r="E16" i="4" s="1"/>
  <c r="P5" i="4" a="1"/>
  <c r="P5" i="4" s="1"/>
  <c r="G5" i="4" a="1"/>
  <c r="G5" i="4" s="1"/>
  <c r="G15" i="4" s="1"/>
  <c r="B5" i="4" a="1"/>
  <c r="B5" i="4" s="1"/>
  <c r="H11" i="4" a="1"/>
  <c r="H11" i="4" s="1"/>
  <c r="M10" i="4" a="1"/>
  <c r="M10" i="4" s="1"/>
  <c r="H10" i="4" a="1"/>
  <c r="H10" i="4" s="1"/>
  <c r="M12" i="4" a="1"/>
  <c r="M12" i="4" s="1"/>
  <c r="B12" i="4" a="1"/>
  <c r="B12" i="4" s="1"/>
  <c r="Q12" i="4" s="1"/>
  <c r="E10" i="4" a="1"/>
  <c r="E10" i="4" s="1"/>
  <c r="N8" i="4" a="1"/>
  <c r="N8" i="4" s="1"/>
  <c r="N18" i="4" s="1"/>
  <c r="B8" i="4" a="1"/>
  <c r="B8" i="4" s="1"/>
  <c r="K7" i="4" a="1"/>
  <c r="K7" i="4" s="1"/>
  <c r="K17" i="4" s="1"/>
  <c r="L5" i="4" a="1"/>
  <c r="L5" i="4" s="1"/>
  <c r="L11" i="4" a="1"/>
  <c r="L11" i="4" s="1"/>
  <c r="L16" i="4" s="1"/>
  <c r="D11" i="4" a="1"/>
  <c r="D11" i="4" s="1"/>
  <c r="D16" i="4" s="1"/>
  <c r="K10" i="4" a="1"/>
  <c r="K10" i="4" s="1"/>
  <c r="K15" i="4" s="1"/>
  <c r="K11" i="4" a="1"/>
  <c r="K11" i="4" s="1"/>
  <c r="B11" i="4" a="1"/>
  <c r="B11" i="4" s="1"/>
  <c r="O7" i="4" a="1"/>
  <c r="O7" i="4" s="1"/>
  <c r="O17" i="4" s="1"/>
  <c r="D5" i="4" a="1"/>
  <c r="D5" i="4" s="1"/>
  <c r="P10" i="4" a="1"/>
  <c r="P10" i="4" s="1"/>
  <c r="B10" i="4" a="1"/>
  <c r="B10" i="4" s="1"/>
  <c r="K8" i="4" a="1"/>
  <c r="K8" i="4" s="1"/>
  <c r="K18" i="4" s="1"/>
  <c r="G11" i="4" a="1"/>
  <c r="G11" i="4" s="1"/>
  <c r="G10" i="4" a="1"/>
  <c r="G10" i="4" s="1"/>
  <c r="P11" i="4" a="1"/>
  <c r="P11" i="4" s="1"/>
  <c r="N10" i="4" a="1"/>
  <c r="N10" i="4" s="1"/>
  <c r="N15" i="4" s="1"/>
  <c r="F11" i="4" a="1"/>
  <c r="F11" i="4" s="1"/>
  <c r="H6" i="4" a="1"/>
  <c r="H6" i="4" s="1"/>
  <c r="H16" i="4" s="1"/>
  <c r="O5" i="4" a="1"/>
  <c r="O5" i="4" s="1"/>
  <c r="O15" i="4" s="1"/>
  <c r="C10" i="4" a="1"/>
  <c r="C10" i="4" s="1"/>
  <c r="C15" i="4" s="1"/>
  <c r="I8" i="4" a="1"/>
  <c r="I8" i="4" s="1"/>
  <c r="I18" i="4" s="1"/>
  <c r="E5" i="4" a="1"/>
  <c r="E5" i="4" s="1"/>
  <c r="E15" i="4" s="1"/>
  <c r="N7" i="4" a="1"/>
  <c r="N7" i="4" s="1"/>
  <c r="N17" i="4" s="1"/>
  <c r="F7" i="4" a="1"/>
  <c r="F7" i="4" s="1"/>
  <c r="F17" i="4" s="1"/>
  <c r="M6" i="4" a="1"/>
  <c r="M6" i="4" s="1"/>
  <c r="M16" i="4" s="1"/>
  <c r="M5" i="4" a="1"/>
  <c r="M5" i="4" s="1"/>
  <c r="M15" i="4" s="1"/>
  <c r="L10" i="4" a="1"/>
  <c r="L10" i="4" s="1"/>
  <c r="E8" i="4" a="1"/>
  <c r="E8" i="4" s="1"/>
  <c r="E18" i="4" s="1"/>
  <c r="M7" i="4" a="1"/>
  <c r="M7" i="4" s="1"/>
  <c r="M17" i="4" s="1"/>
  <c r="L7" i="4" a="1"/>
  <c r="L7" i="4" s="1"/>
  <c r="L17" i="4" s="1"/>
  <c r="D7" i="4" a="1"/>
  <c r="D7" i="4" s="1"/>
  <c r="J5" i="4" a="1"/>
  <c r="J5" i="4" s="1"/>
  <c r="J15" i="4" s="1"/>
  <c r="M8" i="4" a="1"/>
  <c r="M8" i="4" s="1"/>
  <c r="M18" i="4" s="1"/>
  <c r="B7" i="4" a="1"/>
  <c r="B7" i="4" s="1"/>
  <c r="J6" i="4" a="1"/>
  <c r="J6" i="4" s="1"/>
  <c r="J16" i="4" s="1"/>
  <c r="B6" i="4" a="1"/>
  <c r="B6" i="4" s="1"/>
  <c r="I5" i="4" a="1"/>
  <c r="I5" i="4" s="1"/>
  <c r="I15" i="4" s="1"/>
  <c r="F10" i="4" a="1"/>
  <c r="F10" i="4" s="1"/>
  <c r="F15" i="4" s="1"/>
  <c r="G7" i="4" a="1"/>
  <c r="G7" i="4" s="1"/>
  <c r="G17" i="4" s="1"/>
  <c r="D6" i="11"/>
  <c r="D6" i="10"/>
  <c r="D6" i="9"/>
  <c r="D6" i="8"/>
  <c r="A61" i="2"/>
  <c r="A65" i="2"/>
  <c r="D32" i="8"/>
  <c r="E32" i="8"/>
  <c r="E100" i="8"/>
  <c r="D104" i="8"/>
  <c r="E104" i="8" s="1"/>
  <c r="E36" i="8"/>
  <c r="F36" i="8" s="1"/>
  <c r="E68" i="8"/>
  <c r="E63" i="8"/>
  <c r="D60" i="9"/>
  <c r="E60" i="9" s="1"/>
  <c r="D14" i="8"/>
  <c r="E14" i="8" s="1"/>
  <c r="D23" i="8"/>
  <c r="E23" i="8" s="1"/>
  <c r="E55" i="8"/>
  <c r="E108" i="8"/>
  <c r="E53" i="8"/>
  <c r="D68" i="8"/>
  <c r="E69" i="8"/>
  <c r="D70" i="8"/>
  <c r="D84" i="8"/>
  <c r="E84" i="8" s="1"/>
  <c r="D86" i="8"/>
  <c r="E86" i="8" s="1"/>
  <c r="D100" i="8"/>
  <c r="F100" i="8" s="1"/>
  <c r="D102" i="8"/>
  <c r="F4" i="9"/>
  <c r="D7" i="8"/>
  <c r="C12" i="8"/>
  <c r="E16" i="8"/>
  <c r="C17" i="8"/>
  <c r="C21" i="8"/>
  <c r="C26" i="8"/>
  <c r="D30" i="8"/>
  <c r="E30" i="8" s="1"/>
  <c r="D39" i="8"/>
  <c r="E39" i="8" s="1"/>
  <c r="C40" i="8"/>
  <c r="D53" i="8"/>
  <c r="E54" i="8"/>
  <c r="F54" i="8" s="1"/>
  <c r="D55" i="8"/>
  <c r="C56" i="8"/>
  <c r="D69" i="8"/>
  <c r="E70" i="8"/>
  <c r="C72" i="8"/>
  <c r="D85" i="8"/>
  <c r="E85" i="8" s="1"/>
  <c r="C88" i="8"/>
  <c r="D101" i="8"/>
  <c r="E101" i="8" s="1"/>
  <c r="E102" i="8"/>
  <c r="E9" i="10"/>
  <c r="F9" i="10" s="1"/>
  <c r="E7" i="8"/>
  <c r="D30" i="9"/>
  <c r="F30" i="9" s="1"/>
  <c r="D54" i="9"/>
  <c r="E54" i="9" s="1"/>
  <c r="E8" i="8"/>
  <c r="E13" i="8"/>
  <c r="C66" i="9"/>
  <c r="C65" i="9"/>
  <c r="C57" i="9"/>
  <c r="C49" i="9"/>
  <c r="C41" i="9"/>
  <c r="C33" i="9"/>
  <c r="C25" i="9"/>
  <c r="C17" i="9"/>
  <c r="C9" i="9"/>
  <c r="C67" i="9"/>
  <c r="C61" i="9"/>
  <c r="C52" i="9"/>
  <c r="C38" i="9"/>
  <c r="C29" i="9"/>
  <c r="C45" i="9"/>
  <c r="C23" i="9"/>
  <c r="C22" i="9"/>
  <c r="C8" i="9"/>
  <c r="C56" i="9"/>
  <c r="C44" i="9"/>
  <c r="C34" i="9"/>
  <c r="C21" i="9"/>
  <c r="C12" i="9"/>
  <c r="C64" i="9"/>
  <c r="C50" i="9"/>
  <c r="C40" i="9"/>
  <c r="C28" i="9"/>
  <c r="C27" i="9"/>
  <c r="C19" i="9"/>
  <c r="C15" i="9"/>
  <c r="C10" i="9"/>
  <c r="C63" i="9"/>
  <c r="C62" i="9"/>
  <c r="C26" i="9"/>
  <c r="C14" i="9"/>
  <c r="C58" i="9"/>
  <c r="C48" i="9"/>
  <c r="C47" i="9"/>
  <c r="C46" i="9"/>
  <c r="C36" i="9"/>
  <c r="C35" i="9"/>
  <c r="C24" i="9"/>
  <c r="C13" i="9"/>
  <c r="C7" i="9"/>
  <c r="C16" i="9"/>
  <c r="C18" i="9"/>
  <c r="E30" i="9"/>
  <c r="C32" i="9"/>
  <c r="C42" i="9"/>
  <c r="E61" i="8"/>
  <c r="E77" i="8"/>
  <c r="E93" i="8"/>
  <c r="D94" i="8"/>
  <c r="E94" i="8" s="1"/>
  <c r="D110" i="8"/>
  <c r="E7" i="10"/>
  <c r="D7" i="10"/>
  <c r="E37" i="8"/>
  <c r="D45" i="8"/>
  <c r="E45" i="8" s="1"/>
  <c r="E46" i="8"/>
  <c r="D47" i="8"/>
  <c r="E47" i="8" s="1"/>
  <c r="D48" i="8"/>
  <c r="D61" i="8"/>
  <c r="E62" i="8"/>
  <c r="D63" i="8"/>
  <c r="D64" i="8"/>
  <c r="E64" i="8" s="1"/>
  <c r="D77" i="8"/>
  <c r="E78" i="8"/>
  <c r="F78" i="8" s="1"/>
  <c r="D79" i="8"/>
  <c r="E79" i="8" s="1"/>
  <c r="D80" i="8"/>
  <c r="E80" i="8" s="1"/>
  <c r="D93" i="8"/>
  <c r="D95" i="8"/>
  <c r="E95" i="8" s="1"/>
  <c r="D96" i="8"/>
  <c r="E96" i="8" s="1"/>
  <c r="D109" i="8"/>
  <c r="E109" i="8" s="1"/>
  <c r="E110" i="8"/>
  <c r="D20" i="9"/>
  <c r="E20" i="9" s="1"/>
  <c r="C51" i="9"/>
  <c r="C53" i="9"/>
  <c r="C59" i="9"/>
  <c r="C107" i="8"/>
  <c r="C99" i="8"/>
  <c r="C91" i="8"/>
  <c r="C83" i="8"/>
  <c r="C75" i="8"/>
  <c r="C67" i="8"/>
  <c r="C59" i="8"/>
  <c r="C51" i="8"/>
  <c r="C43" i="8"/>
  <c r="C35" i="8"/>
  <c r="C27" i="8"/>
  <c r="C19" i="8"/>
  <c r="C11" i="8"/>
  <c r="E2" i="8" s="1"/>
  <c r="C105" i="8"/>
  <c r="C97" i="8"/>
  <c r="C89" i="8"/>
  <c r="C81" i="8"/>
  <c r="C73" i="8"/>
  <c r="C65" i="8"/>
  <c r="C57" i="8"/>
  <c r="C49" i="8"/>
  <c r="C41" i="8"/>
  <c r="C15" i="8"/>
  <c r="C24" i="8"/>
  <c r="D37" i="8"/>
  <c r="C38" i="8"/>
  <c r="E48" i="8"/>
  <c r="C50" i="8"/>
  <c r="C66" i="8"/>
  <c r="C82" i="8"/>
  <c r="C98" i="8"/>
  <c r="G6" i="9"/>
  <c r="C31" i="9"/>
  <c r="C37" i="9"/>
  <c r="C39" i="9"/>
  <c r="C55" i="9"/>
  <c r="E29" i="8"/>
  <c r="D11" i="9"/>
  <c r="E11" i="9" s="1"/>
  <c r="D43" i="9"/>
  <c r="E43" i="9" s="1"/>
  <c r="D108" i="10"/>
  <c r="E108" i="10" s="1"/>
  <c r="H6" i="10"/>
  <c r="E13" i="10"/>
  <c r="D4" i="10"/>
  <c r="D70" i="10"/>
  <c r="F4" i="10"/>
  <c r="E15" i="10"/>
  <c r="D23" i="10"/>
  <c r="D41" i="10"/>
  <c r="E41" i="10" s="1"/>
  <c r="E23" i="10"/>
  <c r="D36" i="10"/>
  <c r="E36" i="10" s="1"/>
  <c r="D32" i="10"/>
  <c r="E32" i="10" s="1"/>
  <c r="D45" i="10"/>
  <c r="E45" i="10" s="1"/>
  <c r="E14" i="10"/>
  <c r="E18" i="10"/>
  <c r="E46" i="10"/>
  <c r="D46" i="10"/>
  <c r="E30" i="10"/>
  <c r="D30" i="10"/>
  <c r="D24" i="10"/>
  <c r="E24" i="10" s="1"/>
  <c r="D48" i="10"/>
  <c r="E48" i="10" s="1"/>
  <c r="E72" i="10"/>
  <c r="D72" i="10"/>
  <c r="D39" i="10"/>
  <c r="E39" i="10" s="1"/>
  <c r="E79" i="10"/>
  <c r="D79" i="10"/>
  <c r="D60" i="10"/>
  <c r="E60" i="10" s="1"/>
  <c r="E70" i="10"/>
  <c r="D65" i="10"/>
  <c r="E65" i="10" s="1"/>
  <c r="D83" i="10"/>
  <c r="E83" i="10"/>
  <c r="D77" i="10"/>
  <c r="E77" i="10"/>
  <c r="D16" i="10"/>
  <c r="F16" i="10" s="1"/>
  <c r="E16" i="10"/>
  <c r="D61" i="10"/>
  <c r="E61" i="10" s="1"/>
  <c r="C10" i="10"/>
  <c r="C28" i="10"/>
  <c r="C33" i="10"/>
  <c r="C37" i="10"/>
  <c r="C42" i="10"/>
  <c r="C58" i="10"/>
  <c r="C69" i="10"/>
  <c r="C38" i="10"/>
  <c r="C47" i="10"/>
  <c r="C57" i="10"/>
  <c r="C68" i="10"/>
  <c r="C81" i="10"/>
  <c r="C86" i="10"/>
  <c r="C110" i="10"/>
  <c r="C102" i="10"/>
  <c r="C111" i="10"/>
  <c r="C113" i="10"/>
  <c r="C112" i="10"/>
  <c r="C100" i="10"/>
  <c r="C99" i="10"/>
  <c r="C92" i="10"/>
  <c r="C84" i="10"/>
  <c r="C76" i="10"/>
  <c r="C107" i="10"/>
  <c r="C106" i="10"/>
  <c r="C96" i="10"/>
  <c r="C88" i="10"/>
  <c r="C80" i="10"/>
  <c r="C95" i="10"/>
  <c r="C94" i="10"/>
  <c r="C93" i="10"/>
  <c r="C105" i="10"/>
  <c r="C98" i="10"/>
  <c r="C97" i="10"/>
  <c r="C67" i="10"/>
  <c r="C59" i="10"/>
  <c r="C51" i="10"/>
  <c r="C43" i="10"/>
  <c r="C35" i="10"/>
  <c r="C27" i="10"/>
  <c r="C19" i="10"/>
  <c r="C11" i="10"/>
  <c r="C91" i="10"/>
  <c r="C90" i="10"/>
  <c r="C89" i="10"/>
  <c r="C75" i="10"/>
  <c r="C74" i="10"/>
  <c r="C73" i="10"/>
  <c r="C64" i="10"/>
  <c r="C56" i="10"/>
  <c r="C101" i="10"/>
  <c r="C63" i="10"/>
  <c r="C55" i="10"/>
  <c r="C20" i="10"/>
  <c r="C25" i="10"/>
  <c r="C29" i="10"/>
  <c r="C34" i="10"/>
  <c r="C54" i="10"/>
  <c r="C66" i="10"/>
  <c r="C103" i="10"/>
  <c r="C12" i="10"/>
  <c r="C17" i="10"/>
  <c r="C21" i="10"/>
  <c r="C26" i="10"/>
  <c r="C44" i="10"/>
  <c r="C49" i="10"/>
  <c r="C53" i="10"/>
  <c r="C62" i="10"/>
  <c r="C109" i="10"/>
  <c r="C8" i="10"/>
  <c r="E2" i="10" s="1"/>
  <c r="C22" i="10"/>
  <c r="C31" i="10"/>
  <c r="C40" i="10"/>
  <c r="C50" i="10"/>
  <c r="C52" i="10"/>
  <c r="C71" i="10"/>
  <c r="C78" i="10"/>
  <c r="C85" i="10"/>
  <c r="C87" i="10"/>
  <c r="C82" i="10"/>
  <c r="C104" i="10"/>
  <c r="F4" i="11"/>
  <c r="D4" i="11"/>
  <c r="D39" i="11"/>
  <c r="E39" i="11" s="1"/>
  <c r="F3" i="11"/>
  <c r="C25" i="11"/>
  <c r="C21" i="11"/>
  <c r="C15" i="11"/>
  <c r="C9" i="11"/>
  <c r="C20" i="11"/>
  <c r="C17" i="11"/>
  <c r="D8" i="11"/>
  <c r="E8" i="11" s="1"/>
  <c r="C7" i="11"/>
  <c r="C40" i="11"/>
  <c r="H6" i="11"/>
  <c r="C27" i="11"/>
  <c r="C29" i="11"/>
  <c r="C36" i="11"/>
  <c r="C12" i="11"/>
  <c r="C13" i="11"/>
  <c r="C19" i="11"/>
  <c r="C23" i="11"/>
  <c r="C28" i="11"/>
  <c r="C42" i="11"/>
  <c r="C38" i="11"/>
  <c r="C34" i="11"/>
  <c r="C30" i="11"/>
  <c r="C26" i="11"/>
  <c r="C22" i="11"/>
  <c r="C18" i="11"/>
  <c r="C14" i="11"/>
  <c r="C10" i="11"/>
  <c r="C35" i="11"/>
  <c r="C24" i="11"/>
  <c r="C33" i="11"/>
  <c r="C32" i="11"/>
  <c r="C31" i="11"/>
  <c r="C16" i="11"/>
  <c r="C37" i="11"/>
  <c r="C11" i="11"/>
  <c r="C41" i="11"/>
  <c r="L38" i="11"/>
  <c r="Y117" i="13"/>
  <c r="Y120" i="13"/>
  <c r="L30" i="11"/>
  <c r="L26" i="11"/>
  <c r="Y110" i="13"/>
  <c r="I4" i="10" s="1"/>
  <c r="W2" i="11"/>
  <c r="B28" i="16"/>
  <c r="B14" i="16"/>
  <c r="Y115" i="13"/>
  <c r="L18" i="11"/>
  <c r="B13" i="16"/>
  <c r="B11" i="16"/>
  <c r="B9" i="16"/>
  <c r="B26" i="16" s="1"/>
  <c r="B10" i="16"/>
  <c r="B12" i="16"/>
  <c r="B23" i="16"/>
  <c r="B15" i="16"/>
  <c r="B19" i="16"/>
  <c r="B24" i="16"/>
  <c r="B22" i="16"/>
  <c r="B21" i="16"/>
  <c r="B16" i="16"/>
  <c r="B20" i="16"/>
  <c r="B17" i="16"/>
  <c r="B29" i="16"/>
  <c r="D12" i="1" l="1"/>
  <c r="D14" i="1"/>
  <c r="L12" i="1"/>
  <c r="L14" i="1"/>
  <c r="M12" i="1"/>
  <c r="M14" i="1"/>
  <c r="F12" i="1"/>
  <c r="F14" i="1"/>
  <c r="G2" i="8"/>
  <c r="F2" i="8"/>
  <c r="E12" i="1"/>
  <c r="E14" i="1"/>
  <c r="N12" i="1"/>
  <c r="N14" i="1"/>
  <c r="I12" i="1"/>
  <c r="I14" i="1"/>
  <c r="J16" i="1"/>
  <c r="J18" i="1"/>
  <c r="G2" i="10"/>
  <c r="F2" i="10"/>
  <c r="D37" i="11"/>
  <c r="E37" i="11" s="1"/>
  <c r="F37" i="11" s="1"/>
  <c r="D56" i="10"/>
  <c r="E56" i="10" s="1"/>
  <c r="F56" i="10" s="1"/>
  <c r="D83" i="8"/>
  <c r="E83" i="8" s="1"/>
  <c r="F83" i="8" s="1"/>
  <c r="D18" i="9"/>
  <c r="E18" i="9" s="1"/>
  <c r="F18" i="9" s="1"/>
  <c r="D47" i="9"/>
  <c r="E47" i="9" s="1"/>
  <c r="F47" i="9" s="1"/>
  <c r="E15" i="9"/>
  <c r="D15" i="9"/>
  <c r="D21" i="9"/>
  <c r="E21" i="9"/>
  <c r="D29" i="9"/>
  <c r="E29" i="9" s="1"/>
  <c r="F29" i="9" s="1"/>
  <c r="D33" i="9"/>
  <c r="E33" i="9" s="1"/>
  <c r="F33" i="9" s="1"/>
  <c r="Q13" i="4"/>
  <c r="J18" i="4"/>
  <c r="F4" i="1"/>
  <c r="F6" i="1"/>
  <c r="J37" i="8"/>
  <c r="I37" i="8"/>
  <c r="H37" i="8"/>
  <c r="G37" i="8"/>
  <c r="J56" i="8"/>
  <c r="I56" i="8"/>
  <c r="H56" i="8"/>
  <c r="G56" i="8"/>
  <c r="J88" i="8"/>
  <c r="I88" i="8"/>
  <c r="H88" i="8"/>
  <c r="G88" i="8"/>
  <c r="H58" i="8"/>
  <c r="J58" i="8"/>
  <c r="I58" i="8"/>
  <c r="G58" i="8"/>
  <c r="H27" i="8"/>
  <c r="G27" i="8"/>
  <c r="J27" i="8"/>
  <c r="I27" i="8"/>
  <c r="J16" i="9"/>
  <c r="I16" i="9"/>
  <c r="G16" i="9"/>
  <c r="H16" i="9"/>
  <c r="J56" i="9"/>
  <c r="I56" i="9"/>
  <c r="G56" i="9"/>
  <c r="H56" i="9"/>
  <c r="G48" i="8"/>
  <c r="J48" i="8"/>
  <c r="I48" i="8"/>
  <c r="H48" i="8"/>
  <c r="G80" i="8"/>
  <c r="J80" i="8"/>
  <c r="I80" i="8"/>
  <c r="H80" i="8"/>
  <c r="H50" i="8"/>
  <c r="J50" i="8"/>
  <c r="I50" i="8"/>
  <c r="G50" i="8"/>
  <c r="H44" i="8"/>
  <c r="J44" i="8"/>
  <c r="G44" i="8"/>
  <c r="I44" i="8"/>
  <c r="F64" i="8"/>
  <c r="H108" i="8"/>
  <c r="J108" i="8"/>
  <c r="G108" i="8"/>
  <c r="I108" i="8"/>
  <c r="G29" i="10"/>
  <c r="J29" i="10"/>
  <c r="I29" i="10"/>
  <c r="H29" i="10"/>
  <c r="I15" i="9"/>
  <c r="G15" i="9"/>
  <c r="H15" i="9"/>
  <c r="J15" i="9"/>
  <c r="H67" i="9"/>
  <c r="G67" i="9"/>
  <c r="J67" i="9"/>
  <c r="I67" i="9"/>
  <c r="G41" i="9"/>
  <c r="H41" i="9"/>
  <c r="I41" i="9"/>
  <c r="J41" i="9"/>
  <c r="F60" i="9"/>
  <c r="J30" i="8"/>
  <c r="I30" i="8"/>
  <c r="H30" i="8"/>
  <c r="G30" i="8"/>
  <c r="J94" i="8"/>
  <c r="G94" i="8"/>
  <c r="I94" i="8"/>
  <c r="H94" i="8"/>
  <c r="F11" i="9"/>
  <c r="I35" i="9"/>
  <c r="G35" i="9"/>
  <c r="H35" i="9"/>
  <c r="J35" i="9"/>
  <c r="J48" i="9"/>
  <c r="G48" i="9"/>
  <c r="I48" i="9"/>
  <c r="H48" i="9"/>
  <c r="F45" i="10"/>
  <c r="H81" i="10"/>
  <c r="J81" i="10"/>
  <c r="I81" i="10"/>
  <c r="G81" i="10"/>
  <c r="I16" i="10"/>
  <c r="G16" i="10"/>
  <c r="J16" i="10"/>
  <c r="H16" i="10"/>
  <c r="G39" i="10"/>
  <c r="J39" i="10"/>
  <c r="I39" i="10"/>
  <c r="H39" i="10"/>
  <c r="H73" i="10"/>
  <c r="J73" i="10"/>
  <c r="I73" i="10"/>
  <c r="G73" i="10"/>
  <c r="J12" i="9"/>
  <c r="H12" i="9"/>
  <c r="G12" i="9"/>
  <c r="I12" i="9"/>
  <c r="I41" i="10"/>
  <c r="J41" i="10"/>
  <c r="G41" i="10"/>
  <c r="H41" i="10"/>
  <c r="I82" i="10"/>
  <c r="J82" i="10"/>
  <c r="H82" i="10"/>
  <c r="G82" i="10"/>
  <c r="J13" i="11"/>
  <c r="I13" i="11"/>
  <c r="H13" i="11"/>
  <c r="G13" i="11"/>
  <c r="G72" i="10"/>
  <c r="H72" i="10"/>
  <c r="J72" i="10"/>
  <c r="I72" i="10"/>
  <c r="J67" i="10"/>
  <c r="G67" i="10"/>
  <c r="I67" i="10"/>
  <c r="H67" i="10"/>
  <c r="J22" i="10"/>
  <c r="H22" i="10"/>
  <c r="I22" i="10"/>
  <c r="G22" i="10"/>
  <c r="H104" i="10"/>
  <c r="J104" i="10"/>
  <c r="I104" i="10"/>
  <c r="G104" i="10"/>
  <c r="J83" i="10"/>
  <c r="I83" i="10"/>
  <c r="H83" i="10"/>
  <c r="G83" i="10"/>
  <c r="I35" i="11"/>
  <c r="J35" i="11"/>
  <c r="H35" i="11"/>
  <c r="G35" i="11"/>
  <c r="H107" i="10"/>
  <c r="J107" i="10"/>
  <c r="I107" i="10"/>
  <c r="G107" i="10"/>
  <c r="G32" i="11"/>
  <c r="I32" i="11"/>
  <c r="H32" i="11"/>
  <c r="J32" i="11"/>
  <c r="G30" i="11"/>
  <c r="H30" i="11"/>
  <c r="J30" i="11"/>
  <c r="I30" i="11"/>
  <c r="G25" i="11"/>
  <c r="H25" i="11"/>
  <c r="J25" i="11"/>
  <c r="I25" i="11"/>
  <c r="B19" i="1"/>
  <c r="D6" i="2" s="1"/>
  <c r="P10" i="1"/>
  <c r="D18" i="1"/>
  <c r="H69" i="1"/>
  <c r="P69" i="1"/>
  <c r="H61" i="1"/>
  <c r="P61" i="1"/>
  <c r="O55" i="1"/>
  <c r="O51" i="1"/>
  <c r="O47" i="1"/>
  <c r="O43" i="1"/>
  <c r="O39" i="1"/>
  <c r="O35" i="1"/>
  <c r="O31" i="1"/>
  <c r="O27" i="1"/>
  <c r="O23" i="1"/>
  <c r="K18" i="1"/>
  <c r="M10" i="1"/>
  <c r="M63" i="1"/>
  <c r="H55" i="1"/>
  <c r="P55" i="1"/>
  <c r="H47" i="1"/>
  <c r="P47" i="1"/>
  <c r="H39" i="1"/>
  <c r="P39" i="1"/>
  <c r="H31" i="1"/>
  <c r="P31" i="1"/>
  <c r="H23" i="1"/>
  <c r="P23" i="1"/>
  <c r="I18" i="1"/>
  <c r="B7" i="1"/>
  <c r="C10" i="1"/>
  <c r="P89" i="1"/>
  <c r="H89" i="1"/>
  <c r="H118" i="1"/>
  <c r="P118" i="1"/>
  <c r="P94" i="1"/>
  <c r="H94" i="1"/>
  <c r="P123" i="1"/>
  <c r="H123" i="1"/>
  <c r="H149" i="1"/>
  <c r="P149" i="1"/>
  <c r="P150" i="1"/>
  <c r="H150" i="1"/>
  <c r="H173" i="1"/>
  <c r="P173" i="1"/>
  <c r="P133" i="1"/>
  <c r="H133" i="1"/>
  <c r="P167" i="1"/>
  <c r="H167" i="1"/>
  <c r="P143" i="1"/>
  <c r="H143" i="1"/>
  <c r="H197" i="1"/>
  <c r="P197" i="1"/>
  <c r="H194" i="1"/>
  <c r="P194" i="1"/>
  <c r="P177" i="1"/>
  <c r="H177" i="1"/>
  <c r="H239" i="1"/>
  <c r="P239" i="1"/>
  <c r="P263" i="1"/>
  <c r="H263" i="1"/>
  <c r="P222" i="1"/>
  <c r="H222" i="1"/>
  <c r="H261" i="1"/>
  <c r="P261" i="1"/>
  <c r="P217" i="1"/>
  <c r="H217" i="1"/>
  <c r="P242" i="1"/>
  <c r="H242" i="1"/>
  <c r="P272" i="1"/>
  <c r="H272" i="1"/>
  <c r="O322" i="1"/>
  <c r="O308" i="1"/>
  <c r="O332" i="1"/>
  <c r="P273" i="1"/>
  <c r="H273" i="1"/>
  <c r="P292" i="1"/>
  <c r="H292" i="1"/>
  <c r="O316" i="1"/>
  <c r="H302" i="1"/>
  <c r="P302" i="1"/>
  <c r="H301" i="1"/>
  <c r="P301" i="1"/>
  <c r="P323" i="1"/>
  <c r="H323" i="1"/>
  <c r="O302" i="1"/>
  <c r="O331" i="1"/>
  <c r="O295" i="1"/>
  <c r="H313" i="1"/>
  <c r="P313" i="1"/>
  <c r="P329" i="1"/>
  <c r="H329" i="1"/>
  <c r="H296" i="1"/>
  <c r="P296" i="1"/>
  <c r="R8" i="1"/>
  <c r="M107" i="1"/>
  <c r="M88" i="1"/>
  <c r="M77" i="1"/>
  <c r="M109" i="1"/>
  <c r="M79" i="1"/>
  <c r="M115" i="1"/>
  <c r="M86" i="1"/>
  <c r="M130" i="1"/>
  <c r="M160" i="1"/>
  <c r="M132" i="1"/>
  <c r="M126" i="1"/>
  <c r="M200" i="1"/>
  <c r="M184" i="1"/>
  <c r="M162" i="1"/>
  <c r="M194" i="1"/>
  <c r="M167" i="1"/>
  <c r="M199" i="1"/>
  <c r="M239" i="1"/>
  <c r="M238" i="1"/>
  <c r="M262" i="1"/>
  <c r="M293" i="1"/>
  <c r="M280" i="1"/>
  <c r="M297" i="1"/>
  <c r="M296" i="1"/>
  <c r="M294" i="1"/>
  <c r="M303" i="1"/>
  <c r="M311" i="1"/>
  <c r="M319" i="1"/>
  <c r="M327" i="1"/>
  <c r="M335" i="1"/>
  <c r="R6" i="1"/>
  <c r="J14" i="1"/>
  <c r="D28" i="11"/>
  <c r="E28" i="11" s="1"/>
  <c r="F28" i="11" s="1"/>
  <c r="D97" i="10"/>
  <c r="E97" i="10" s="1"/>
  <c r="F97" i="10" s="1"/>
  <c r="I3" i="10"/>
  <c r="D19" i="10"/>
  <c r="E19" i="10"/>
  <c r="D113" i="10"/>
  <c r="E113" i="10" s="1"/>
  <c r="F113" i="10" s="1"/>
  <c r="D47" i="10"/>
  <c r="E47" i="10" s="1"/>
  <c r="F47" i="10" s="1"/>
  <c r="D10" i="10"/>
  <c r="E10" i="10" s="1"/>
  <c r="F10" i="10" s="1"/>
  <c r="D65" i="8"/>
  <c r="D27" i="8"/>
  <c r="E27" i="8" s="1"/>
  <c r="F27" i="8" s="1"/>
  <c r="E91" i="8"/>
  <c r="F91" i="8" s="1"/>
  <c r="D91" i="8"/>
  <c r="D16" i="9"/>
  <c r="E16" i="9" s="1"/>
  <c r="F16" i="9" s="1"/>
  <c r="D48" i="9"/>
  <c r="E48" i="9" s="1"/>
  <c r="F48" i="9" s="1"/>
  <c r="E19" i="9"/>
  <c r="D19" i="9"/>
  <c r="F19" i="9" s="1"/>
  <c r="D34" i="9"/>
  <c r="E34" i="9" s="1"/>
  <c r="F34" i="9" s="1"/>
  <c r="D38" i="9"/>
  <c r="E38" i="9"/>
  <c r="D41" i="9"/>
  <c r="E41" i="9" s="1"/>
  <c r="F41" i="9" s="1"/>
  <c r="E26" i="8"/>
  <c r="D26" i="8"/>
  <c r="I3" i="8"/>
  <c r="B16" i="4"/>
  <c r="Q6" i="4"/>
  <c r="L18" i="4"/>
  <c r="H90" i="1"/>
  <c r="P90" i="1"/>
  <c r="P64" i="1"/>
  <c r="H64" i="1"/>
  <c r="F8" i="8"/>
  <c r="M30" i="8"/>
  <c r="B57" i="8"/>
  <c r="B89" i="8"/>
  <c r="M26" i="8"/>
  <c r="M58" i="8"/>
  <c r="B9" i="8"/>
  <c r="M31" i="8"/>
  <c r="B59" i="8"/>
  <c r="M76" i="8"/>
  <c r="F101" i="8"/>
  <c r="F21" i="9"/>
  <c r="F30" i="8"/>
  <c r="B47" i="8"/>
  <c r="F71" i="8"/>
  <c r="B93" i="8"/>
  <c r="B49" i="8"/>
  <c r="B81" i="8"/>
  <c r="M21" i="9"/>
  <c r="F22" i="8"/>
  <c r="M50" i="8"/>
  <c r="B11" i="8"/>
  <c r="M38" i="8"/>
  <c r="F61" i="8"/>
  <c r="B83" i="8"/>
  <c r="M100" i="8"/>
  <c r="M20" i="8"/>
  <c r="F47" i="8"/>
  <c r="B69" i="8"/>
  <c r="B87" i="8"/>
  <c r="M46" i="8"/>
  <c r="B68" i="8"/>
  <c r="M110" i="8"/>
  <c r="M48" i="9"/>
  <c r="B19" i="9"/>
  <c r="B10" i="10"/>
  <c r="B29" i="9"/>
  <c r="M41" i="9"/>
  <c r="B65" i="9"/>
  <c r="B32" i="10"/>
  <c r="F10" i="8"/>
  <c r="M32" i="8"/>
  <c r="B54" i="8"/>
  <c r="F74" i="8"/>
  <c r="M96" i="8"/>
  <c r="M12" i="9"/>
  <c r="M34" i="9"/>
  <c r="B11" i="10"/>
  <c r="B13" i="9"/>
  <c r="M35" i="9"/>
  <c r="F54" i="9"/>
  <c r="B33" i="10"/>
  <c r="M51" i="10"/>
  <c r="M90" i="10"/>
  <c r="M83" i="10"/>
  <c r="B24" i="10"/>
  <c r="B47" i="10"/>
  <c r="B84" i="10"/>
  <c r="B55" i="10"/>
  <c r="F77" i="10"/>
  <c r="F19" i="10"/>
  <c r="M43" i="10"/>
  <c r="F15" i="10"/>
  <c r="B40" i="10"/>
  <c r="M74" i="10"/>
  <c r="M14" i="9"/>
  <c r="B36" i="9"/>
  <c r="B18" i="10"/>
  <c r="B45" i="10"/>
  <c r="M98" i="10"/>
  <c r="B20" i="11"/>
  <c r="F80" i="10"/>
  <c r="M112" i="10"/>
  <c r="B100" i="10"/>
  <c r="AB99" i="13"/>
  <c r="AB66" i="13"/>
  <c r="M69" i="10"/>
  <c r="B99" i="10"/>
  <c r="AB52" i="13"/>
  <c r="M24" i="10"/>
  <c r="B46" i="10"/>
  <c r="B93" i="10"/>
  <c r="B111" i="10"/>
  <c r="AB26" i="13"/>
  <c r="B109" i="10"/>
  <c r="B8" i="11"/>
  <c r="AB127" i="13"/>
  <c r="M85" i="10"/>
  <c r="F8" i="11"/>
  <c r="AB8" i="13"/>
  <c r="AB235" i="13"/>
  <c r="F83" i="10"/>
  <c r="F108" i="10"/>
  <c r="B40" i="12"/>
  <c r="AB59" i="13"/>
  <c r="B82" i="12"/>
  <c r="AB51" i="13"/>
  <c r="AB39" i="13"/>
  <c r="B33" i="11"/>
  <c r="B99" i="12"/>
  <c r="B7" i="11"/>
  <c r="AB3" i="13"/>
  <c r="B42" i="12"/>
  <c r="AB23" i="13"/>
  <c r="AB90" i="13"/>
  <c r="AB213" i="13"/>
  <c r="B71" i="12"/>
  <c r="AB32" i="13"/>
  <c r="AB123" i="13"/>
  <c r="AB197" i="13"/>
  <c r="AB122" i="13"/>
  <c r="AB112" i="13"/>
  <c r="AB302" i="13"/>
  <c r="AB92" i="13"/>
  <c r="AB148" i="13"/>
  <c r="AB221" i="13"/>
  <c r="AB86" i="13"/>
  <c r="AB151" i="13"/>
  <c r="AB301" i="13"/>
  <c r="AB225" i="13"/>
  <c r="AB289" i="13"/>
  <c r="B86" i="12"/>
  <c r="AB41" i="13"/>
  <c r="AB100" i="13"/>
  <c r="AB207" i="13"/>
  <c r="AB271" i="13"/>
  <c r="AB192" i="13"/>
  <c r="AB232" i="13"/>
  <c r="AB296" i="13"/>
  <c r="AB228" i="13"/>
  <c r="AB292" i="13"/>
  <c r="AB126" i="13"/>
  <c r="AB188" i="13"/>
  <c r="AB250" i="13"/>
  <c r="N18" i="1"/>
  <c r="H10" i="1"/>
  <c r="P73" i="1"/>
  <c r="H73" i="1"/>
  <c r="M75" i="1"/>
  <c r="C18" i="1"/>
  <c r="B15" i="1"/>
  <c r="B16" i="2" s="1"/>
  <c r="E10" i="1"/>
  <c r="A4" i="11" s="1"/>
  <c r="H60" i="1"/>
  <c r="P60" i="1"/>
  <c r="M73" i="1"/>
  <c r="H54" i="1"/>
  <c r="P54" i="1"/>
  <c r="H46" i="1"/>
  <c r="P46" i="1"/>
  <c r="H38" i="1"/>
  <c r="P38" i="1"/>
  <c r="H30" i="1"/>
  <c r="P30" i="1"/>
  <c r="K6" i="1"/>
  <c r="H134" i="1"/>
  <c r="P134" i="1"/>
  <c r="H103" i="1"/>
  <c r="P103" i="1"/>
  <c r="H5" i="1"/>
  <c r="H4" i="1" s="1"/>
  <c r="P84" i="1"/>
  <c r="H84" i="1"/>
  <c r="P67" i="1"/>
  <c r="H67" i="1"/>
  <c r="P99" i="1"/>
  <c r="H99" i="1"/>
  <c r="H93" i="1"/>
  <c r="P93" i="1"/>
  <c r="P157" i="1"/>
  <c r="H157" i="1"/>
  <c r="P144" i="1"/>
  <c r="H144" i="1"/>
  <c r="O61" i="1"/>
  <c r="O65" i="1"/>
  <c r="O69" i="1"/>
  <c r="O73" i="1"/>
  <c r="O77" i="1"/>
  <c r="O81" i="1"/>
  <c r="O85" i="1"/>
  <c r="O89" i="1"/>
  <c r="O93" i="1"/>
  <c r="O97" i="1"/>
  <c r="O101" i="1"/>
  <c r="O105" i="1"/>
  <c r="O109" i="1"/>
  <c r="O113" i="1"/>
  <c r="H178" i="1"/>
  <c r="P178" i="1"/>
  <c r="P159" i="1"/>
  <c r="H159" i="1"/>
  <c r="P116" i="1"/>
  <c r="H116" i="1"/>
  <c r="H216" i="1"/>
  <c r="P216" i="1"/>
  <c r="P207" i="1"/>
  <c r="H207" i="1"/>
  <c r="P180" i="1"/>
  <c r="H180" i="1"/>
  <c r="H166" i="1"/>
  <c r="P166" i="1"/>
  <c r="P198" i="1"/>
  <c r="H198" i="1"/>
  <c r="H219" i="1"/>
  <c r="P219" i="1"/>
  <c r="H176" i="1"/>
  <c r="P176" i="1"/>
  <c r="H215" i="1"/>
  <c r="P215" i="1"/>
  <c r="H276" i="1"/>
  <c r="P276" i="1"/>
  <c r="P246" i="1"/>
  <c r="H246" i="1"/>
  <c r="P230" i="1"/>
  <c r="H230" i="1"/>
  <c r="P225" i="1"/>
  <c r="H225" i="1"/>
  <c r="P260" i="1"/>
  <c r="H260" i="1"/>
  <c r="P248" i="1"/>
  <c r="H248" i="1"/>
  <c r="P317" i="1"/>
  <c r="H317" i="1"/>
  <c r="P303" i="1"/>
  <c r="H303" i="1"/>
  <c r="H324" i="1"/>
  <c r="P324" i="1"/>
  <c r="H287" i="1"/>
  <c r="P287" i="1"/>
  <c r="O334" i="1"/>
  <c r="O115" i="1"/>
  <c r="O119" i="1"/>
  <c r="O123" i="1"/>
  <c r="O127" i="1"/>
  <c r="O131" i="1"/>
  <c r="O135" i="1"/>
  <c r="O139" i="1"/>
  <c r="O143" i="1"/>
  <c r="O147" i="1"/>
  <c r="O151" i="1"/>
  <c r="O155" i="1"/>
  <c r="O159" i="1"/>
  <c r="O163" i="1"/>
  <c r="O167" i="1"/>
  <c r="O171" i="1"/>
  <c r="O175" i="1"/>
  <c r="O179" i="1"/>
  <c r="O183" i="1"/>
  <c r="O187" i="1"/>
  <c r="O191" i="1"/>
  <c r="O195" i="1"/>
  <c r="O199" i="1"/>
  <c r="O203" i="1"/>
  <c r="O207" i="1"/>
  <c r="O211" i="1"/>
  <c r="O215" i="1"/>
  <c r="O219" i="1"/>
  <c r="O223" i="1"/>
  <c r="O227" i="1"/>
  <c r="O231" i="1"/>
  <c r="P249" i="1"/>
  <c r="H249" i="1"/>
  <c r="P278" i="1"/>
  <c r="H278" i="1"/>
  <c r="O320" i="1"/>
  <c r="H235" i="1"/>
  <c r="P235" i="1"/>
  <c r="H267" i="1"/>
  <c r="P267" i="1"/>
  <c r="P304" i="1"/>
  <c r="H304" i="1"/>
  <c r="H332" i="1"/>
  <c r="P332" i="1"/>
  <c r="O296" i="1"/>
  <c r="O313" i="1"/>
  <c r="O329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O291" i="1"/>
  <c r="H298" i="1"/>
  <c r="P298" i="1"/>
  <c r="H314" i="1"/>
  <c r="P314" i="1"/>
  <c r="P330" i="1"/>
  <c r="H330" i="1"/>
  <c r="J8" i="1"/>
  <c r="M90" i="1"/>
  <c r="M84" i="1"/>
  <c r="M116" i="1"/>
  <c r="M81" i="1"/>
  <c r="M129" i="1"/>
  <c r="M163" i="1"/>
  <c r="M139" i="1"/>
  <c r="M207" i="1"/>
  <c r="M147" i="1"/>
  <c r="M110" i="1"/>
  <c r="M125" i="1"/>
  <c r="M165" i="1"/>
  <c r="M197" i="1"/>
  <c r="M227" i="1"/>
  <c r="M204" i="1"/>
  <c r="M180" i="1"/>
  <c r="M177" i="1"/>
  <c r="M263" i="1"/>
  <c r="M205" i="1"/>
  <c r="M202" i="1"/>
  <c r="M264" i="1"/>
  <c r="M253" i="1"/>
  <c r="M201" i="1"/>
  <c r="M232" i="1"/>
  <c r="M225" i="1"/>
  <c r="M257" i="1"/>
  <c r="M285" i="1"/>
  <c r="M234" i="1"/>
  <c r="M266" i="1"/>
  <c r="M252" i="1"/>
  <c r="M273" i="1"/>
  <c r="M304" i="1"/>
  <c r="M312" i="1"/>
  <c r="M320" i="1"/>
  <c r="M328" i="1"/>
  <c r="M336" i="1"/>
  <c r="E14" i="11"/>
  <c r="F14" i="11" s="1"/>
  <c r="D14" i="11"/>
  <c r="D11" i="10"/>
  <c r="E11" i="10" s="1"/>
  <c r="F11" i="10" s="1"/>
  <c r="D106" i="10"/>
  <c r="E106" i="10"/>
  <c r="E78" i="10"/>
  <c r="D78" i="10"/>
  <c r="D73" i="10"/>
  <c r="D111" i="10"/>
  <c r="E111" i="10" s="1"/>
  <c r="F111" i="10" s="1"/>
  <c r="D98" i="8"/>
  <c r="E98" i="8"/>
  <c r="E99" i="8"/>
  <c r="D99" i="8"/>
  <c r="D44" i="9"/>
  <c r="E44" i="9" s="1"/>
  <c r="F44" i="9" s="1"/>
  <c r="E49" i="9"/>
  <c r="D49" i="9"/>
  <c r="F49" i="9" s="1"/>
  <c r="D56" i="8"/>
  <c r="E56" i="8"/>
  <c r="Q10" i="4"/>
  <c r="B33" i="8"/>
  <c r="M7" i="8"/>
  <c r="F33" i="8"/>
  <c r="M57" i="8"/>
  <c r="M89" i="8"/>
  <c r="F29" i="8"/>
  <c r="B74" i="8"/>
  <c r="B21" i="9"/>
  <c r="B13" i="8"/>
  <c r="B36" i="8"/>
  <c r="M59" i="8"/>
  <c r="F84" i="8"/>
  <c r="F102" i="8"/>
  <c r="B32" i="9"/>
  <c r="F7" i="8"/>
  <c r="B32" i="8"/>
  <c r="M47" i="8"/>
  <c r="M93" i="8"/>
  <c r="M49" i="8"/>
  <c r="M81" i="8"/>
  <c r="F28" i="9"/>
  <c r="B24" i="8"/>
  <c r="B66" i="8"/>
  <c r="M44" i="9"/>
  <c r="M15" i="8"/>
  <c r="F44" i="8"/>
  <c r="F62" i="8"/>
  <c r="M83" i="8"/>
  <c r="F108" i="8"/>
  <c r="F23" i="8"/>
  <c r="M69" i="8"/>
  <c r="M87" i="8"/>
  <c r="M18" i="9"/>
  <c r="F48" i="8"/>
  <c r="M70" i="8"/>
  <c r="B92" i="8"/>
  <c r="F7" i="9"/>
  <c r="B23" i="10"/>
  <c r="M67" i="10"/>
  <c r="B30" i="9"/>
  <c r="B51" i="9"/>
  <c r="F7" i="10"/>
  <c r="B34" i="10"/>
  <c r="B14" i="8"/>
  <c r="F34" i="8"/>
  <c r="M56" i="8"/>
  <c r="B78" i="8"/>
  <c r="F98" i="8"/>
  <c r="F15" i="9"/>
  <c r="M15" i="10"/>
  <c r="M17" i="9"/>
  <c r="M36" i="9"/>
  <c r="B58" i="9"/>
  <c r="B25" i="9"/>
  <c r="M52" i="9"/>
  <c r="M41" i="10"/>
  <c r="B92" i="12"/>
  <c r="B64" i="10"/>
  <c r="M91" i="10"/>
  <c r="M54" i="10"/>
  <c r="B56" i="10"/>
  <c r="B80" i="10"/>
  <c r="M20" i="10"/>
  <c r="F46" i="10"/>
  <c r="M82" i="10"/>
  <c r="M17" i="10"/>
  <c r="M84" i="10"/>
  <c r="M38" i="9"/>
  <c r="B60" i="9"/>
  <c r="F48" i="10"/>
  <c r="M88" i="10"/>
  <c r="B22" i="11"/>
  <c r="B58" i="10"/>
  <c r="B85" i="10"/>
  <c r="F39" i="11"/>
  <c r="M105" i="10"/>
  <c r="AB267" i="13"/>
  <c r="B51" i="10"/>
  <c r="B76" i="10"/>
  <c r="M104" i="10"/>
  <c r="M48" i="10"/>
  <c r="B70" i="10"/>
  <c r="B94" i="10"/>
  <c r="AB43" i="13"/>
  <c r="B110" i="10"/>
  <c r="AB185" i="13"/>
  <c r="AB14" i="13"/>
  <c r="AB152" i="13"/>
  <c r="B87" i="10"/>
  <c r="B9" i="11"/>
  <c r="B36" i="12"/>
  <c r="B53" i="12"/>
  <c r="AB63" i="13"/>
  <c r="M111" i="10"/>
  <c r="F27" i="11"/>
  <c r="B93" i="12"/>
  <c r="AB84" i="13"/>
  <c r="AB47" i="13"/>
  <c r="B34" i="11"/>
  <c r="AB7" i="13"/>
  <c r="B8" i="12"/>
  <c r="AB15" i="13"/>
  <c r="B51" i="12"/>
  <c r="AB28" i="13"/>
  <c r="AB104" i="13"/>
  <c r="AB219" i="13"/>
  <c r="B36" i="11"/>
  <c r="B80" i="12"/>
  <c r="AB38" i="13"/>
  <c r="AB132" i="13"/>
  <c r="AB246" i="13"/>
  <c r="AB137" i="13"/>
  <c r="AB121" i="13"/>
  <c r="AB309" i="13"/>
  <c r="AB97" i="13"/>
  <c r="AB153" i="13"/>
  <c r="AB227" i="13"/>
  <c r="AB91" i="13"/>
  <c r="AB166" i="13"/>
  <c r="AB307" i="13"/>
  <c r="AB233" i="13"/>
  <c r="AB297" i="13"/>
  <c r="B113" i="10"/>
  <c r="B94" i="12"/>
  <c r="AB49" i="13"/>
  <c r="AB116" i="13"/>
  <c r="AB215" i="13"/>
  <c r="AB279" i="13"/>
  <c r="AB200" i="13"/>
  <c r="AB240" i="13"/>
  <c r="AB304" i="13"/>
  <c r="AB236" i="13"/>
  <c r="AB300" i="13"/>
  <c r="AB134" i="13"/>
  <c r="AB196" i="13"/>
  <c r="AB258" i="13"/>
  <c r="P59" i="1"/>
  <c r="H59" i="1"/>
  <c r="O10" i="1"/>
  <c r="M83" i="1"/>
  <c r="P62" i="1"/>
  <c r="H62" i="1"/>
  <c r="M55" i="1"/>
  <c r="M51" i="1"/>
  <c r="M47" i="1"/>
  <c r="M43" i="1"/>
  <c r="M39" i="1"/>
  <c r="M35" i="1"/>
  <c r="M31" i="1"/>
  <c r="M27" i="1"/>
  <c r="M23" i="1"/>
  <c r="F18" i="1"/>
  <c r="L5" i="1"/>
  <c r="M65" i="1"/>
  <c r="O54" i="1"/>
  <c r="O50" i="1"/>
  <c r="O46" i="1"/>
  <c r="O42" i="1"/>
  <c r="O38" i="1"/>
  <c r="O34" i="1"/>
  <c r="O30" i="1"/>
  <c r="O26" i="1"/>
  <c r="Q4" i="1"/>
  <c r="P72" i="1"/>
  <c r="H72" i="1"/>
  <c r="M72" i="1"/>
  <c r="H53" i="1"/>
  <c r="P53" i="1"/>
  <c r="H45" i="1"/>
  <c r="P45" i="1"/>
  <c r="H37" i="1"/>
  <c r="P37" i="1"/>
  <c r="H29" i="1"/>
  <c r="P29" i="1"/>
  <c r="B20" i="1"/>
  <c r="E6" i="2" s="1"/>
  <c r="C3" i="1"/>
  <c r="C14" i="1"/>
  <c r="G5" i="1"/>
  <c r="G4" i="1" s="1"/>
  <c r="P119" i="1"/>
  <c r="H119" i="1"/>
  <c r="P97" i="1"/>
  <c r="H97" i="1"/>
  <c r="H126" i="1"/>
  <c r="P126" i="1"/>
  <c r="P102" i="1"/>
  <c r="H102" i="1"/>
  <c r="P88" i="1"/>
  <c r="H88" i="1"/>
  <c r="P121" i="1"/>
  <c r="H121" i="1"/>
  <c r="P175" i="1"/>
  <c r="H175" i="1"/>
  <c r="H189" i="1"/>
  <c r="P189" i="1"/>
  <c r="P141" i="1"/>
  <c r="H141" i="1"/>
  <c r="H181" i="1"/>
  <c r="P181" i="1"/>
  <c r="P148" i="1"/>
  <c r="H148" i="1"/>
  <c r="H211" i="1"/>
  <c r="P211" i="1"/>
  <c r="P153" i="1"/>
  <c r="H153" i="1"/>
  <c r="P185" i="1"/>
  <c r="H185" i="1"/>
  <c r="P179" i="1"/>
  <c r="H179" i="1"/>
  <c r="H220" i="1"/>
  <c r="P220" i="1"/>
  <c r="H227" i="1"/>
  <c r="P227" i="1"/>
  <c r="H290" i="1"/>
  <c r="P290" i="1"/>
  <c r="P204" i="1"/>
  <c r="H204" i="1"/>
  <c r="H237" i="1"/>
  <c r="P237" i="1"/>
  <c r="P233" i="1"/>
  <c r="H233" i="1"/>
  <c r="P262" i="1"/>
  <c r="H262" i="1"/>
  <c r="P250" i="1"/>
  <c r="H250" i="1"/>
  <c r="P275" i="1"/>
  <c r="H275" i="1"/>
  <c r="P325" i="1"/>
  <c r="H325" i="1"/>
  <c r="H311" i="1"/>
  <c r="P311" i="1"/>
  <c r="O335" i="1"/>
  <c r="H300" i="1"/>
  <c r="P300" i="1"/>
  <c r="O324" i="1"/>
  <c r="O307" i="1"/>
  <c r="P307" i="1"/>
  <c r="H307" i="1"/>
  <c r="O301" i="1"/>
  <c r="O317" i="1"/>
  <c r="O333" i="1"/>
  <c r="M96" i="1"/>
  <c r="M85" i="1"/>
  <c r="M119" i="1"/>
  <c r="M87" i="1"/>
  <c r="M94" i="1"/>
  <c r="M138" i="1"/>
  <c r="M140" i="1"/>
  <c r="M176" i="1"/>
  <c r="M134" i="1"/>
  <c r="M222" i="1"/>
  <c r="M111" i="1"/>
  <c r="M192" i="1"/>
  <c r="M170" i="1"/>
  <c r="M175" i="1"/>
  <c r="M226" i="1"/>
  <c r="M275" i="1"/>
  <c r="M246" i="1"/>
  <c r="M270" i="1"/>
  <c r="M235" i="1"/>
  <c r="M267" i="1"/>
  <c r="M287" i="1"/>
  <c r="M290" i="1"/>
  <c r="M295" i="1"/>
  <c r="M305" i="1"/>
  <c r="M313" i="1"/>
  <c r="M321" i="1"/>
  <c r="M329" i="1"/>
  <c r="M337" i="1"/>
  <c r="E27" i="11"/>
  <c r="D27" i="11"/>
  <c r="I3" i="11"/>
  <c r="D96" i="10"/>
  <c r="E96" i="10" s="1"/>
  <c r="F96" i="10" s="1"/>
  <c r="D85" i="10"/>
  <c r="E85" i="10" s="1"/>
  <c r="F85" i="10" s="1"/>
  <c r="E98" i="10"/>
  <c r="D98" i="10"/>
  <c r="D19" i="11"/>
  <c r="E19" i="11" s="1"/>
  <c r="F19" i="11" s="1"/>
  <c r="D12" i="10"/>
  <c r="E12" i="10"/>
  <c r="F12" i="10" s="1"/>
  <c r="D105" i="10"/>
  <c r="E105" i="10" s="1"/>
  <c r="F105" i="10" s="1"/>
  <c r="E73" i="8"/>
  <c r="F73" i="8" s="1"/>
  <c r="D73" i="8"/>
  <c r="E58" i="9"/>
  <c r="D58" i="9"/>
  <c r="E52" i="9"/>
  <c r="D52" i="9"/>
  <c r="D21" i="8"/>
  <c r="E21" i="8" s="1"/>
  <c r="F21" i="8" s="1"/>
  <c r="E32" i="11"/>
  <c r="F32" i="11" s="1"/>
  <c r="D32" i="11"/>
  <c r="D26" i="11"/>
  <c r="E13" i="11"/>
  <c r="D13" i="11"/>
  <c r="D20" i="11"/>
  <c r="E20" i="11"/>
  <c r="D71" i="10"/>
  <c r="E71" i="10" s="1"/>
  <c r="F71" i="10" s="1"/>
  <c r="D62" i="10"/>
  <c r="E62" i="10" s="1"/>
  <c r="I2" i="11"/>
  <c r="E25" i="10"/>
  <c r="D25" i="10"/>
  <c r="E74" i="10"/>
  <c r="D74" i="10"/>
  <c r="D35" i="10"/>
  <c r="E35" i="10" s="1"/>
  <c r="D93" i="10"/>
  <c r="F93" i="10" s="1"/>
  <c r="E93" i="10"/>
  <c r="D76" i="10"/>
  <c r="E76" i="10" s="1"/>
  <c r="F76" i="10" s="1"/>
  <c r="D102" i="10"/>
  <c r="E102" i="10" s="1"/>
  <c r="F102" i="10" s="1"/>
  <c r="D69" i="10"/>
  <c r="E69" i="10" s="1"/>
  <c r="F69" i="10" s="1"/>
  <c r="D55" i="9"/>
  <c r="E55" i="9" s="1"/>
  <c r="F55" i="9" s="1"/>
  <c r="E81" i="8"/>
  <c r="D81" i="8"/>
  <c r="E43" i="8"/>
  <c r="D43" i="8"/>
  <c r="D107" i="8"/>
  <c r="E107" i="8" s="1"/>
  <c r="F107" i="8" s="1"/>
  <c r="E13" i="9"/>
  <c r="D13" i="9"/>
  <c r="D14" i="9"/>
  <c r="E14" i="9"/>
  <c r="F14" i="9" s="1"/>
  <c r="E28" i="9"/>
  <c r="D28" i="9"/>
  <c r="D56" i="9"/>
  <c r="E56" i="9" s="1"/>
  <c r="E61" i="9"/>
  <c r="D61" i="9"/>
  <c r="F61" i="9" s="1"/>
  <c r="D57" i="9"/>
  <c r="E17" i="8"/>
  <c r="D17" i="8"/>
  <c r="B17" i="4"/>
  <c r="Q7" i="4"/>
  <c r="E2" i="4" s="1"/>
  <c r="L15" i="4"/>
  <c r="H17" i="4"/>
  <c r="H15" i="4"/>
  <c r="C16" i="4"/>
  <c r="C18" i="4"/>
  <c r="D24" i="2"/>
  <c r="B19" i="8"/>
  <c r="B12" i="8"/>
  <c r="B35" i="8"/>
  <c r="F99" i="8"/>
  <c r="B8" i="8"/>
  <c r="B31" i="8"/>
  <c r="M74" i="8"/>
  <c r="F16" i="8"/>
  <c r="B43" i="8"/>
  <c r="M60" i="8"/>
  <c r="F85" i="8"/>
  <c r="B107" i="8"/>
  <c r="M33" i="9"/>
  <c r="M9" i="8"/>
  <c r="F55" i="8"/>
  <c r="B77" i="8"/>
  <c r="B95" i="8"/>
  <c r="B26" i="9"/>
  <c r="M66" i="8"/>
  <c r="B49" i="9"/>
  <c r="B20" i="8"/>
  <c r="F45" i="8"/>
  <c r="B67" i="8"/>
  <c r="M84" i="8"/>
  <c r="F109" i="8"/>
  <c r="M25" i="8"/>
  <c r="B53" i="8"/>
  <c r="B71" i="8"/>
  <c r="F95" i="8"/>
  <c r="M26" i="9"/>
  <c r="B52" i="8"/>
  <c r="M94" i="8"/>
  <c r="B9" i="9"/>
  <c r="B59" i="9"/>
  <c r="M30" i="10"/>
  <c r="B27" i="9"/>
  <c r="B50" i="9"/>
  <c r="B31" i="9"/>
  <c r="M51" i="9"/>
  <c r="B12" i="10"/>
  <c r="F39" i="10"/>
  <c r="M16" i="8"/>
  <c r="B38" i="8"/>
  <c r="F58" i="8"/>
  <c r="M80" i="8"/>
  <c r="B102" i="8"/>
  <c r="B17" i="9"/>
  <c r="B45" i="9"/>
  <c r="B28" i="10"/>
  <c r="F20" i="9"/>
  <c r="M58" i="9"/>
  <c r="M29" i="9"/>
  <c r="B21" i="10"/>
  <c r="B69" i="10"/>
  <c r="B60" i="10"/>
  <c r="B19" i="10"/>
  <c r="M28" i="10"/>
  <c r="M55" i="10"/>
  <c r="B11" i="11"/>
  <c r="B88" i="10"/>
  <c r="F23" i="10"/>
  <c r="B48" i="10"/>
  <c r="M21" i="10"/>
  <c r="M44" i="10"/>
  <c r="B20" i="9"/>
  <c r="M62" i="9"/>
  <c r="M22" i="10"/>
  <c r="B102" i="10"/>
  <c r="B24" i="11"/>
  <c r="M60" i="10"/>
  <c r="B86" i="10"/>
  <c r="B41" i="11"/>
  <c r="M53" i="10"/>
  <c r="M76" i="10"/>
  <c r="M110" i="10"/>
  <c r="M8" i="10"/>
  <c r="B30" i="10"/>
  <c r="F72" i="10"/>
  <c r="M94" i="10"/>
  <c r="B14" i="11"/>
  <c r="B16" i="11"/>
  <c r="AB157" i="13"/>
  <c r="B91" i="10"/>
  <c r="AB17" i="13"/>
  <c r="AB286" i="13"/>
  <c r="M89" i="10"/>
  <c r="B59" i="12"/>
  <c r="B65" i="12"/>
  <c r="AB78" i="13"/>
  <c r="AB9" i="13"/>
  <c r="AB102" i="13"/>
  <c r="AB72" i="13"/>
  <c r="B7" i="12"/>
  <c r="AB42" i="13"/>
  <c r="F13" i="11"/>
  <c r="B39" i="12"/>
  <c r="AB31" i="13"/>
  <c r="B60" i="12"/>
  <c r="AB45" i="13"/>
  <c r="AB109" i="13"/>
  <c r="AB270" i="13"/>
  <c r="B89" i="12"/>
  <c r="AB44" i="13"/>
  <c r="AB138" i="13"/>
  <c r="AB253" i="13"/>
  <c r="AB176" i="13"/>
  <c r="AB131" i="13"/>
  <c r="AB35" i="13"/>
  <c r="AB101" i="13"/>
  <c r="AB158" i="13"/>
  <c r="AB278" i="13"/>
  <c r="AB105" i="13"/>
  <c r="AB170" i="13"/>
  <c r="AB171" i="13"/>
  <c r="AB241" i="13"/>
  <c r="AB305" i="13"/>
  <c r="B38" i="12"/>
  <c r="B102" i="12"/>
  <c r="AB57" i="13"/>
  <c r="AB128" i="13"/>
  <c r="AB223" i="13"/>
  <c r="AB287" i="13"/>
  <c r="AB186" i="13"/>
  <c r="AB248" i="13"/>
  <c r="AB182" i="13"/>
  <c r="AB244" i="13"/>
  <c r="AB308" i="13"/>
  <c r="AB141" i="13"/>
  <c r="AB203" i="13"/>
  <c r="AB266" i="13"/>
  <c r="O18" i="1"/>
  <c r="G10" i="1"/>
  <c r="J4" i="1"/>
  <c r="P6" i="1"/>
  <c r="M18" i="1"/>
  <c r="P74" i="1"/>
  <c r="H74" i="1"/>
  <c r="E6" i="1"/>
  <c r="A4" i="8" s="1"/>
  <c r="I5" i="1"/>
  <c r="I4" i="1" s="1"/>
  <c r="H52" i="1"/>
  <c r="P52" i="1"/>
  <c r="H44" i="1"/>
  <c r="P44" i="1"/>
  <c r="P5" i="1"/>
  <c r="P4" i="1" s="1"/>
  <c r="H36" i="1"/>
  <c r="P36" i="1"/>
  <c r="H28" i="1"/>
  <c r="P28" i="1"/>
  <c r="H79" i="1"/>
  <c r="P79" i="1"/>
  <c r="H113" i="1"/>
  <c r="P113" i="1"/>
  <c r="P92" i="1"/>
  <c r="H92" i="1"/>
  <c r="P127" i="1"/>
  <c r="H127" i="1"/>
  <c r="H75" i="1"/>
  <c r="P75" i="1"/>
  <c r="P107" i="1"/>
  <c r="H107" i="1"/>
  <c r="P131" i="1"/>
  <c r="H131" i="1"/>
  <c r="H101" i="1"/>
  <c r="P101" i="1"/>
  <c r="H165" i="1"/>
  <c r="P165" i="1"/>
  <c r="P146" i="1"/>
  <c r="H146" i="1"/>
  <c r="O58" i="1"/>
  <c r="O62" i="1"/>
  <c r="O66" i="1"/>
  <c r="O70" i="1"/>
  <c r="O74" i="1"/>
  <c r="O78" i="1"/>
  <c r="O82" i="1"/>
  <c r="O86" i="1"/>
  <c r="O90" i="1"/>
  <c r="O94" i="1"/>
  <c r="O98" i="1"/>
  <c r="O102" i="1"/>
  <c r="O106" i="1"/>
  <c r="O110" i="1"/>
  <c r="O114" i="1"/>
  <c r="H186" i="1"/>
  <c r="P186" i="1"/>
  <c r="H201" i="1"/>
  <c r="P201" i="1"/>
  <c r="P152" i="1"/>
  <c r="H152" i="1"/>
  <c r="P124" i="1"/>
  <c r="H124" i="1"/>
  <c r="H158" i="1"/>
  <c r="P158" i="1"/>
  <c r="P183" i="1"/>
  <c r="H183" i="1"/>
  <c r="H223" i="1"/>
  <c r="P223" i="1"/>
  <c r="P188" i="1"/>
  <c r="H188" i="1"/>
  <c r="P174" i="1"/>
  <c r="H174" i="1"/>
  <c r="H202" i="1"/>
  <c r="P202" i="1"/>
  <c r="H247" i="1"/>
  <c r="P247" i="1"/>
  <c r="H184" i="1"/>
  <c r="P184" i="1"/>
  <c r="P291" i="1"/>
  <c r="H291" i="1"/>
  <c r="P254" i="1"/>
  <c r="H254" i="1"/>
  <c r="H264" i="1"/>
  <c r="P264" i="1"/>
  <c r="P236" i="1"/>
  <c r="H236" i="1"/>
  <c r="P256" i="1"/>
  <c r="H256" i="1"/>
  <c r="O314" i="1"/>
  <c r="H326" i="1"/>
  <c r="P326" i="1"/>
  <c r="O297" i="1"/>
  <c r="P286" i="1"/>
  <c r="H286" i="1"/>
  <c r="P281" i="1"/>
  <c r="H281" i="1"/>
  <c r="O312" i="1"/>
  <c r="O116" i="1"/>
  <c r="O120" i="1"/>
  <c r="O124" i="1"/>
  <c r="O128" i="1"/>
  <c r="O132" i="1"/>
  <c r="O136" i="1"/>
  <c r="O140" i="1"/>
  <c r="O144" i="1"/>
  <c r="O148" i="1"/>
  <c r="O152" i="1"/>
  <c r="O156" i="1"/>
  <c r="O160" i="1"/>
  <c r="O164" i="1"/>
  <c r="O168" i="1"/>
  <c r="O172" i="1"/>
  <c r="O176" i="1"/>
  <c r="O180" i="1"/>
  <c r="O184" i="1"/>
  <c r="O188" i="1"/>
  <c r="O192" i="1"/>
  <c r="O196" i="1"/>
  <c r="O200" i="1"/>
  <c r="O204" i="1"/>
  <c r="O208" i="1"/>
  <c r="O212" i="1"/>
  <c r="O216" i="1"/>
  <c r="O220" i="1"/>
  <c r="O224" i="1"/>
  <c r="O228" i="1"/>
  <c r="O232" i="1"/>
  <c r="P257" i="1"/>
  <c r="H257" i="1"/>
  <c r="O326" i="1"/>
  <c r="H243" i="1"/>
  <c r="P243" i="1"/>
  <c r="P335" i="1"/>
  <c r="H335" i="1"/>
  <c r="P280" i="1"/>
  <c r="H280" i="1"/>
  <c r="P285" i="1"/>
  <c r="H285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O288" i="1"/>
  <c r="O292" i="1"/>
  <c r="M98" i="1"/>
  <c r="M60" i="1"/>
  <c r="M92" i="1"/>
  <c r="M122" i="1"/>
  <c r="M89" i="1"/>
  <c r="M143" i="1"/>
  <c r="M145" i="1"/>
  <c r="M137" i="1"/>
  <c r="M171" i="1"/>
  <c r="M151" i="1"/>
  <c r="M128" i="1"/>
  <c r="M158" i="1"/>
  <c r="M112" i="1"/>
  <c r="M133" i="1"/>
  <c r="M173" i="1"/>
  <c r="M206" i="1"/>
  <c r="M209" i="1"/>
  <c r="M188" i="1"/>
  <c r="M153" i="1"/>
  <c r="M185" i="1"/>
  <c r="M240" i="1"/>
  <c r="M212" i="1"/>
  <c r="M213" i="1"/>
  <c r="M208" i="1"/>
  <c r="M243" i="1"/>
  <c r="M233" i="1"/>
  <c r="M269" i="1"/>
  <c r="M242" i="1"/>
  <c r="M260" i="1"/>
  <c r="M281" i="1"/>
  <c r="M298" i="1"/>
  <c r="M306" i="1"/>
  <c r="M314" i="1"/>
  <c r="M322" i="1"/>
  <c r="M330" i="1"/>
  <c r="D6" i="1"/>
  <c r="I4" i="11"/>
  <c r="I2" i="10"/>
  <c r="I4" i="9"/>
  <c r="I5" i="10"/>
  <c r="I5" i="9"/>
  <c r="I4" i="8"/>
  <c r="I2" i="8"/>
  <c r="I2" i="9"/>
  <c r="E54" i="10"/>
  <c r="D54" i="10"/>
  <c r="F54" i="10" s="1"/>
  <c r="E19" i="8"/>
  <c r="D19" i="8"/>
  <c r="F19" i="8" s="1"/>
  <c r="D23" i="11"/>
  <c r="E23" i="11" s="1"/>
  <c r="F23" i="11" s="1"/>
  <c r="D64" i="10"/>
  <c r="E64" i="10"/>
  <c r="E22" i="11"/>
  <c r="D22" i="11"/>
  <c r="E109" i="10"/>
  <c r="F109" i="10" s="1"/>
  <c r="D109" i="10"/>
  <c r="E27" i="10"/>
  <c r="D27" i="10"/>
  <c r="F27" i="10" s="1"/>
  <c r="D38" i="10"/>
  <c r="F38" i="10" s="1"/>
  <c r="E38" i="10"/>
  <c r="D38" i="8"/>
  <c r="E38" i="8" s="1"/>
  <c r="F38" i="8" s="1"/>
  <c r="E7" i="9"/>
  <c r="D7" i="9"/>
  <c r="E2" i="9"/>
  <c r="E33" i="11"/>
  <c r="D33" i="11"/>
  <c r="E12" i="11"/>
  <c r="D12" i="11"/>
  <c r="F12" i="11" s="1"/>
  <c r="D9" i="11"/>
  <c r="E9" i="11" s="1"/>
  <c r="F9" i="11" s="1"/>
  <c r="D53" i="10"/>
  <c r="I5" i="11"/>
  <c r="D75" i="10"/>
  <c r="E75" i="10"/>
  <c r="D43" i="10"/>
  <c r="E43" i="10" s="1"/>
  <c r="E94" i="10"/>
  <c r="F94" i="10" s="1"/>
  <c r="D94" i="10"/>
  <c r="D84" i="10"/>
  <c r="E84" i="10" s="1"/>
  <c r="D110" i="10"/>
  <c r="E110" i="10" s="1"/>
  <c r="E58" i="10"/>
  <c r="D58" i="10"/>
  <c r="E39" i="9"/>
  <c r="D39" i="9"/>
  <c r="D82" i="8"/>
  <c r="E82" i="8" s="1"/>
  <c r="D24" i="8"/>
  <c r="E24" i="8"/>
  <c r="F24" i="8" s="1"/>
  <c r="E89" i="8"/>
  <c r="D89" i="8"/>
  <c r="F89" i="8" s="1"/>
  <c r="E51" i="8"/>
  <c r="F51" i="8" s="1"/>
  <c r="D51" i="8"/>
  <c r="E59" i="9"/>
  <c r="D59" i="9"/>
  <c r="D24" i="9"/>
  <c r="E24" i="9" s="1"/>
  <c r="D26" i="9"/>
  <c r="F26" i="9" s="1"/>
  <c r="E26" i="9"/>
  <c r="D40" i="9"/>
  <c r="D8" i="9"/>
  <c r="E8" i="9" s="1"/>
  <c r="F8" i="9" s="1"/>
  <c r="D67" i="9"/>
  <c r="E67" i="9" s="1"/>
  <c r="D65" i="9"/>
  <c r="E65" i="9" s="1"/>
  <c r="D88" i="8"/>
  <c r="F88" i="8" s="1"/>
  <c r="E88" i="8"/>
  <c r="D15" i="4"/>
  <c r="F16" i="4"/>
  <c r="G16" i="4"/>
  <c r="D26" i="2"/>
  <c r="B28" i="8"/>
  <c r="B17" i="8"/>
  <c r="B40" i="8"/>
  <c r="B72" i="8"/>
  <c r="B104" i="8"/>
  <c r="M35" i="8"/>
  <c r="B90" i="8"/>
  <c r="M49" i="9"/>
  <c r="B18" i="8"/>
  <c r="M43" i="8"/>
  <c r="F68" i="8"/>
  <c r="F86" i="8"/>
  <c r="M107" i="8"/>
  <c r="B38" i="9"/>
  <c r="M13" i="8"/>
  <c r="M36" i="8"/>
  <c r="M77" i="8"/>
  <c r="M95" i="8"/>
  <c r="B64" i="8"/>
  <c r="B96" i="8"/>
  <c r="M9" i="10"/>
  <c r="M28" i="8"/>
  <c r="B82" i="8"/>
  <c r="B55" i="9"/>
  <c r="B25" i="8"/>
  <c r="F46" i="8"/>
  <c r="M67" i="8"/>
  <c r="F92" i="8"/>
  <c r="F110" i="8"/>
  <c r="B7" i="8"/>
  <c r="M29" i="8"/>
  <c r="M53" i="8"/>
  <c r="M71" i="8"/>
  <c r="F97" i="8"/>
  <c r="B33" i="9"/>
  <c r="M54" i="8"/>
  <c r="B76" i="8"/>
  <c r="F96" i="8"/>
  <c r="M13" i="9"/>
  <c r="M59" i="9"/>
  <c r="M27" i="9"/>
  <c r="M50" i="9"/>
  <c r="M31" i="9"/>
  <c r="B53" i="9"/>
  <c r="B17" i="10"/>
  <c r="F18" i="8"/>
  <c r="M40" i="8"/>
  <c r="B62" i="8"/>
  <c r="M104" i="8"/>
  <c r="B22" i="9"/>
  <c r="M45" i="9"/>
  <c r="F32" i="10"/>
  <c r="B24" i="9"/>
  <c r="F43" i="9"/>
  <c r="B20" i="10"/>
  <c r="B34" i="9"/>
  <c r="B57" i="9"/>
  <c r="F61" i="10"/>
  <c r="F30" i="10"/>
  <c r="F78" i="10"/>
  <c r="M39" i="10"/>
  <c r="M10" i="10"/>
  <c r="B57" i="10"/>
  <c r="F36" i="10"/>
  <c r="F60" i="10"/>
  <c r="B18" i="11"/>
  <c r="M25" i="10"/>
  <c r="M62" i="10"/>
  <c r="F98" i="10"/>
  <c r="M26" i="10"/>
  <c r="M22" i="9"/>
  <c r="B44" i="9"/>
  <c r="F25" i="10"/>
  <c r="M59" i="10"/>
  <c r="B112" i="10"/>
  <c r="B39" i="11"/>
  <c r="M86" i="10"/>
  <c r="B5" i="12"/>
  <c r="B37" i="11"/>
  <c r="B19" i="11"/>
  <c r="M32" i="10"/>
  <c r="B54" i="10"/>
  <c r="B77" i="10"/>
  <c r="M95" i="10"/>
  <c r="B38" i="11"/>
  <c r="B40" i="11"/>
  <c r="AB222" i="13"/>
  <c r="M93" i="10"/>
  <c r="AB61" i="13"/>
  <c r="B71" i="10"/>
  <c r="B15" i="11"/>
  <c r="B84" i="12"/>
  <c r="B76" i="12"/>
  <c r="AB114" i="13"/>
  <c r="B12" i="11"/>
  <c r="B3" i="12"/>
  <c r="AB13" i="13"/>
  <c r="AB160" i="13"/>
  <c r="AB83" i="13"/>
  <c r="B37" i="12"/>
  <c r="AB46" i="13"/>
  <c r="B17" i="11"/>
  <c r="B50" i="12"/>
  <c r="AB82" i="13"/>
  <c r="B69" i="12"/>
  <c r="AB50" i="13"/>
  <c r="AB119" i="13"/>
  <c r="AB277" i="13"/>
  <c r="B6" i="12"/>
  <c r="B98" i="12"/>
  <c r="AB55" i="13"/>
  <c r="AB146" i="13"/>
  <c r="AB259" i="13"/>
  <c r="AB205" i="13"/>
  <c r="AB136" i="13"/>
  <c r="AB53" i="13"/>
  <c r="AB106" i="13"/>
  <c r="AB163" i="13"/>
  <c r="AB285" i="13"/>
  <c r="AB115" i="13"/>
  <c r="AB181" i="13"/>
  <c r="AB177" i="13"/>
  <c r="AB249" i="13"/>
  <c r="B97" i="10"/>
  <c r="B46" i="12"/>
  <c r="AB4" i="13"/>
  <c r="AB65" i="13"/>
  <c r="AB145" i="13"/>
  <c r="AB231" i="13"/>
  <c r="AB295" i="13"/>
  <c r="AB194" i="13"/>
  <c r="AB256" i="13"/>
  <c r="AB190" i="13"/>
  <c r="AB252" i="13"/>
  <c r="AB87" i="13"/>
  <c r="AB149" i="13"/>
  <c r="AB210" i="13"/>
  <c r="AB274" i="13"/>
  <c r="P76" i="1"/>
  <c r="H76" i="1"/>
  <c r="G18" i="1"/>
  <c r="H6" i="1"/>
  <c r="M61" i="1"/>
  <c r="E18" i="1"/>
  <c r="P65" i="1"/>
  <c r="H65" i="1"/>
  <c r="O57" i="1"/>
  <c r="O53" i="1"/>
  <c r="O49" i="1"/>
  <c r="O45" i="1"/>
  <c r="O41" i="1"/>
  <c r="O37" i="1"/>
  <c r="O33" i="1"/>
  <c r="O29" i="1"/>
  <c r="O25" i="1"/>
  <c r="P14" i="1"/>
  <c r="O13" i="1"/>
  <c r="H68" i="1"/>
  <c r="P68" i="1"/>
  <c r="M59" i="1"/>
  <c r="H51" i="1"/>
  <c r="P51" i="1"/>
  <c r="H43" i="1"/>
  <c r="P43" i="1"/>
  <c r="H35" i="1"/>
  <c r="P35" i="1"/>
  <c r="H27" i="1"/>
  <c r="P27" i="1"/>
  <c r="H98" i="1"/>
  <c r="P98" i="1"/>
  <c r="P120" i="1"/>
  <c r="H120" i="1"/>
  <c r="H129" i="1"/>
  <c r="P129" i="1"/>
  <c r="P105" i="1"/>
  <c r="H105" i="1"/>
  <c r="P78" i="1"/>
  <c r="H78" i="1"/>
  <c r="P96" i="1"/>
  <c r="H96" i="1"/>
  <c r="P117" i="1"/>
  <c r="H117" i="1"/>
  <c r="H147" i="1"/>
  <c r="P147" i="1"/>
  <c r="P205" i="1"/>
  <c r="H205" i="1"/>
  <c r="H170" i="1"/>
  <c r="P170" i="1"/>
  <c r="H224" i="1"/>
  <c r="P224" i="1"/>
  <c r="P161" i="1"/>
  <c r="H161" i="1"/>
  <c r="P193" i="1"/>
  <c r="H193" i="1"/>
  <c r="H208" i="1"/>
  <c r="P208" i="1"/>
  <c r="P187" i="1"/>
  <c r="H187" i="1"/>
  <c r="P213" i="1"/>
  <c r="H213" i="1"/>
  <c r="H245" i="1"/>
  <c r="P245" i="1"/>
  <c r="P231" i="1"/>
  <c r="H231" i="1"/>
  <c r="P268" i="1"/>
  <c r="H268" i="1"/>
  <c r="O303" i="1"/>
  <c r="P258" i="1"/>
  <c r="H258" i="1"/>
  <c r="O330" i="1"/>
  <c r="H266" i="1"/>
  <c r="P266" i="1"/>
  <c r="H299" i="1"/>
  <c r="P299" i="1"/>
  <c r="P288" i="1"/>
  <c r="H288" i="1"/>
  <c r="O319" i="1"/>
  <c r="H282" i="1"/>
  <c r="P282" i="1"/>
  <c r="O315" i="1"/>
  <c r="H297" i="1"/>
  <c r="P297" i="1"/>
  <c r="O327" i="1"/>
  <c r="P333" i="1"/>
  <c r="H333" i="1"/>
  <c r="P279" i="1"/>
  <c r="H279" i="1"/>
  <c r="H309" i="1"/>
  <c r="P309" i="1"/>
  <c r="O336" i="1"/>
  <c r="P305" i="1"/>
  <c r="H305" i="1"/>
  <c r="H321" i="1"/>
  <c r="P321" i="1"/>
  <c r="P337" i="1"/>
  <c r="H337" i="1"/>
  <c r="M91" i="1"/>
  <c r="M104" i="1"/>
  <c r="M93" i="1"/>
  <c r="M127" i="1"/>
  <c r="M95" i="1"/>
  <c r="M123" i="1"/>
  <c r="M70" i="1"/>
  <c r="M102" i="1"/>
  <c r="M157" i="1"/>
  <c r="M203" i="1"/>
  <c r="M142" i="1"/>
  <c r="M164" i="1"/>
  <c r="M113" i="1"/>
  <c r="M211" i="1"/>
  <c r="M146" i="1"/>
  <c r="M178" i="1"/>
  <c r="M214" i="1"/>
  <c r="M183" i="1"/>
  <c r="M255" i="1"/>
  <c r="M254" i="1"/>
  <c r="M230" i="1"/>
  <c r="M251" i="1"/>
  <c r="M272" i="1"/>
  <c r="M279" i="1"/>
  <c r="M282" i="1"/>
  <c r="M284" i="1"/>
  <c r="M299" i="1"/>
  <c r="M307" i="1"/>
  <c r="M315" i="1"/>
  <c r="M323" i="1"/>
  <c r="M331" i="1"/>
  <c r="Q14" i="1"/>
  <c r="R18" i="1"/>
  <c r="D22" i="10"/>
  <c r="E22" i="10" s="1"/>
  <c r="E57" i="10"/>
  <c r="D57" i="10"/>
  <c r="D50" i="8"/>
  <c r="D16" i="11"/>
  <c r="E16" i="11" s="1"/>
  <c r="F16" i="11" s="1"/>
  <c r="D17" i="10"/>
  <c r="E17" i="10"/>
  <c r="F17" i="10" s="1"/>
  <c r="E31" i="11"/>
  <c r="D31" i="11"/>
  <c r="F31" i="11" s="1"/>
  <c r="E17" i="11"/>
  <c r="F17" i="11" s="1"/>
  <c r="D17" i="11"/>
  <c r="E29" i="10"/>
  <c r="D29" i="10"/>
  <c r="D107" i="10"/>
  <c r="F107" i="10" s="1"/>
  <c r="E107" i="10"/>
  <c r="E35" i="8"/>
  <c r="D35" i="8"/>
  <c r="F35" i="8" s="1"/>
  <c r="E27" i="9"/>
  <c r="D27" i="9"/>
  <c r="F27" i="9" s="1"/>
  <c r="D30" i="11"/>
  <c r="E30" i="11" s="1"/>
  <c r="D40" i="11"/>
  <c r="E40" i="11" s="1"/>
  <c r="D52" i="10"/>
  <c r="E20" i="10"/>
  <c r="D20" i="10"/>
  <c r="F20" i="10" s="1"/>
  <c r="E24" i="11"/>
  <c r="D24" i="11"/>
  <c r="F24" i="11" s="1"/>
  <c r="D34" i="11"/>
  <c r="F34" i="11" s="1"/>
  <c r="E34" i="11"/>
  <c r="E2" i="11"/>
  <c r="D7" i="11"/>
  <c r="D15" i="11"/>
  <c r="E15" i="11"/>
  <c r="F15" i="11" s="1"/>
  <c r="E104" i="10"/>
  <c r="D104" i="10"/>
  <c r="F104" i="10" s="1"/>
  <c r="E50" i="10"/>
  <c r="D50" i="10"/>
  <c r="F50" i="10" s="1"/>
  <c r="D49" i="10"/>
  <c r="F49" i="10" s="1"/>
  <c r="E49" i="10"/>
  <c r="D55" i="10"/>
  <c r="E55" i="10"/>
  <c r="F55" i="10" s="1"/>
  <c r="D89" i="10"/>
  <c r="E89" i="10" s="1"/>
  <c r="D51" i="10"/>
  <c r="D95" i="10"/>
  <c r="E95" i="10" s="1"/>
  <c r="D92" i="10"/>
  <c r="E86" i="10"/>
  <c r="D86" i="10"/>
  <c r="E42" i="10"/>
  <c r="D42" i="10"/>
  <c r="F42" i="10" s="1"/>
  <c r="D37" i="9"/>
  <c r="E37" i="9" s="1"/>
  <c r="F37" i="9" s="1"/>
  <c r="D15" i="8"/>
  <c r="E15" i="8"/>
  <c r="E97" i="8"/>
  <c r="D97" i="8"/>
  <c r="E59" i="8"/>
  <c r="D59" i="8"/>
  <c r="F59" i="8" s="1"/>
  <c r="D53" i="9"/>
  <c r="E53" i="9" s="1"/>
  <c r="D42" i="9"/>
  <c r="E42" i="9"/>
  <c r="F42" i="9" s="1"/>
  <c r="E35" i="9"/>
  <c r="D35" i="9"/>
  <c r="F35" i="9" s="1"/>
  <c r="D62" i="9"/>
  <c r="D50" i="9"/>
  <c r="D22" i="9"/>
  <c r="F22" i="9" s="1"/>
  <c r="E22" i="9"/>
  <c r="E9" i="9"/>
  <c r="D9" i="9"/>
  <c r="F9" i="9" s="1"/>
  <c r="E66" i="9"/>
  <c r="D66" i="9"/>
  <c r="F66" i="9" s="1"/>
  <c r="D12" i="8"/>
  <c r="E3" i="8" s="1"/>
  <c r="B18" i="4"/>
  <c r="Q18" i="4" s="1"/>
  <c r="Q8" i="4"/>
  <c r="F2" i="4" s="1"/>
  <c r="B15" i="4"/>
  <c r="Q5" i="4"/>
  <c r="C2" i="4" s="1"/>
  <c r="I17" i="4"/>
  <c r="K16" i="4"/>
  <c r="B10" i="8"/>
  <c r="B21" i="8"/>
  <c r="B41" i="8"/>
  <c r="B73" i="8"/>
  <c r="B105" i="8"/>
  <c r="M12" i="8"/>
  <c r="M90" i="8"/>
  <c r="B54" i="9"/>
  <c r="F20" i="8"/>
  <c r="M44" i="8"/>
  <c r="F69" i="8"/>
  <c r="B91" i="8"/>
  <c r="M108" i="8"/>
  <c r="M39" i="9"/>
  <c r="M18" i="8"/>
  <c r="F39" i="8"/>
  <c r="B61" i="8"/>
  <c r="B79" i="8"/>
  <c r="F103" i="8"/>
  <c r="B65" i="8"/>
  <c r="B97" i="8"/>
  <c r="M10" i="8"/>
  <c r="F31" i="8"/>
  <c r="M82" i="8"/>
  <c r="M56" i="9"/>
  <c r="B29" i="8"/>
  <c r="B51" i="8"/>
  <c r="M68" i="8"/>
  <c r="F93" i="8"/>
  <c r="B11" i="9"/>
  <c r="M11" i="8"/>
  <c r="M34" i="8"/>
  <c r="B55" i="8"/>
  <c r="F79" i="8"/>
  <c r="B101" i="8"/>
  <c r="F39" i="9"/>
  <c r="F56" i="8"/>
  <c r="M78" i="8"/>
  <c r="B100" i="8"/>
  <c r="B18" i="9"/>
  <c r="M60" i="9"/>
  <c r="M46" i="10"/>
  <c r="M28" i="9"/>
  <c r="B64" i="9"/>
  <c r="M10" i="9"/>
  <c r="M53" i="9"/>
  <c r="B26" i="10"/>
  <c r="B22" i="8"/>
  <c r="F42" i="8"/>
  <c r="M64" i="8"/>
  <c r="B86" i="8"/>
  <c r="F106" i="8"/>
  <c r="B23" i="9"/>
  <c r="F52" i="9"/>
  <c r="B37" i="10"/>
  <c r="M24" i="9"/>
  <c r="B46" i="9"/>
  <c r="F24" i="10"/>
  <c r="B39" i="9"/>
  <c r="M61" i="9"/>
  <c r="B89" i="10"/>
  <c r="B90" i="10"/>
  <c r="F13" i="10"/>
  <c r="M33" i="10"/>
  <c r="M66" i="10"/>
  <c r="M38" i="10"/>
  <c r="M65" i="10"/>
  <c r="B7" i="10"/>
  <c r="M29" i="10"/>
  <c r="M63" i="10"/>
  <c r="F29" i="10"/>
  <c r="B50" i="10"/>
  <c r="M46" i="9"/>
  <c r="M65" i="9"/>
  <c r="B27" i="10"/>
  <c r="B61" i="10"/>
  <c r="B4" i="12"/>
  <c r="B66" i="10"/>
  <c r="M87" i="10"/>
  <c r="B58" i="12"/>
  <c r="B67" i="12"/>
  <c r="B23" i="11"/>
  <c r="B59" i="10"/>
  <c r="F86" i="10"/>
  <c r="B10" i="11"/>
  <c r="B14" i="10"/>
  <c r="M56" i="10"/>
  <c r="B78" i="10"/>
  <c r="F33" i="11"/>
  <c r="B96" i="10"/>
  <c r="B41" i="12"/>
  <c r="B75" i="10"/>
  <c r="B9" i="12"/>
  <c r="AB98" i="13"/>
  <c r="M73" i="10"/>
  <c r="B95" i="10"/>
  <c r="AB48" i="13"/>
  <c r="B90" i="12"/>
  <c r="B98" i="10"/>
  <c r="B28" i="12"/>
  <c r="AB21" i="13"/>
  <c r="AB193" i="13"/>
  <c r="AB254" i="13"/>
  <c r="B49" i="12"/>
  <c r="AB60" i="13"/>
  <c r="B27" i="11"/>
  <c r="B64" i="12"/>
  <c r="AB120" i="13"/>
  <c r="B79" i="12"/>
  <c r="AB56" i="13"/>
  <c r="AB133" i="13"/>
  <c r="AB283" i="13"/>
  <c r="B34" i="12"/>
  <c r="AB5" i="13"/>
  <c r="AB67" i="13"/>
  <c r="AB155" i="13"/>
  <c r="AB93" i="13"/>
  <c r="AB211" i="13"/>
  <c r="AB159" i="13"/>
  <c r="AB58" i="13"/>
  <c r="AB111" i="13"/>
  <c r="AB175" i="13"/>
  <c r="AB291" i="13"/>
  <c r="AB124" i="13"/>
  <c r="AB230" i="13"/>
  <c r="AB191" i="13"/>
  <c r="AB257" i="13"/>
  <c r="M99" i="10"/>
  <c r="B54" i="12"/>
  <c r="AB12" i="13"/>
  <c r="AB73" i="13"/>
  <c r="AB150" i="13"/>
  <c r="AB239" i="13"/>
  <c r="AB303" i="13"/>
  <c r="AB202" i="13"/>
  <c r="AB264" i="13"/>
  <c r="AB198" i="13"/>
  <c r="AB260" i="13"/>
  <c r="AB95" i="13"/>
  <c r="AB156" i="13"/>
  <c r="AB218" i="13"/>
  <c r="AB282" i="13"/>
  <c r="P63" i="1"/>
  <c r="H63" i="1"/>
  <c r="C4" i="1"/>
  <c r="H82" i="1"/>
  <c r="P82" i="1"/>
  <c r="O6" i="1"/>
  <c r="H14" i="1"/>
  <c r="A2" i="11"/>
  <c r="H58" i="1"/>
  <c r="P58" i="1"/>
  <c r="H50" i="1"/>
  <c r="P50" i="1"/>
  <c r="H42" i="1"/>
  <c r="P42" i="1"/>
  <c r="H34" i="1"/>
  <c r="P34" i="1"/>
  <c r="H26" i="1"/>
  <c r="P26" i="1"/>
  <c r="Q8" i="1"/>
  <c r="H87" i="1"/>
  <c r="P87" i="1"/>
  <c r="P100" i="1"/>
  <c r="H100" i="1"/>
  <c r="P83" i="1"/>
  <c r="H83" i="1"/>
  <c r="P111" i="1"/>
  <c r="H111" i="1"/>
  <c r="H77" i="1"/>
  <c r="P77" i="1"/>
  <c r="H109" i="1"/>
  <c r="P109" i="1"/>
  <c r="H137" i="1"/>
  <c r="P137" i="1"/>
  <c r="H210" i="1"/>
  <c r="P210" i="1"/>
  <c r="P203" i="1"/>
  <c r="H203" i="1"/>
  <c r="P156" i="1"/>
  <c r="H156" i="1"/>
  <c r="O59" i="1"/>
  <c r="O63" i="1"/>
  <c r="O67" i="1"/>
  <c r="O71" i="1"/>
  <c r="O75" i="1"/>
  <c r="O79" i="1"/>
  <c r="O83" i="1"/>
  <c r="O87" i="1"/>
  <c r="O91" i="1"/>
  <c r="O95" i="1"/>
  <c r="O99" i="1"/>
  <c r="O103" i="1"/>
  <c r="O107" i="1"/>
  <c r="O111" i="1"/>
  <c r="P138" i="1"/>
  <c r="H138" i="1"/>
  <c r="H162" i="1"/>
  <c r="P162" i="1"/>
  <c r="H132" i="1"/>
  <c r="P132" i="1"/>
  <c r="P171" i="1"/>
  <c r="H171" i="1"/>
  <c r="P191" i="1"/>
  <c r="H191" i="1"/>
  <c r="P164" i="1"/>
  <c r="H164" i="1"/>
  <c r="P196" i="1"/>
  <c r="H196" i="1"/>
  <c r="P182" i="1"/>
  <c r="H182" i="1"/>
  <c r="H212" i="1"/>
  <c r="P212" i="1"/>
  <c r="H160" i="1"/>
  <c r="P160" i="1"/>
  <c r="H192" i="1"/>
  <c r="P192" i="1"/>
  <c r="P221" i="1"/>
  <c r="H221" i="1"/>
  <c r="H269" i="1"/>
  <c r="P269" i="1"/>
  <c r="P271" i="1"/>
  <c r="H271" i="1"/>
  <c r="P244" i="1"/>
  <c r="H244" i="1"/>
  <c r="P226" i="1"/>
  <c r="H226" i="1"/>
  <c r="H316" i="1"/>
  <c r="P316" i="1"/>
  <c r="P283" i="1"/>
  <c r="H283" i="1"/>
  <c r="O117" i="1"/>
  <c r="O121" i="1"/>
  <c r="O125" i="1"/>
  <c r="O129" i="1"/>
  <c r="O133" i="1"/>
  <c r="O137" i="1"/>
  <c r="O141" i="1"/>
  <c r="O145" i="1"/>
  <c r="O149" i="1"/>
  <c r="O153" i="1"/>
  <c r="O157" i="1"/>
  <c r="O161" i="1"/>
  <c r="O165" i="1"/>
  <c r="O169" i="1"/>
  <c r="O173" i="1"/>
  <c r="O177" i="1"/>
  <c r="O181" i="1"/>
  <c r="O185" i="1"/>
  <c r="O189" i="1"/>
  <c r="O193" i="1"/>
  <c r="O197" i="1"/>
  <c r="O201" i="1"/>
  <c r="O205" i="1"/>
  <c r="O209" i="1"/>
  <c r="O213" i="1"/>
  <c r="O217" i="1"/>
  <c r="O221" i="1"/>
  <c r="O225" i="1"/>
  <c r="O229" i="1"/>
  <c r="O233" i="1"/>
  <c r="H265" i="1"/>
  <c r="P265" i="1"/>
  <c r="H308" i="1"/>
  <c r="P308" i="1"/>
  <c r="H334" i="1"/>
  <c r="P334" i="1"/>
  <c r="H251" i="1"/>
  <c r="P251" i="1"/>
  <c r="O311" i="1"/>
  <c r="P294" i="1"/>
  <c r="H294" i="1"/>
  <c r="O310" i="1"/>
  <c r="P289" i="1"/>
  <c r="H289" i="1"/>
  <c r="P293" i="1"/>
  <c r="H293" i="1"/>
  <c r="O305" i="1"/>
  <c r="O321" i="1"/>
  <c r="O337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O289" i="1"/>
  <c r="H306" i="1"/>
  <c r="P306" i="1"/>
  <c r="H322" i="1"/>
  <c r="P322" i="1"/>
  <c r="M120" i="1"/>
  <c r="M74" i="1"/>
  <c r="M106" i="1"/>
  <c r="M68" i="1"/>
  <c r="M100" i="1"/>
  <c r="M124" i="1"/>
  <c r="M97" i="1"/>
  <c r="M148" i="1"/>
  <c r="M187" i="1"/>
  <c r="M149" i="1"/>
  <c r="M195" i="1"/>
  <c r="M136" i="1"/>
  <c r="M166" i="1"/>
  <c r="M114" i="1"/>
  <c r="M141" i="1"/>
  <c r="M217" i="1"/>
  <c r="M218" i="1"/>
  <c r="M181" i="1"/>
  <c r="M219" i="1"/>
  <c r="M215" i="1"/>
  <c r="M196" i="1"/>
  <c r="M161" i="1"/>
  <c r="M193" i="1"/>
  <c r="M248" i="1"/>
  <c r="M220" i="1"/>
  <c r="M221" i="1"/>
  <c r="M237" i="1"/>
  <c r="M278" i="1"/>
  <c r="M216" i="1"/>
  <c r="M259" i="1"/>
  <c r="M241" i="1"/>
  <c r="M265" i="1"/>
  <c r="M289" i="1"/>
  <c r="M277" i="1"/>
  <c r="M250" i="1"/>
  <c r="M236" i="1"/>
  <c r="M268" i="1"/>
  <c r="M300" i="1"/>
  <c r="M308" i="1"/>
  <c r="M316" i="1"/>
  <c r="M324" i="1"/>
  <c r="M332" i="1"/>
  <c r="G14" i="1"/>
  <c r="K14" i="1"/>
  <c r="D21" i="10"/>
  <c r="E28" i="10"/>
  <c r="D28" i="10"/>
  <c r="F28" i="10" s="1"/>
  <c r="E57" i="8"/>
  <c r="D57" i="8"/>
  <c r="F57" i="8" s="1"/>
  <c r="D18" i="11"/>
  <c r="D34" i="10"/>
  <c r="E35" i="11"/>
  <c r="D35" i="11"/>
  <c r="F35" i="11" s="1"/>
  <c r="E36" i="11"/>
  <c r="F36" i="11" s="1"/>
  <c r="D36" i="11"/>
  <c r="D82" i="10"/>
  <c r="D44" i="10"/>
  <c r="F44" i="10" s="1"/>
  <c r="E44" i="10"/>
  <c r="E63" i="10"/>
  <c r="F63" i="10" s="1"/>
  <c r="D63" i="10"/>
  <c r="E59" i="10"/>
  <c r="D59" i="10"/>
  <c r="F59" i="10" s="1"/>
  <c r="D99" i="10"/>
  <c r="E99" i="10"/>
  <c r="F99" i="10" s="1"/>
  <c r="D37" i="10"/>
  <c r="E37" i="10" s="1"/>
  <c r="F37" i="10" s="1"/>
  <c r="E31" i="9"/>
  <c r="D31" i="9"/>
  <c r="E41" i="8"/>
  <c r="F41" i="8" s="1"/>
  <c r="D41" i="8"/>
  <c r="D105" i="8"/>
  <c r="D67" i="8"/>
  <c r="E51" i="9"/>
  <c r="D51" i="9"/>
  <c r="F51" i="9" s="1"/>
  <c r="E32" i="9"/>
  <c r="D32" i="9"/>
  <c r="F32" i="9" s="1"/>
  <c r="D36" i="9"/>
  <c r="D63" i="9"/>
  <c r="E63" i="9"/>
  <c r="E64" i="9"/>
  <c r="D64" i="9"/>
  <c r="F64" i="9" s="1"/>
  <c r="D23" i="9"/>
  <c r="D17" i="9"/>
  <c r="F17" i="9" s="1"/>
  <c r="E17" i="9"/>
  <c r="D40" i="8"/>
  <c r="E40" i="8" s="1"/>
  <c r="D17" i="4"/>
  <c r="Q11" i="4"/>
  <c r="O16" i="4"/>
  <c r="D25" i="2"/>
  <c r="M41" i="8"/>
  <c r="M73" i="8"/>
  <c r="M105" i="8"/>
  <c r="F15" i="8"/>
  <c r="B42" i="8"/>
  <c r="B106" i="8"/>
  <c r="M55" i="9"/>
  <c r="M22" i="8"/>
  <c r="F52" i="8"/>
  <c r="F70" i="8"/>
  <c r="M91" i="8"/>
  <c r="M11" i="9"/>
  <c r="B42" i="9"/>
  <c r="M61" i="8"/>
  <c r="M79" i="8"/>
  <c r="M66" i="9"/>
  <c r="M65" i="8"/>
  <c r="M97" i="8"/>
  <c r="F13" i="8"/>
  <c r="M33" i="8"/>
  <c r="B98" i="8"/>
  <c r="B61" i="9"/>
  <c r="F32" i="8"/>
  <c r="M51" i="8"/>
  <c r="F76" i="8"/>
  <c r="F94" i="8"/>
  <c r="M16" i="9"/>
  <c r="F14" i="8"/>
  <c r="F37" i="8"/>
  <c r="M55" i="8"/>
  <c r="F81" i="8"/>
  <c r="M101" i="8"/>
  <c r="F63" i="9"/>
  <c r="B60" i="8"/>
  <c r="F80" i="8"/>
  <c r="M102" i="8"/>
  <c r="M25" i="9"/>
  <c r="M67" i="9"/>
  <c r="B63" i="10"/>
  <c r="M64" i="9"/>
  <c r="F13" i="9"/>
  <c r="F58" i="9"/>
  <c r="B25" i="10"/>
  <c r="M27" i="10"/>
  <c r="M24" i="8"/>
  <c r="B46" i="8"/>
  <c r="M88" i="8"/>
  <c r="B110" i="8"/>
  <c r="M23" i="9"/>
  <c r="M57" i="9"/>
  <c r="B53" i="10"/>
  <c r="F31" i="9"/>
  <c r="B47" i="9"/>
  <c r="B35" i="10"/>
  <c r="B43" i="9"/>
  <c r="M14" i="10"/>
  <c r="B74" i="10"/>
  <c r="B42" i="10"/>
  <c r="M49" i="10"/>
  <c r="B15" i="10"/>
  <c r="M37" i="10"/>
  <c r="B68" i="10"/>
  <c r="F41" i="10"/>
  <c r="M11" i="10"/>
  <c r="M34" i="10"/>
  <c r="B65" i="10"/>
  <c r="B8" i="10"/>
  <c r="B31" i="10"/>
  <c r="M50" i="10"/>
  <c r="B106" i="10"/>
  <c r="B28" i="9"/>
  <c r="B9" i="10"/>
  <c r="M31" i="10"/>
  <c r="F64" i="10"/>
  <c r="B55" i="12"/>
  <c r="B56" i="12"/>
  <c r="M68" i="10"/>
  <c r="AB2" i="13"/>
  <c r="AB18" i="13"/>
  <c r="M61" i="10"/>
  <c r="B92" i="10"/>
  <c r="B35" i="12"/>
  <c r="M16" i="10"/>
  <c r="B38" i="10"/>
  <c r="F58" i="10"/>
  <c r="M78" i="10"/>
  <c r="M103" i="10"/>
  <c r="B42" i="11"/>
  <c r="B47" i="12"/>
  <c r="B66" i="12"/>
  <c r="M77" i="10"/>
  <c r="M96" i="10"/>
  <c r="B48" i="12"/>
  <c r="AB125" i="13"/>
  <c r="F75" i="10"/>
  <c r="B21" i="11"/>
  <c r="AB54" i="13"/>
  <c r="B101" i="12"/>
  <c r="M102" i="10"/>
  <c r="F22" i="11"/>
  <c r="B45" i="12"/>
  <c r="AB25" i="13"/>
  <c r="AB201" i="13"/>
  <c r="AB293" i="13"/>
  <c r="B63" i="12"/>
  <c r="AB75" i="13"/>
  <c r="B28" i="11"/>
  <c r="B75" i="12"/>
  <c r="AB130" i="13"/>
  <c r="B88" i="12"/>
  <c r="AB62" i="13"/>
  <c r="AB142" i="13"/>
  <c r="F20" i="11"/>
  <c r="B43" i="12"/>
  <c r="AB11" i="13"/>
  <c r="AB85" i="13"/>
  <c r="AB165" i="13"/>
  <c r="AB107" i="13"/>
  <c r="AB262" i="13"/>
  <c r="AB238" i="13"/>
  <c r="AB64" i="13"/>
  <c r="AB135" i="13"/>
  <c r="AB189" i="13"/>
  <c r="AB69" i="13"/>
  <c r="AB129" i="13"/>
  <c r="AB237" i="13"/>
  <c r="AB199" i="13"/>
  <c r="AB265" i="13"/>
  <c r="B62" i="12"/>
  <c r="AB19" i="13"/>
  <c r="AB81" i="13"/>
  <c r="AB168" i="13"/>
  <c r="AB247" i="13"/>
  <c r="AB167" i="13"/>
  <c r="AB208" i="13"/>
  <c r="AB272" i="13"/>
  <c r="AB204" i="13"/>
  <c r="AB268" i="13"/>
  <c r="AB103" i="13"/>
  <c r="AB164" i="13"/>
  <c r="AB226" i="13"/>
  <c r="AB290" i="13"/>
  <c r="H71" i="1"/>
  <c r="P71" i="1"/>
  <c r="L9" i="1"/>
  <c r="L8" i="1" s="1"/>
  <c r="M57" i="1"/>
  <c r="M53" i="1"/>
  <c r="M49" i="1"/>
  <c r="M45" i="1"/>
  <c r="M41" i="1"/>
  <c r="M37" i="1"/>
  <c r="M33" i="1"/>
  <c r="M29" i="1"/>
  <c r="M25" i="1"/>
  <c r="N8" i="1"/>
  <c r="P80" i="1"/>
  <c r="H80" i="1"/>
  <c r="P66" i="1"/>
  <c r="H66" i="1"/>
  <c r="M58" i="1"/>
  <c r="G6" i="1"/>
  <c r="P70" i="1"/>
  <c r="H70" i="1"/>
  <c r="O56" i="1"/>
  <c r="O52" i="1"/>
  <c r="O48" i="1"/>
  <c r="O44" i="1"/>
  <c r="O40" i="1"/>
  <c r="O36" i="1"/>
  <c r="O32" i="1"/>
  <c r="O28" i="1"/>
  <c r="O24" i="1"/>
  <c r="A2" i="9"/>
  <c r="H57" i="1"/>
  <c r="P57" i="1"/>
  <c r="H49" i="1"/>
  <c r="P49" i="1"/>
  <c r="H41" i="1"/>
  <c r="P41" i="1"/>
  <c r="H33" i="1"/>
  <c r="P33" i="1"/>
  <c r="H25" i="1"/>
  <c r="H1" i="1" s="1" a="1"/>
  <c r="H1" i="1" s="1"/>
  <c r="P25" i="1"/>
  <c r="I9" i="1"/>
  <c r="I8" i="1" s="1"/>
  <c r="H106" i="1"/>
  <c r="P106" i="1"/>
  <c r="P128" i="1"/>
  <c r="H128" i="1"/>
  <c r="P81" i="1"/>
  <c r="H81" i="1"/>
  <c r="P110" i="1"/>
  <c r="H110" i="1"/>
  <c r="P86" i="1"/>
  <c r="H86" i="1"/>
  <c r="P115" i="1"/>
  <c r="H115" i="1"/>
  <c r="P104" i="1"/>
  <c r="H104" i="1"/>
  <c r="P112" i="1"/>
  <c r="H112" i="1"/>
  <c r="P139" i="1"/>
  <c r="H139" i="1"/>
  <c r="P125" i="1"/>
  <c r="H125" i="1"/>
  <c r="P151" i="1"/>
  <c r="H151" i="1"/>
  <c r="P135" i="1"/>
  <c r="H135" i="1"/>
  <c r="P163" i="1"/>
  <c r="H163" i="1"/>
  <c r="P169" i="1"/>
  <c r="H169" i="1"/>
  <c r="H206" i="1"/>
  <c r="P206" i="1"/>
  <c r="H228" i="1"/>
  <c r="P228" i="1"/>
  <c r="P195" i="1"/>
  <c r="H195" i="1"/>
  <c r="H255" i="1"/>
  <c r="P255" i="1"/>
  <c r="P229" i="1"/>
  <c r="H229" i="1"/>
  <c r="H253" i="1"/>
  <c r="P253" i="1"/>
  <c r="P234" i="1"/>
  <c r="H234" i="1"/>
  <c r="P270" i="1"/>
  <c r="H270" i="1"/>
  <c r="P284" i="1"/>
  <c r="H284" i="1"/>
  <c r="O323" i="1"/>
  <c r="P336" i="1"/>
  <c r="H336" i="1"/>
  <c r="O299" i="1"/>
  <c r="H318" i="1"/>
  <c r="P318" i="1"/>
  <c r="O298" i="1"/>
  <c r="P312" i="1"/>
  <c r="H312" i="1"/>
  <c r="O318" i="1"/>
  <c r="P327" i="1"/>
  <c r="H327" i="1"/>
  <c r="O309" i="1"/>
  <c r="O325" i="1"/>
  <c r="M99" i="1"/>
  <c r="M80" i="1"/>
  <c r="M101" i="1"/>
  <c r="M71" i="1"/>
  <c r="M103" i="1"/>
  <c r="M78" i="1"/>
  <c r="M121" i="1"/>
  <c r="M190" i="1"/>
  <c r="M150" i="1"/>
  <c r="M118" i="1"/>
  <c r="M155" i="1"/>
  <c r="M198" i="1"/>
  <c r="M174" i="1"/>
  <c r="M179" i="1"/>
  <c r="M247" i="1"/>
  <c r="M154" i="1"/>
  <c r="M186" i="1"/>
  <c r="M159" i="1"/>
  <c r="M191" i="1"/>
  <c r="M231" i="1"/>
  <c r="M261" i="1"/>
  <c r="M283" i="1"/>
  <c r="M288" i="1"/>
  <c r="M286" i="1"/>
  <c r="M301" i="1"/>
  <c r="M309" i="1"/>
  <c r="M317" i="1"/>
  <c r="M325" i="1"/>
  <c r="M333" i="1"/>
  <c r="R14" i="1"/>
  <c r="E87" i="10"/>
  <c r="D87" i="10"/>
  <c r="F87" i="10" s="1"/>
  <c r="E112" i="10"/>
  <c r="D112" i="10"/>
  <c r="F112" i="10" s="1"/>
  <c r="D8" i="10"/>
  <c r="E8" i="10" s="1"/>
  <c r="D41" i="11"/>
  <c r="E41" i="11" s="1"/>
  <c r="E38" i="11"/>
  <c r="D38" i="11"/>
  <c r="F38" i="11" s="1"/>
  <c r="E21" i="11"/>
  <c r="F21" i="11" s="1"/>
  <c r="D21" i="11"/>
  <c r="D40" i="10"/>
  <c r="E40" i="10" s="1"/>
  <c r="D103" i="10"/>
  <c r="E103" i="10" s="1"/>
  <c r="F103" i="10" s="1"/>
  <c r="E90" i="10"/>
  <c r="D90" i="10"/>
  <c r="F90" i="10" s="1"/>
  <c r="D80" i="10"/>
  <c r="E80" i="10" s="1"/>
  <c r="D81" i="10"/>
  <c r="E81" i="10" s="1"/>
  <c r="D66" i="8"/>
  <c r="E66" i="8"/>
  <c r="F66" i="8" s="1"/>
  <c r="E11" i="11"/>
  <c r="F11" i="11" s="1"/>
  <c r="D11" i="11"/>
  <c r="D10" i="11"/>
  <c r="E42" i="11"/>
  <c r="D42" i="11"/>
  <c r="F42" i="11" s="1"/>
  <c r="D29" i="11"/>
  <c r="E25" i="11"/>
  <c r="D25" i="11"/>
  <c r="F25" i="11" s="1"/>
  <c r="E31" i="10"/>
  <c r="D31" i="10"/>
  <c r="F31" i="10" s="1"/>
  <c r="D26" i="10"/>
  <c r="E26" i="10" s="1"/>
  <c r="D66" i="10"/>
  <c r="E66" i="10" s="1"/>
  <c r="E101" i="10"/>
  <c r="F101" i="10" s="1"/>
  <c r="D101" i="10"/>
  <c r="E91" i="10"/>
  <c r="D91" i="10"/>
  <c r="F91" i="10" s="1"/>
  <c r="E67" i="10"/>
  <c r="D67" i="10"/>
  <c r="F67" i="10" s="1"/>
  <c r="D88" i="10"/>
  <c r="E88" i="10" s="1"/>
  <c r="E100" i="10"/>
  <c r="D100" i="10"/>
  <c r="F100" i="10" s="1"/>
  <c r="D68" i="10"/>
  <c r="D33" i="10"/>
  <c r="I3" i="9"/>
  <c r="D49" i="8"/>
  <c r="D11" i="8"/>
  <c r="F11" i="8" s="1"/>
  <c r="E11" i="8"/>
  <c r="D75" i="8"/>
  <c r="D46" i="9"/>
  <c r="E46" i="9" s="1"/>
  <c r="F46" i="9" s="1"/>
  <c r="D10" i="9"/>
  <c r="D12" i="9"/>
  <c r="F12" i="9" s="1"/>
  <c r="E12" i="9"/>
  <c r="D45" i="9"/>
  <c r="F45" i="9" s="1"/>
  <c r="E45" i="9"/>
  <c r="D25" i="9"/>
  <c r="E25" i="9" s="1"/>
  <c r="D72" i="8"/>
  <c r="E72" i="8" s="1"/>
  <c r="I5" i="8"/>
  <c r="P15" i="4"/>
  <c r="P16" i="4"/>
  <c r="P18" i="1"/>
  <c r="N4" i="1"/>
  <c r="N6" i="1"/>
  <c r="M5" i="1"/>
  <c r="M4" i="1" s="1"/>
  <c r="M14" i="8"/>
  <c r="F17" i="8"/>
  <c r="B26" i="8"/>
  <c r="M7" i="9"/>
  <c r="M17" i="8"/>
  <c r="M42" i="8"/>
  <c r="M106" i="8"/>
  <c r="B62" i="9"/>
  <c r="F25" i="8"/>
  <c r="F53" i="8"/>
  <c r="B75" i="8"/>
  <c r="M92" i="8"/>
  <c r="B14" i="9"/>
  <c r="M43" i="9"/>
  <c r="B23" i="8"/>
  <c r="B45" i="8"/>
  <c r="B63" i="8"/>
  <c r="F87" i="8"/>
  <c r="B109" i="8"/>
  <c r="F43" i="8"/>
  <c r="B15" i="8"/>
  <c r="M37" i="8"/>
  <c r="M98" i="8"/>
  <c r="B63" i="9"/>
  <c r="B34" i="8"/>
  <c r="M52" i="8"/>
  <c r="F77" i="8"/>
  <c r="B99" i="8"/>
  <c r="M32" i="9"/>
  <c r="B16" i="8"/>
  <c r="B39" i="8"/>
  <c r="F63" i="8"/>
  <c r="B85" i="8"/>
  <c r="B103" i="8"/>
  <c r="M62" i="8"/>
  <c r="B84" i="8"/>
  <c r="F104" i="8"/>
  <c r="B37" i="9"/>
  <c r="B10" i="9"/>
  <c r="B40" i="9"/>
  <c r="B66" i="9"/>
  <c r="M15" i="9"/>
  <c r="F38" i="9"/>
  <c r="F59" i="9"/>
  <c r="M13" i="10"/>
  <c r="M36" i="10"/>
  <c r="F26" i="8"/>
  <c r="M48" i="8"/>
  <c r="B70" i="8"/>
  <c r="F90" i="8"/>
  <c r="B8" i="9"/>
  <c r="M7" i="10"/>
  <c r="M8" i="9"/>
  <c r="M47" i="9"/>
  <c r="B49" i="10"/>
  <c r="M23" i="10"/>
  <c r="M80" i="10"/>
  <c r="B44" i="10"/>
  <c r="F57" i="10"/>
  <c r="M58" i="10"/>
  <c r="M19" i="10"/>
  <c r="M42" i="10"/>
  <c r="F74" i="10"/>
  <c r="B43" i="10"/>
  <c r="M72" i="10"/>
  <c r="F14" i="10"/>
  <c r="M71" i="10"/>
  <c r="M35" i="10"/>
  <c r="B52" i="10"/>
  <c r="M30" i="9"/>
  <c r="B52" i="9"/>
  <c r="B13" i="10"/>
  <c r="B36" i="10"/>
  <c r="F65" i="10"/>
  <c r="B95" i="12"/>
  <c r="F70" i="10"/>
  <c r="AB36" i="13"/>
  <c r="AB24" i="13"/>
  <c r="M92" i="10"/>
  <c r="B77" i="12"/>
  <c r="F18" i="10"/>
  <c r="M40" i="10"/>
  <c r="B62" i="10"/>
  <c r="M79" i="10"/>
  <c r="F106" i="10"/>
  <c r="B44" i="12"/>
  <c r="B103" i="10"/>
  <c r="B83" i="12"/>
  <c r="B91" i="12"/>
  <c r="F79" i="10"/>
  <c r="B108" i="10"/>
  <c r="B73" i="12"/>
  <c r="AB162" i="13"/>
  <c r="B79" i="10"/>
  <c r="B101" i="10"/>
  <c r="B26" i="11"/>
  <c r="AB71" i="13"/>
  <c r="AB10" i="13"/>
  <c r="B57" i="12"/>
  <c r="AB29" i="13"/>
  <c r="AB229" i="13"/>
  <c r="B31" i="11"/>
  <c r="B74" i="12"/>
  <c r="AB143" i="13"/>
  <c r="B29" i="11"/>
  <c r="B87" i="12"/>
  <c r="AB154" i="13"/>
  <c r="B97" i="12"/>
  <c r="AB68" i="13"/>
  <c r="AB161" i="13"/>
  <c r="B52" i="12"/>
  <c r="AB16" i="13"/>
  <c r="AB89" i="13"/>
  <c r="AB169" i="13"/>
  <c r="AB113" i="13"/>
  <c r="AB269" i="13"/>
  <c r="AB245" i="13"/>
  <c r="AB70" i="13"/>
  <c r="AB140" i="13"/>
  <c r="AB195" i="13"/>
  <c r="AB74" i="13"/>
  <c r="AB139" i="13"/>
  <c r="AB243" i="13"/>
  <c r="AB209" i="13"/>
  <c r="AB273" i="13"/>
  <c r="B105" i="10"/>
  <c r="B70" i="12"/>
  <c r="AB27" i="13"/>
  <c r="AB88" i="13"/>
  <c r="AB173" i="13"/>
  <c r="AB255" i="13"/>
  <c r="AB178" i="13"/>
  <c r="AB216" i="13"/>
  <c r="AB280" i="13"/>
  <c r="AB212" i="13"/>
  <c r="AB276" i="13"/>
  <c r="AB110" i="13"/>
  <c r="AB172" i="13"/>
  <c r="AB234" i="13"/>
  <c r="AB298" i="13"/>
  <c r="B13" i="1"/>
  <c r="D9" i="1"/>
  <c r="D8" i="1" s="1"/>
  <c r="H17" i="1"/>
  <c r="H16" i="1" s="1"/>
  <c r="P17" i="1"/>
  <c r="P16" i="1" s="1"/>
  <c r="F8" i="1"/>
  <c r="L18" i="1"/>
  <c r="M64" i="1"/>
  <c r="M67" i="1"/>
  <c r="H56" i="1"/>
  <c r="P56" i="1"/>
  <c r="H48" i="1"/>
  <c r="P48" i="1"/>
  <c r="H40" i="1"/>
  <c r="P40" i="1"/>
  <c r="H32" i="1"/>
  <c r="P32" i="1"/>
  <c r="H24" i="1"/>
  <c r="P24" i="1"/>
  <c r="Q18" i="1"/>
  <c r="K10" i="1"/>
  <c r="H95" i="1"/>
  <c r="P95" i="1"/>
  <c r="P130" i="1"/>
  <c r="H130" i="1"/>
  <c r="P108" i="1"/>
  <c r="H108" i="1"/>
  <c r="P114" i="1"/>
  <c r="H114" i="1"/>
  <c r="H142" i="1"/>
  <c r="P142" i="1"/>
  <c r="P91" i="1"/>
  <c r="H91" i="1"/>
  <c r="P122" i="1"/>
  <c r="H122" i="1"/>
  <c r="H85" i="1"/>
  <c r="P85" i="1"/>
  <c r="H145" i="1"/>
  <c r="P145" i="1"/>
  <c r="P136" i="1"/>
  <c r="H136" i="1"/>
  <c r="O60" i="1"/>
  <c r="O64" i="1"/>
  <c r="O68" i="1"/>
  <c r="O72" i="1"/>
  <c r="O76" i="1"/>
  <c r="O80" i="1"/>
  <c r="O84" i="1"/>
  <c r="O88" i="1"/>
  <c r="O92" i="1"/>
  <c r="O96" i="1"/>
  <c r="O100" i="1"/>
  <c r="O104" i="1"/>
  <c r="O108" i="1"/>
  <c r="O112" i="1"/>
  <c r="P155" i="1"/>
  <c r="H155" i="1"/>
  <c r="H154" i="1"/>
  <c r="P154" i="1"/>
  <c r="H140" i="1"/>
  <c r="P140" i="1"/>
  <c r="P199" i="1"/>
  <c r="H199" i="1"/>
  <c r="P172" i="1"/>
  <c r="H172" i="1"/>
  <c r="H218" i="1"/>
  <c r="P218" i="1"/>
  <c r="P190" i="1"/>
  <c r="H190" i="1"/>
  <c r="H232" i="1"/>
  <c r="P232" i="1"/>
  <c r="H168" i="1"/>
  <c r="P168" i="1"/>
  <c r="P200" i="1"/>
  <c r="H200" i="1"/>
  <c r="P238" i="1"/>
  <c r="H238" i="1"/>
  <c r="P214" i="1"/>
  <c r="H214" i="1"/>
  <c r="P209" i="1"/>
  <c r="H209" i="1"/>
  <c r="P252" i="1"/>
  <c r="H252" i="1"/>
  <c r="P240" i="1"/>
  <c r="H240" i="1"/>
  <c r="H310" i="1"/>
  <c r="P310" i="1"/>
  <c r="P277" i="1"/>
  <c r="H277" i="1"/>
  <c r="O306" i="1"/>
  <c r="P328" i="1"/>
  <c r="H328" i="1"/>
  <c r="O304" i="1"/>
  <c r="O118" i="1"/>
  <c r="O122" i="1"/>
  <c r="O126" i="1"/>
  <c r="O130" i="1"/>
  <c r="O134" i="1"/>
  <c r="O138" i="1"/>
  <c r="O142" i="1"/>
  <c r="O146" i="1"/>
  <c r="O150" i="1"/>
  <c r="O154" i="1"/>
  <c r="O158" i="1"/>
  <c r="O162" i="1"/>
  <c r="O166" i="1"/>
  <c r="O170" i="1"/>
  <c r="O174" i="1"/>
  <c r="O178" i="1"/>
  <c r="O182" i="1"/>
  <c r="O186" i="1"/>
  <c r="O190" i="1"/>
  <c r="O194" i="1"/>
  <c r="O198" i="1"/>
  <c r="O202" i="1"/>
  <c r="O206" i="1"/>
  <c r="O210" i="1"/>
  <c r="O214" i="1"/>
  <c r="O218" i="1"/>
  <c r="O222" i="1"/>
  <c r="O226" i="1"/>
  <c r="O230" i="1"/>
  <c r="P241" i="1"/>
  <c r="H241" i="1"/>
  <c r="H274" i="1"/>
  <c r="P274" i="1"/>
  <c r="H331" i="1"/>
  <c r="P331" i="1"/>
  <c r="H259" i="1"/>
  <c r="P259" i="1"/>
  <c r="H319" i="1"/>
  <c r="P319" i="1"/>
  <c r="O300" i="1"/>
  <c r="P315" i="1"/>
  <c r="H315" i="1"/>
  <c r="P320" i="1"/>
  <c r="H320" i="1"/>
  <c r="O328" i="1"/>
  <c r="P295" i="1"/>
  <c r="H295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O290" i="1"/>
  <c r="O294" i="1"/>
  <c r="M135" i="1"/>
  <c r="M82" i="1"/>
  <c r="M76" i="1"/>
  <c r="M108" i="1"/>
  <c r="M105" i="1"/>
  <c r="M168" i="1"/>
  <c r="M156" i="1"/>
  <c r="M131" i="1"/>
  <c r="M144" i="1"/>
  <c r="M182" i="1"/>
  <c r="M117" i="1"/>
  <c r="M152" i="1"/>
  <c r="M189" i="1"/>
  <c r="M172" i="1"/>
  <c r="M210" i="1"/>
  <c r="M169" i="1"/>
  <c r="M223" i="1"/>
  <c r="M256" i="1"/>
  <c r="M271" i="1"/>
  <c r="M228" i="1"/>
  <c r="M229" i="1"/>
  <c r="M245" i="1"/>
  <c r="M224" i="1"/>
  <c r="M249" i="1"/>
  <c r="M276" i="1"/>
  <c r="M258" i="1"/>
  <c r="M291" i="1"/>
  <c r="M244" i="1"/>
  <c r="M274" i="1"/>
  <c r="M292" i="1"/>
  <c r="M302" i="1"/>
  <c r="M310" i="1"/>
  <c r="M318" i="1"/>
  <c r="M326" i="1"/>
  <c r="M334" i="1"/>
  <c r="G3" i="8" l="1"/>
  <c r="B5" i="1"/>
  <c r="I27" i="11"/>
  <c r="J27" i="11"/>
  <c r="G27" i="11"/>
  <c r="H27" i="11"/>
  <c r="G98" i="10"/>
  <c r="J98" i="10"/>
  <c r="I98" i="10"/>
  <c r="H98" i="10"/>
  <c r="F95" i="10"/>
  <c r="G7" i="10"/>
  <c r="I7" i="10"/>
  <c r="H7" i="10"/>
  <c r="J7" i="10"/>
  <c r="H89" i="10"/>
  <c r="J89" i="10"/>
  <c r="I89" i="10"/>
  <c r="G89" i="10"/>
  <c r="I37" i="10"/>
  <c r="H37" i="10"/>
  <c r="G37" i="10"/>
  <c r="J37" i="10"/>
  <c r="J26" i="10"/>
  <c r="H26" i="10"/>
  <c r="G26" i="10"/>
  <c r="I26" i="10"/>
  <c r="G55" i="8"/>
  <c r="I55" i="8"/>
  <c r="J55" i="8"/>
  <c r="H55" i="8"/>
  <c r="G79" i="8"/>
  <c r="I79" i="8"/>
  <c r="J79" i="8"/>
  <c r="H79" i="8"/>
  <c r="I41" i="8"/>
  <c r="J41" i="8"/>
  <c r="H41" i="8"/>
  <c r="G41" i="8"/>
  <c r="O12" i="1"/>
  <c r="O14" i="1"/>
  <c r="I17" i="10"/>
  <c r="J17" i="10"/>
  <c r="G17" i="10"/>
  <c r="H17" i="10"/>
  <c r="H82" i="8"/>
  <c r="J82" i="8"/>
  <c r="I82" i="8"/>
  <c r="G82" i="8"/>
  <c r="H18" i="8"/>
  <c r="G18" i="8"/>
  <c r="J18" i="8"/>
  <c r="I18" i="8"/>
  <c r="I17" i="8"/>
  <c r="J17" i="8"/>
  <c r="H17" i="8"/>
  <c r="G17" i="8"/>
  <c r="G2" i="9"/>
  <c r="F2" i="9"/>
  <c r="J30" i="10"/>
  <c r="H30" i="10"/>
  <c r="I30" i="10"/>
  <c r="G30" i="10"/>
  <c r="I86" i="10"/>
  <c r="H86" i="10"/>
  <c r="G86" i="10"/>
  <c r="J86" i="10"/>
  <c r="J20" i="9"/>
  <c r="I20" i="9"/>
  <c r="G20" i="9"/>
  <c r="H20" i="9"/>
  <c r="J21" i="10"/>
  <c r="H21" i="10"/>
  <c r="I21" i="10"/>
  <c r="G21" i="10"/>
  <c r="G45" i="9"/>
  <c r="H45" i="9"/>
  <c r="I45" i="9"/>
  <c r="J45" i="9"/>
  <c r="H12" i="10"/>
  <c r="J12" i="10"/>
  <c r="G12" i="10"/>
  <c r="I12" i="10"/>
  <c r="J9" i="9"/>
  <c r="I9" i="9"/>
  <c r="H9" i="9"/>
  <c r="G9" i="9"/>
  <c r="H12" i="8"/>
  <c r="J12" i="8"/>
  <c r="I12" i="8"/>
  <c r="G12" i="8"/>
  <c r="J2" i="11"/>
  <c r="M6" i="1"/>
  <c r="J113" i="10"/>
  <c r="H113" i="10"/>
  <c r="G113" i="10"/>
  <c r="I113" i="10"/>
  <c r="G36" i="11"/>
  <c r="J36" i="11"/>
  <c r="I36" i="11"/>
  <c r="H36" i="11"/>
  <c r="F26" i="10"/>
  <c r="H85" i="10"/>
  <c r="I85" i="10"/>
  <c r="G85" i="10"/>
  <c r="J85" i="10"/>
  <c r="H56" i="10"/>
  <c r="I56" i="10"/>
  <c r="G56" i="10"/>
  <c r="J56" i="10"/>
  <c r="H66" i="8"/>
  <c r="J66" i="8"/>
  <c r="I66" i="8"/>
  <c r="G66" i="8"/>
  <c r="H13" i="8"/>
  <c r="G13" i="8"/>
  <c r="J13" i="8"/>
  <c r="I13" i="8"/>
  <c r="F41" i="11"/>
  <c r="F110" i="10"/>
  <c r="F66" i="10"/>
  <c r="I100" i="10"/>
  <c r="G100" i="10"/>
  <c r="H100" i="10"/>
  <c r="J100" i="10"/>
  <c r="F56" i="9"/>
  <c r="G13" i="9"/>
  <c r="J13" i="9"/>
  <c r="H13" i="9"/>
  <c r="I13" i="9"/>
  <c r="F35" i="10"/>
  <c r="G69" i="8"/>
  <c r="J69" i="8"/>
  <c r="I69" i="8"/>
  <c r="H69" i="8"/>
  <c r="J11" i="8"/>
  <c r="H11" i="8"/>
  <c r="G11" i="8"/>
  <c r="I11" i="8"/>
  <c r="G93" i="8"/>
  <c r="H93" i="8"/>
  <c r="J93" i="8"/>
  <c r="I93" i="8"/>
  <c r="I59" i="8"/>
  <c r="H59" i="8"/>
  <c r="G59" i="8"/>
  <c r="J59" i="8"/>
  <c r="I57" i="8"/>
  <c r="J57" i="8"/>
  <c r="H57" i="8"/>
  <c r="G57" i="8"/>
  <c r="E10" i="9"/>
  <c r="F10" i="9" s="1"/>
  <c r="E49" i="8"/>
  <c r="F49" i="8" s="1"/>
  <c r="J13" i="10"/>
  <c r="H13" i="10"/>
  <c r="G13" i="10"/>
  <c r="I13" i="10"/>
  <c r="H10" i="9"/>
  <c r="G10" i="9"/>
  <c r="I10" i="9"/>
  <c r="J10" i="9"/>
  <c r="G85" i="8"/>
  <c r="J85" i="8"/>
  <c r="I85" i="8"/>
  <c r="H85" i="8"/>
  <c r="J34" i="8"/>
  <c r="H34" i="8"/>
  <c r="G34" i="8"/>
  <c r="I34" i="8"/>
  <c r="G109" i="8"/>
  <c r="H109" i="8"/>
  <c r="J109" i="8"/>
  <c r="I109" i="8"/>
  <c r="I75" i="8"/>
  <c r="H75" i="8"/>
  <c r="G75" i="8"/>
  <c r="J75" i="8"/>
  <c r="E33" i="10"/>
  <c r="F33" i="10" s="1"/>
  <c r="J21" i="11"/>
  <c r="I21" i="11"/>
  <c r="H21" i="11"/>
  <c r="G21" i="11"/>
  <c r="H68" i="10"/>
  <c r="G68" i="10"/>
  <c r="J68" i="10"/>
  <c r="I68" i="10"/>
  <c r="J110" i="8"/>
  <c r="G110" i="8"/>
  <c r="I110" i="8"/>
  <c r="H110" i="8"/>
  <c r="H106" i="8"/>
  <c r="J106" i="8"/>
  <c r="I106" i="8"/>
  <c r="G106" i="8"/>
  <c r="B9" i="1"/>
  <c r="H29" i="11"/>
  <c r="G29" i="11"/>
  <c r="J29" i="11"/>
  <c r="I29" i="11"/>
  <c r="I108" i="10"/>
  <c r="J108" i="10"/>
  <c r="H108" i="10"/>
  <c r="G108" i="10"/>
  <c r="J62" i="10"/>
  <c r="I62" i="10"/>
  <c r="H62" i="10"/>
  <c r="G62" i="10"/>
  <c r="J52" i="9"/>
  <c r="G52" i="9"/>
  <c r="H52" i="9"/>
  <c r="I52" i="9"/>
  <c r="F8" i="10"/>
  <c r="I63" i="9"/>
  <c r="H63" i="9"/>
  <c r="J63" i="9"/>
  <c r="G63" i="9"/>
  <c r="E75" i="8"/>
  <c r="F75" i="8" s="1"/>
  <c r="E68" i="10"/>
  <c r="F68" i="10" s="1"/>
  <c r="E10" i="11"/>
  <c r="F10" i="11" s="1"/>
  <c r="G92" i="10"/>
  <c r="J92" i="10"/>
  <c r="I92" i="10"/>
  <c r="H92" i="10"/>
  <c r="G31" i="10"/>
  <c r="I31" i="10"/>
  <c r="J31" i="10"/>
  <c r="H31" i="10"/>
  <c r="J43" i="9"/>
  <c r="I43" i="9"/>
  <c r="G43" i="9"/>
  <c r="H43" i="9"/>
  <c r="H60" i="8"/>
  <c r="J60" i="8"/>
  <c r="G60" i="8"/>
  <c r="I60" i="8"/>
  <c r="H42" i="9"/>
  <c r="J42" i="9"/>
  <c r="G42" i="9"/>
  <c r="I42" i="9"/>
  <c r="H42" i="8"/>
  <c r="J42" i="8"/>
  <c r="I42" i="8"/>
  <c r="G42" i="8"/>
  <c r="E67" i="8"/>
  <c r="F67" i="8" s="1"/>
  <c r="E34" i="10"/>
  <c r="F34" i="10" s="1"/>
  <c r="E21" i="10"/>
  <c r="F21" i="10" s="1"/>
  <c r="I6" i="1"/>
  <c r="J75" i="10"/>
  <c r="I75" i="10"/>
  <c r="G75" i="10"/>
  <c r="H75" i="10"/>
  <c r="F24" i="9"/>
  <c r="F40" i="10"/>
  <c r="H18" i="9"/>
  <c r="J18" i="9"/>
  <c r="I18" i="9"/>
  <c r="G18" i="9"/>
  <c r="G61" i="8"/>
  <c r="H61" i="8"/>
  <c r="J61" i="8"/>
  <c r="I61" i="8"/>
  <c r="J21" i="8"/>
  <c r="I21" i="8"/>
  <c r="H21" i="8"/>
  <c r="G21" i="8"/>
  <c r="E92" i="10"/>
  <c r="F92" i="10" s="1"/>
  <c r="E50" i="8"/>
  <c r="F50" i="8" s="1"/>
  <c r="J97" i="10"/>
  <c r="I97" i="10"/>
  <c r="H97" i="10"/>
  <c r="G97" i="10"/>
  <c r="G40" i="11"/>
  <c r="H40" i="11"/>
  <c r="I40" i="11"/>
  <c r="J40" i="11"/>
  <c r="F62" i="10"/>
  <c r="H22" i="9"/>
  <c r="I22" i="9"/>
  <c r="G22" i="9"/>
  <c r="J22" i="9"/>
  <c r="G53" i="9"/>
  <c r="J53" i="9"/>
  <c r="H53" i="9"/>
  <c r="I53" i="9"/>
  <c r="G7" i="8"/>
  <c r="N6" i="8" s="1" a="1"/>
  <c r="N6" i="8" s="1"/>
  <c r="J7" i="8"/>
  <c r="I7" i="8"/>
  <c r="H7" i="8"/>
  <c r="H28" i="8"/>
  <c r="J28" i="8"/>
  <c r="I28" i="8"/>
  <c r="G28" i="8"/>
  <c r="E40" i="9"/>
  <c r="F40" i="9" s="1"/>
  <c r="E53" i="10"/>
  <c r="F53" i="10" s="1"/>
  <c r="E3" i="9"/>
  <c r="G3" i="9" s="1"/>
  <c r="D10" i="1"/>
  <c r="I11" i="11"/>
  <c r="G11" i="11"/>
  <c r="H11" i="11"/>
  <c r="J11" i="11"/>
  <c r="H17" i="9"/>
  <c r="G17" i="9"/>
  <c r="J17" i="9"/>
  <c r="I17" i="9"/>
  <c r="J19" i="8"/>
  <c r="I19" i="8"/>
  <c r="H19" i="8"/>
  <c r="G19" i="8"/>
  <c r="E3" i="10"/>
  <c r="E26" i="11"/>
  <c r="F26" i="11" s="1"/>
  <c r="L10" i="1"/>
  <c r="B14" i="1"/>
  <c r="I34" i="11"/>
  <c r="J34" i="11"/>
  <c r="H34" i="11"/>
  <c r="G34" i="11"/>
  <c r="F65" i="9"/>
  <c r="J58" i="10"/>
  <c r="I58" i="10"/>
  <c r="G58" i="10"/>
  <c r="H58" i="10"/>
  <c r="H51" i="9"/>
  <c r="G51" i="9"/>
  <c r="I51" i="9"/>
  <c r="J51" i="9"/>
  <c r="H92" i="8"/>
  <c r="J92" i="8"/>
  <c r="G92" i="8"/>
  <c r="I92" i="8"/>
  <c r="I24" i="8"/>
  <c r="H24" i="8"/>
  <c r="G24" i="8"/>
  <c r="J24" i="8"/>
  <c r="G32" i="8"/>
  <c r="J32" i="8"/>
  <c r="I32" i="8"/>
  <c r="H32" i="8"/>
  <c r="G21" i="9"/>
  <c r="J21" i="9"/>
  <c r="I21" i="9"/>
  <c r="H21" i="9"/>
  <c r="I33" i="8"/>
  <c r="J33" i="8"/>
  <c r="H33" i="8"/>
  <c r="G33" i="8"/>
  <c r="E73" i="10"/>
  <c r="F73" i="10" s="1"/>
  <c r="I7" i="11"/>
  <c r="K5" i="11" s="1"/>
  <c r="J7" i="11"/>
  <c r="H7" i="11"/>
  <c r="G7" i="11"/>
  <c r="J46" i="10"/>
  <c r="I46" i="10"/>
  <c r="H46" i="10"/>
  <c r="G46" i="10"/>
  <c r="J36" i="9"/>
  <c r="G36" i="9"/>
  <c r="I36" i="9"/>
  <c r="H36" i="9"/>
  <c r="G11" i="10"/>
  <c r="J11" i="10"/>
  <c r="H11" i="10"/>
  <c r="I11" i="10"/>
  <c r="J32" i="10"/>
  <c r="I32" i="10"/>
  <c r="G32" i="10"/>
  <c r="H32" i="10"/>
  <c r="E65" i="8"/>
  <c r="F65" i="8" s="1"/>
  <c r="F53" i="9"/>
  <c r="J14" i="10"/>
  <c r="I14" i="10"/>
  <c r="H14" i="10"/>
  <c r="G14" i="10"/>
  <c r="J66" i="10"/>
  <c r="H66" i="10"/>
  <c r="G66" i="10"/>
  <c r="I66" i="10"/>
  <c r="I23" i="9"/>
  <c r="H23" i="9"/>
  <c r="G23" i="9"/>
  <c r="J23" i="9"/>
  <c r="H100" i="8"/>
  <c r="J100" i="8"/>
  <c r="I100" i="8"/>
  <c r="G100" i="8"/>
  <c r="H54" i="9"/>
  <c r="J54" i="9"/>
  <c r="G54" i="9"/>
  <c r="I54" i="9"/>
  <c r="J10" i="8"/>
  <c r="I10" i="8"/>
  <c r="H10" i="8"/>
  <c r="G10" i="8"/>
  <c r="E3" i="11"/>
  <c r="G3" i="11" s="1"/>
  <c r="I15" i="11"/>
  <c r="H15" i="11"/>
  <c r="G15" i="11"/>
  <c r="J15" i="11"/>
  <c r="I38" i="11"/>
  <c r="J38" i="11"/>
  <c r="G38" i="11"/>
  <c r="H38" i="11"/>
  <c r="I39" i="11"/>
  <c r="H39" i="11"/>
  <c r="J39" i="11"/>
  <c r="G39" i="11"/>
  <c r="I57" i="10"/>
  <c r="H57" i="10"/>
  <c r="J57" i="10"/>
  <c r="G57" i="10"/>
  <c r="I57" i="9"/>
  <c r="H57" i="9"/>
  <c r="J57" i="9"/>
  <c r="G57" i="9"/>
  <c r="H76" i="8"/>
  <c r="J76" i="8"/>
  <c r="G76" i="8"/>
  <c r="I76" i="8"/>
  <c r="H90" i="8"/>
  <c r="J90" i="8"/>
  <c r="I90" i="8"/>
  <c r="G90" i="8"/>
  <c r="G16" i="11"/>
  <c r="H16" i="11"/>
  <c r="J16" i="11"/>
  <c r="I16" i="11"/>
  <c r="G24" i="11"/>
  <c r="J24" i="11"/>
  <c r="I24" i="11"/>
  <c r="H24" i="11"/>
  <c r="J102" i="8"/>
  <c r="I102" i="8"/>
  <c r="H102" i="8"/>
  <c r="G102" i="8"/>
  <c r="I31" i="9"/>
  <c r="H31" i="9"/>
  <c r="G31" i="9"/>
  <c r="J31" i="9"/>
  <c r="F72" i="8"/>
  <c r="F67" i="9"/>
  <c r="Q17" i="4"/>
  <c r="J3" i="11"/>
  <c r="C6" i="1"/>
  <c r="B3" i="1"/>
  <c r="A6" i="2" s="1"/>
  <c r="L4" i="1"/>
  <c r="L6" i="1"/>
  <c r="I9" i="11"/>
  <c r="H9" i="11"/>
  <c r="J9" i="11"/>
  <c r="G9" i="11"/>
  <c r="J110" i="10"/>
  <c r="I110" i="10"/>
  <c r="H110" i="10"/>
  <c r="G110" i="10"/>
  <c r="J22" i="11"/>
  <c r="G22" i="11"/>
  <c r="H22" i="11"/>
  <c r="I22" i="11"/>
  <c r="F43" i="10"/>
  <c r="J30" i="9"/>
  <c r="G30" i="9"/>
  <c r="H30" i="9"/>
  <c r="I30" i="9"/>
  <c r="H74" i="8"/>
  <c r="J74" i="8"/>
  <c r="I74" i="8"/>
  <c r="G74" i="8"/>
  <c r="G55" i="10"/>
  <c r="I55" i="10"/>
  <c r="H55" i="10"/>
  <c r="J55" i="10"/>
  <c r="I65" i="9"/>
  <c r="H65" i="9"/>
  <c r="J65" i="9"/>
  <c r="G65" i="9"/>
  <c r="G47" i="8"/>
  <c r="I47" i="8"/>
  <c r="J47" i="8"/>
  <c r="H47" i="8"/>
  <c r="I9" i="8"/>
  <c r="G9" i="8"/>
  <c r="J9" i="8"/>
  <c r="H9" i="8"/>
  <c r="J3" i="10"/>
  <c r="H44" i="10"/>
  <c r="J44" i="10"/>
  <c r="I44" i="10"/>
  <c r="G44" i="10"/>
  <c r="G37" i="9"/>
  <c r="J37" i="9"/>
  <c r="H37" i="9"/>
  <c r="I37" i="9"/>
  <c r="G39" i="8"/>
  <c r="I39" i="8"/>
  <c r="J39" i="8"/>
  <c r="H39" i="8"/>
  <c r="G63" i="8"/>
  <c r="I63" i="8"/>
  <c r="J63" i="8"/>
  <c r="H63" i="8"/>
  <c r="J26" i="8"/>
  <c r="I26" i="8"/>
  <c r="H26" i="8"/>
  <c r="G26" i="8"/>
  <c r="G42" i="11"/>
  <c r="I42" i="11"/>
  <c r="J42" i="11"/>
  <c r="H42" i="11"/>
  <c r="I8" i="10"/>
  <c r="G8" i="10"/>
  <c r="V5" i="10" s="1" a="1"/>
  <c r="V5" i="10" s="1"/>
  <c r="J8" i="10"/>
  <c r="H8" i="10"/>
  <c r="G15" i="10"/>
  <c r="H15" i="10"/>
  <c r="J15" i="10"/>
  <c r="I15" i="10"/>
  <c r="J35" i="10"/>
  <c r="I35" i="10"/>
  <c r="H35" i="10"/>
  <c r="G35" i="10"/>
  <c r="J105" i="10"/>
  <c r="I105" i="10"/>
  <c r="H105" i="10"/>
  <c r="G105" i="10"/>
  <c r="G43" i="10"/>
  <c r="J43" i="10"/>
  <c r="I43" i="10"/>
  <c r="H43" i="10"/>
  <c r="J16" i="8"/>
  <c r="I16" i="8"/>
  <c r="G16" i="8"/>
  <c r="H16" i="8"/>
  <c r="G45" i="8"/>
  <c r="H45" i="8"/>
  <c r="J45" i="8"/>
  <c r="I45" i="8"/>
  <c r="J62" i="9"/>
  <c r="I62" i="9"/>
  <c r="H62" i="9"/>
  <c r="G62" i="9"/>
  <c r="F30" i="11"/>
  <c r="I65" i="10"/>
  <c r="H65" i="10"/>
  <c r="J65" i="10"/>
  <c r="G65" i="10"/>
  <c r="I47" i="9"/>
  <c r="G47" i="9"/>
  <c r="J47" i="9"/>
  <c r="H47" i="9"/>
  <c r="J46" i="8"/>
  <c r="G46" i="8"/>
  <c r="I46" i="8"/>
  <c r="H46" i="8"/>
  <c r="E36" i="9"/>
  <c r="F36" i="9" s="1"/>
  <c r="E105" i="8"/>
  <c r="F105" i="8" s="1"/>
  <c r="E82" i="10"/>
  <c r="F82" i="10" s="1"/>
  <c r="E18" i="11"/>
  <c r="F18" i="11" s="1"/>
  <c r="F40" i="11"/>
  <c r="H10" i="11"/>
  <c r="J10" i="11"/>
  <c r="I10" i="11"/>
  <c r="G10" i="11"/>
  <c r="J50" i="10"/>
  <c r="I50" i="10"/>
  <c r="H50" i="10"/>
  <c r="G50" i="10"/>
  <c r="J11" i="9"/>
  <c r="I11" i="9"/>
  <c r="G11" i="9"/>
  <c r="H11" i="9"/>
  <c r="I10" i="1"/>
  <c r="E12" i="8"/>
  <c r="E4" i="8" s="1"/>
  <c r="E50" i="9"/>
  <c r="F50" i="9" s="1"/>
  <c r="E7" i="11"/>
  <c r="E52" i="10"/>
  <c r="F52" i="10" s="1"/>
  <c r="J112" i="10"/>
  <c r="H112" i="10"/>
  <c r="G112" i="10"/>
  <c r="I112" i="10"/>
  <c r="H34" i="9"/>
  <c r="I34" i="9"/>
  <c r="G34" i="9"/>
  <c r="J34" i="9"/>
  <c r="F82" i="8"/>
  <c r="G96" i="8"/>
  <c r="J96" i="8"/>
  <c r="I96" i="8"/>
  <c r="H96" i="8"/>
  <c r="J38" i="9"/>
  <c r="I38" i="9"/>
  <c r="H38" i="9"/>
  <c r="G38" i="9"/>
  <c r="J2" i="10"/>
  <c r="F89" i="10"/>
  <c r="G102" i="10"/>
  <c r="J102" i="10"/>
  <c r="H102" i="10"/>
  <c r="I102" i="10"/>
  <c r="H52" i="8"/>
  <c r="J52" i="8"/>
  <c r="I52" i="8"/>
  <c r="G52" i="8"/>
  <c r="G31" i="8"/>
  <c r="I31" i="8"/>
  <c r="H31" i="8"/>
  <c r="J31" i="8"/>
  <c r="J87" i="10"/>
  <c r="H87" i="10"/>
  <c r="G87" i="10"/>
  <c r="I87" i="10"/>
  <c r="G76" i="10"/>
  <c r="I76" i="10"/>
  <c r="J76" i="10"/>
  <c r="H76" i="10"/>
  <c r="J25" i="9"/>
  <c r="G25" i="9"/>
  <c r="I25" i="9"/>
  <c r="H25" i="9"/>
  <c r="J78" i="8"/>
  <c r="G78" i="8"/>
  <c r="I78" i="8"/>
  <c r="H78" i="8"/>
  <c r="G32" i="9"/>
  <c r="J32" i="9"/>
  <c r="H32" i="9"/>
  <c r="I32" i="9"/>
  <c r="I33" i="11"/>
  <c r="G33" i="11"/>
  <c r="H33" i="11"/>
  <c r="J33" i="11"/>
  <c r="G8" i="11"/>
  <c r="J8" i="11"/>
  <c r="I8" i="11"/>
  <c r="H8" i="11"/>
  <c r="G84" i="10"/>
  <c r="J84" i="10"/>
  <c r="I84" i="10"/>
  <c r="H84" i="10"/>
  <c r="I33" i="10"/>
  <c r="H33" i="10"/>
  <c r="G33" i="10"/>
  <c r="J33" i="10"/>
  <c r="F12" i="8"/>
  <c r="D2" i="4"/>
  <c r="I9" i="10"/>
  <c r="K5" i="10" s="1"/>
  <c r="J9" i="10"/>
  <c r="G9" i="10"/>
  <c r="H9" i="10"/>
  <c r="G63" i="10"/>
  <c r="J63" i="10"/>
  <c r="I63" i="10"/>
  <c r="H63" i="10"/>
  <c r="E23" i="9"/>
  <c r="F23" i="9" s="1"/>
  <c r="J95" i="10"/>
  <c r="H95" i="10"/>
  <c r="G95" i="10"/>
  <c r="I95" i="10"/>
  <c r="H96" i="10"/>
  <c r="I96" i="10"/>
  <c r="G96" i="10"/>
  <c r="J96" i="10"/>
  <c r="I39" i="9"/>
  <c r="J39" i="9"/>
  <c r="H39" i="9"/>
  <c r="G39" i="9"/>
  <c r="J86" i="8"/>
  <c r="I86" i="8"/>
  <c r="H86" i="8"/>
  <c r="G86" i="8"/>
  <c r="I97" i="8"/>
  <c r="J97" i="8"/>
  <c r="H97" i="8"/>
  <c r="G97" i="8"/>
  <c r="E62" i="9"/>
  <c r="F62" i="9" s="1"/>
  <c r="E51" i="10"/>
  <c r="F51" i="10" s="1"/>
  <c r="G2" i="11"/>
  <c r="F2" i="11"/>
  <c r="J71" i="10"/>
  <c r="H71" i="10"/>
  <c r="G71" i="10"/>
  <c r="I71" i="10"/>
  <c r="H20" i="10"/>
  <c r="J20" i="10"/>
  <c r="I20" i="10"/>
  <c r="G20" i="10"/>
  <c r="J62" i="8"/>
  <c r="G62" i="8"/>
  <c r="I62" i="8"/>
  <c r="H62" i="8"/>
  <c r="J33" i="9"/>
  <c r="I33" i="9"/>
  <c r="G33" i="9"/>
  <c r="H33" i="9"/>
  <c r="G64" i="8"/>
  <c r="J64" i="8"/>
  <c r="I64" i="8"/>
  <c r="H64" i="8"/>
  <c r="I14" i="11"/>
  <c r="J14" i="11"/>
  <c r="H14" i="11"/>
  <c r="G14" i="11"/>
  <c r="F84" i="10"/>
  <c r="H50" i="9"/>
  <c r="I50" i="9"/>
  <c r="G50" i="9"/>
  <c r="J50" i="9"/>
  <c r="J67" i="8"/>
  <c r="I67" i="8"/>
  <c r="H67" i="8"/>
  <c r="G67" i="8"/>
  <c r="I107" i="8"/>
  <c r="H107" i="8"/>
  <c r="G107" i="8"/>
  <c r="J107" i="8"/>
  <c r="I8" i="8"/>
  <c r="H8" i="8"/>
  <c r="G8" i="8"/>
  <c r="U5" i="8" s="1" a="1"/>
  <c r="U5" i="8" s="1"/>
  <c r="J8" i="8"/>
  <c r="J51" i="10"/>
  <c r="G51" i="10"/>
  <c r="I51" i="10"/>
  <c r="H51" i="10"/>
  <c r="H58" i="9"/>
  <c r="I58" i="9"/>
  <c r="J58" i="9"/>
  <c r="G58" i="9"/>
  <c r="A4" i="9"/>
  <c r="H109" i="10"/>
  <c r="I109" i="10"/>
  <c r="G109" i="10"/>
  <c r="J109" i="10"/>
  <c r="I99" i="10"/>
  <c r="H99" i="10"/>
  <c r="G99" i="10"/>
  <c r="J99" i="10"/>
  <c r="G20" i="11"/>
  <c r="J20" i="11"/>
  <c r="I20" i="11"/>
  <c r="H20" i="11"/>
  <c r="I40" i="10"/>
  <c r="H40" i="10"/>
  <c r="G40" i="10"/>
  <c r="J40" i="10"/>
  <c r="G47" i="10"/>
  <c r="H47" i="10"/>
  <c r="I47" i="10"/>
  <c r="J47" i="10"/>
  <c r="G29" i="9"/>
  <c r="H29" i="9"/>
  <c r="I29" i="9"/>
  <c r="J29" i="9"/>
  <c r="H68" i="8"/>
  <c r="J68" i="8"/>
  <c r="I68" i="8"/>
  <c r="G68" i="8"/>
  <c r="Q16" i="4"/>
  <c r="F22" i="10"/>
  <c r="F88" i="10"/>
  <c r="J59" i="10"/>
  <c r="G59" i="10"/>
  <c r="H59" i="10"/>
  <c r="I59" i="10"/>
  <c r="I61" i="10"/>
  <c r="J61" i="10"/>
  <c r="H61" i="10"/>
  <c r="G61" i="10"/>
  <c r="G64" i="9"/>
  <c r="I64" i="9"/>
  <c r="H64" i="9"/>
  <c r="J64" i="9"/>
  <c r="I65" i="8"/>
  <c r="J65" i="8"/>
  <c r="H65" i="8"/>
  <c r="G65" i="8"/>
  <c r="J2" i="9"/>
  <c r="J48" i="10"/>
  <c r="I48" i="10"/>
  <c r="G48" i="10"/>
  <c r="H48" i="10"/>
  <c r="I19" i="10"/>
  <c r="H19" i="10"/>
  <c r="G19" i="10"/>
  <c r="J19" i="10"/>
  <c r="J38" i="8"/>
  <c r="I38" i="8"/>
  <c r="H38" i="8"/>
  <c r="G38" i="8"/>
  <c r="G27" i="9"/>
  <c r="I27" i="9"/>
  <c r="H27" i="9"/>
  <c r="J27" i="9"/>
  <c r="H26" i="9"/>
  <c r="I26" i="9"/>
  <c r="J26" i="9"/>
  <c r="G26" i="9"/>
  <c r="I94" i="10"/>
  <c r="H94" i="10"/>
  <c r="G94" i="10"/>
  <c r="J94" i="10"/>
  <c r="F25" i="9"/>
  <c r="H24" i="10"/>
  <c r="G24" i="10"/>
  <c r="J24" i="10"/>
  <c r="I24" i="10"/>
  <c r="I10" i="10"/>
  <c r="H10" i="10"/>
  <c r="J10" i="10"/>
  <c r="G10" i="10"/>
  <c r="J83" i="8"/>
  <c r="I83" i="8"/>
  <c r="H83" i="8"/>
  <c r="G83" i="8"/>
  <c r="I81" i="8"/>
  <c r="J81" i="8"/>
  <c r="H81" i="8"/>
  <c r="G81" i="8"/>
  <c r="J3" i="8"/>
  <c r="A2" i="10"/>
  <c r="D15" i="2"/>
  <c r="B12" i="1"/>
  <c r="I31" i="11"/>
  <c r="H31" i="11"/>
  <c r="J31" i="11"/>
  <c r="G31" i="11"/>
  <c r="J26" i="11"/>
  <c r="H26" i="11"/>
  <c r="I26" i="11"/>
  <c r="G26" i="11"/>
  <c r="H52" i="10"/>
  <c r="G52" i="10"/>
  <c r="J52" i="10"/>
  <c r="I52" i="10"/>
  <c r="H8" i="9"/>
  <c r="G8" i="9"/>
  <c r="J8" i="9"/>
  <c r="I8" i="9"/>
  <c r="K5" i="9" s="1"/>
  <c r="H84" i="8"/>
  <c r="J84" i="8"/>
  <c r="I84" i="8"/>
  <c r="G84" i="8"/>
  <c r="G15" i="8"/>
  <c r="I15" i="8"/>
  <c r="H15" i="8"/>
  <c r="J15" i="8"/>
  <c r="G23" i="8"/>
  <c r="J23" i="8"/>
  <c r="I23" i="8"/>
  <c r="H23" i="8"/>
  <c r="G28" i="11"/>
  <c r="I28" i="11"/>
  <c r="J28" i="11"/>
  <c r="H28" i="11"/>
  <c r="I53" i="10"/>
  <c r="J53" i="10"/>
  <c r="H53" i="10"/>
  <c r="G53" i="10"/>
  <c r="G61" i="9"/>
  <c r="J61" i="9"/>
  <c r="I61" i="9"/>
  <c r="H61" i="9"/>
  <c r="I19" i="11"/>
  <c r="J19" i="11"/>
  <c r="H19" i="11"/>
  <c r="G19" i="11"/>
  <c r="J104" i="8"/>
  <c r="I104" i="8"/>
  <c r="H104" i="8"/>
  <c r="G104" i="8"/>
  <c r="A2" i="8"/>
  <c r="J79" i="10"/>
  <c r="G79" i="10"/>
  <c r="H79" i="10"/>
  <c r="I79" i="10"/>
  <c r="I49" i="10"/>
  <c r="H49" i="10"/>
  <c r="J49" i="10"/>
  <c r="G49" i="10"/>
  <c r="J70" i="8"/>
  <c r="I70" i="8"/>
  <c r="H70" i="8"/>
  <c r="G70" i="8"/>
  <c r="J66" i="9"/>
  <c r="I66" i="9"/>
  <c r="H66" i="9"/>
  <c r="G66" i="9"/>
  <c r="F40" i="8"/>
  <c r="I14" i="9"/>
  <c r="H14" i="9"/>
  <c r="J14" i="9"/>
  <c r="G14" i="9"/>
  <c r="J3" i="9"/>
  <c r="E29" i="11"/>
  <c r="F29" i="11" s="1"/>
  <c r="J38" i="10"/>
  <c r="G38" i="10"/>
  <c r="I38" i="10"/>
  <c r="H38" i="10"/>
  <c r="J28" i="9"/>
  <c r="H28" i="9"/>
  <c r="G28" i="9"/>
  <c r="I28" i="9"/>
  <c r="I42" i="10"/>
  <c r="H42" i="10"/>
  <c r="J42" i="10"/>
  <c r="G42" i="10"/>
  <c r="I25" i="10"/>
  <c r="J25" i="10"/>
  <c r="H25" i="10"/>
  <c r="G25" i="10"/>
  <c r="H98" i="8"/>
  <c r="J98" i="8"/>
  <c r="I98" i="8"/>
  <c r="G98" i="8"/>
  <c r="I23" i="11"/>
  <c r="J23" i="11"/>
  <c r="H23" i="11"/>
  <c r="G23" i="11"/>
  <c r="J27" i="10"/>
  <c r="H27" i="10"/>
  <c r="I27" i="10"/>
  <c r="G27" i="10"/>
  <c r="H46" i="9"/>
  <c r="G46" i="9"/>
  <c r="J46" i="9"/>
  <c r="I46" i="9"/>
  <c r="G101" i="8"/>
  <c r="J101" i="8"/>
  <c r="I101" i="8"/>
  <c r="H101" i="8"/>
  <c r="J51" i="8"/>
  <c r="I51" i="8"/>
  <c r="H51" i="8"/>
  <c r="G51" i="8"/>
  <c r="I91" i="8"/>
  <c r="H91" i="8"/>
  <c r="G91" i="8"/>
  <c r="J91" i="8"/>
  <c r="I105" i="8"/>
  <c r="J105" i="8"/>
  <c r="H105" i="8"/>
  <c r="G105" i="8"/>
  <c r="G12" i="11"/>
  <c r="I12" i="11"/>
  <c r="J12" i="11"/>
  <c r="H12" i="11"/>
  <c r="H77" i="10"/>
  <c r="G77" i="10"/>
  <c r="I77" i="10"/>
  <c r="J77" i="10"/>
  <c r="J37" i="11"/>
  <c r="I37" i="11"/>
  <c r="G37" i="11"/>
  <c r="H37" i="11"/>
  <c r="H24" i="9"/>
  <c r="G24" i="9"/>
  <c r="J24" i="9"/>
  <c r="I24" i="9"/>
  <c r="I25" i="8"/>
  <c r="J25" i="8"/>
  <c r="G25" i="8"/>
  <c r="H25" i="8"/>
  <c r="J72" i="8"/>
  <c r="I72" i="8"/>
  <c r="H72" i="8"/>
  <c r="G72" i="8"/>
  <c r="J2" i="8"/>
  <c r="F7" i="11"/>
  <c r="A5" i="11" s="1"/>
  <c r="H60" i="10"/>
  <c r="G60" i="10"/>
  <c r="I60" i="10"/>
  <c r="J60" i="10"/>
  <c r="G71" i="8"/>
  <c r="I71" i="8"/>
  <c r="J71" i="8"/>
  <c r="H71" i="8"/>
  <c r="H20" i="8"/>
  <c r="J20" i="8"/>
  <c r="G20" i="8"/>
  <c r="I20" i="8"/>
  <c r="G95" i="8"/>
  <c r="I95" i="8"/>
  <c r="J95" i="8"/>
  <c r="H95" i="8"/>
  <c r="E57" i="9"/>
  <c r="F57" i="9" s="1"/>
  <c r="J70" i="10"/>
  <c r="I70" i="10"/>
  <c r="H70" i="10"/>
  <c r="G70" i="10"/>
  <c r="J60" i="9"/>
  <c r="I60" i="9"/>
  <c r="H60" i="9"/>
  <c r="G60" i="9"/>
  <c r="J14" i="8"/>
  <c r="I14" i="8"/>
  <c r="K5" i="8" s="1"/>
  <c r="H14" i="8"/>
  <c r="G14" i="8"/>
  <c r="G23" i="10"/>
  <c r="J23" i="10"/>
  <c r="I23" i="10"/>
  <c r="H23" i="10"/>
  <c r="B17" i="1"/>
  <c r="H111" i="10"/>
  <c r="I111" i="10"/>
  <c r="J111" i="10"/>
  <c r="G111" i="10"/>
  <c r="J45" i="10"/>
  <c r="H45" i="10"/>
  <c r="G45" i="10"/>
  <c r="I45" i="10"/>
  <c r="F81" i="10"/>
  <c r="J54" i="8"/>
  <c r="I54" i="8"/>
  <c r="H54" i="8"/>
  <c r="G54" i="8"/>
  <c r="I49" i="8"/>
  <c r="J49" i="8"/>
  <c r="H49" i="8"/>
  <c r="G49" i="8"/>
  <c r="H18" i="1"/>
  <c r="B18" i="1" s="1"/>
  <c r="H101" i="10"/>
  <c r="J101" i="10"/>
  <c r="I101" i="10"/>
  <c r="G101" i="10"/>
  <c r="H103" i="10"/>
  <c r="J103" i="10"/>
  <c r="G103" i="10"/>
  <c r="I103" i="10"/>
  <c r="J99" i="8"/>
  <c r="I99" i="8"/>
  <c r="H99" i="8"/>
  <c r="G99" i="8"/>
  <c r="H36" i="10"/>
  <c r="J36" i="10"/>
  <c r="G36" i="10"/>
  <c r="I36" i="10"/>
  <c r="I40" i="9"/>
  <c r="H40" i="9"/>
  <c r="G40" i="9"/>
  <c r="J40" i="9"/>
  <c r="G103" i="8"/>
  <c r="I103" i="8"/>
  <c r="J103" i="8"/>
  <c r="H103" i="8"/>
  <c r="G106" i="10"/>
  <c r="I106" i="10"/>
  <c r="H106" i="10"/>
  <c r="J106" i="10"/>
  <c r="I74" i="10"/>
  <c r="J74" i="10"/>
  <c r="H74" i="10"/>
  <c r="G74" i="10"/>
  <c r="I78" i="10"/>
  <c r="G78" i="10"/>
  <c r="J78" i="10"/>
  <c r="H78" i="10"/>
  <c r="I90" i="10"/>
  <c r="J90" i="10"/>
  <c r="H90" i="10"/>
  <c r="G90" i="10"/>
  <c r="J22" i="8"/>
  <c r="H22" i="8"/>
  <c r="G22" i="8"/>
  <c r="I22" i="8"/>
  <c r="J29" i="8"/>
  <c r="H29" i="8"/>
  <c r="G29" i="8"/>
  <c r="I29" i="8"/>
  <c r="I73" i="8"/>
  <c r="J73" i="8"/>
  <c r="H73" i="8"/>
  <c r="G73" i="8"/>
  <c r="Q15" i="4"/>
  <c r="A4" i="10"/>
  <c r="G17" i="11"/>
  <c r="H17" i="11"/>
  <c r="J17" i="11"/>
  <c r="I17" i="11"/>
  <c r="J54" i="10"/>
  <c r="I54" i="10"/>
  <c r="G54" i="10"/>
  <c r="H54" i="10"/>
  <c r="J44" i="9"/>
  <c r="I44" i="9"/>
  <c r="H44" i="9"/>
  <c r="G44" i="9"/>
  <c r="J18" i="11"/>
  <c r="G18" i="11"/>
  <c r="H18" i="11"/>
  <c r="I18" i="11"/>
  <c r="I55" i="9"/>
  <c r="J55" i="9"/>
  <c r="G55" i="9"/>
  <c r="H55" i="9"/>
  <c r="J40" i="8"/>
  <c r="I40" i="8"/>
  <c r="H40" i="8"/>
  <c r="G40" i="8"/>
  <c r="J91" i="10"/>
  <c r="I91" i="10"/>
  <c r="H91" i="10"/>
  <c r="G91" i="10"/>
  <c r="G41" i="11"/>
  <c r="H41" i="11"/>
  <c r="J41" i="11"/>
  <c r="I41" i="11"/>
  <c r="G88" i="10"/>
  <c r="H88" i="10"/>
  <c r="J88" i="10"/>
  <c r="I88" i="10"/>
  <c r="I69" i="10"/>
  <c r="J69" i="10"/>
  <c r="G69" i="10"/>
  <c r="H69" i="10"/>
  <c r="H28" i="10"/>
  <c r="I28" i="10"/>
  <c r="G28" i="10"/>
  <c r="J28" i="10"/>
  <c r="G59" i="9"/>
  <c r="J59" i="9"/>
  <c r="I59" i="9"/>
  <c r="H59" i="9"/>
  <c r="G53" i="8"/>
  <c r="J53" i="8"/>
  <c r="I53" i="8"/>
  <c r="H53" i="8"/>
  <c r="I49" i="9"/>
  <c r="J49" i="9"/>
  <c r="H49" i="9"/>
  <c r="G49" i="9"/>
  <c r="G77" i="8"/>
  <c r="H77" i="8"/>
  <c r="J77" i="8"/>
  <c r="I77" i="8"/>
  <c r="I43" i="8"/>
  <c r="H43" i="8"/>
  <c r="G43" i="8"/>
  <c r="J43" i="8"/>
  <c r="J35" i="8"/>
  <c r="I35" i="8"/>
  <c r="H35" i="8"/>
  <c r="G35" i="8"/>
  <c r="G80" i="10"/>
  <c r="J80" i="10"/>
  <c r="I80" i="10"/>
  <c r="H80" i="10"/>
  <c r="H64" i="10"/>
  <c r="J64" i="10"/>
  <c r="I64" i="10"/>
  <c r="G64" i="10"/>
  <c r="G34" i="10"/>
  <c r="J34" i="10"/>
  <c r="H34" i="10"/>
  <c r="I34" i="10"/>
  <c r="H36" i="8"/>
  <c r="G36" i="8"/>
  <c r="J36" i="8"/>
  <c r="I36" i="8"/>
  <c r="H93" i="10"/>
  <c r="I93" i="10"/>
  <c r="G93" i="10"/>
  <c r="J93" i="10"/>
  <c r="J18" i="10"/>
  <c r="H18" i="10"/>
  <c r="I18" i="10"/>
  <c r="G18" i="10"/>
  <c r="H19" i="9"/>
  <c r="G19" i="9"/>
  <c r="I19" i="9"/>
  <c r="J19" i="9"/>
  <c r="G87" i="8"/>
  <c r="I87" i="8"/>
  <c r="J87" i="8"/>
  <c r="H87" i="8"/>
  <c r="I89" i="8"/>
  <c r="J89" i="8"/>
  <c r="H89" i="8"/>
  <c r="G89" i="8"/>
  <c r="G4" i="8" l="1"/>
  <c r="K3" i="8" s="1"/>
  <c r="L3" i="8" s="1"/>
  <c r="E5" i="8"/>
  <c r="G5" i="8" s="1"/>
  <c r="A5" i="9"/>
  <c r="L5" i="8"/>
  <c r="J5" i="8"/>
  <c r="L5" i="9"/>
  <c r="J5" i="9"/>
  <c r="L5" i="10"/>
  <c r="J5" i="10"/>
  <c r="L5" i="11"/>
  <c r="J5" i="11"/>
  <c r="N6" i="9" a="1"/>
  <c r="N6" i="9" s="1"/>
  <c r="A5" i="10"/>
  <c r="F5" i="10" s="1"/>
  <c r="N6" i="11" a="1"/>
  <c r="N6" i="11" s="1"/>
  <c r="N6" i="10" a="1"/>
  <c r="N6" i="10" s="1"/>
  <c r="D14" i="2"/>
  <c r="B8" i="1"/>
  <c r="K4" i="9"/>
  <c r="E4" i="11"/>
  <c r="B6" i="1"/>
  <c r="C10" i="2" s="1"/>
  <c r="E4" i="9"/>
  <c r="G4" i="9" s="1"/>
  <c r="B10" i="1"/>
  <c r="K2" i="10"/>
  <c r="L2" i="10" s="1"/>
  <c r="K4" i="10"/>
  <c r="E4" i="10"/>
  <c r="G4" i="10" s="1"/>
  <c r="K4" i="8"/>
  <c r="K4" i="11"/>
  <c r="G3" i="10"/>
  <c r="E5" i="10"/>
  <c r="G5" i="10" s="1"/>
  <c r="A5" i="8"/>
  <c r="F5" i="8" s="1"/>
  <c r="K2" i="11"/>
  <c r="L2" i="11" s="1"/>
  <c r="K2" i="8"/>
  <c r="L2" i="8" s="1"/>
  <c r="V5" i="11" a="1"/>
  <c r="V5" i="11" s="1"/>
  <c r="B10" i="2"/>
  <c r="B4" i="1"/>
  <c r="A10" i="2" s="1"/>
  <c r="D16" i="2"/>
  <c r="B16" i="1"/>
  <c r="K2" i="9"/>
  <c r="L2" i="9" s="1"/>
  <c r="C15" i="2"/>
  <c r="E15" i="2"/>
  <c r="K3" i="9" l="1"/>
  <c r="L3" i="9" s="1"/>
  <c r="C16" i="2"/>
  <c r="E16" i="2"/>
  <c r="K3" i="10"/>
  <c r="L3" i="10" s="1"/>
  <c r="E5" i="9"/>
  <c r="G5" i="9" s="1"/>
  <c r="J4" i="11"/>
  <c r="L4" i="11"/>
  <c r="G4" i="11"/>
  <c r="K3" i="11" s="1"/>
  <c r="L3" i="11" s="1"/>
  <c r="E5" i="11"/>
  <c r="G5" i="11" s="1"/>
  <c r="F5" i="11"/>
  <c r="J4" i="9"/>
  <c r="L4" i="9"/>
  <c r="F5" i="9"/>
  <c r="L4" i="8"/>
  <c r="J4" i="8"/>
  <c r="L4" i="10"/>
  <c r="J4" i="10"/>
</calcChain>
</file>

<file path=xl/sharedStrings.xml><?xml version="1.0" encoding="utf-8"?>
<sst xmlns="http://schemas.openxmlformats.org/spreadsheetml/2006/main" count="37890" uniqueCount="6766">
  <si>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</si>
  <si>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</si>
  <si>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</si>
  <si>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</si>
  <si>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</si>
  <si>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</si>
  <si>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</si>
  <si>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</si>
  <si>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</si>
  <si>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</si>
  <si>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</si>
  <si>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</si>
  <si>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</si>
  <si>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</si>
  <si>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</si>
  <si>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</si>
  <si>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</si>
  <si>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</si>
  <si>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</si>
  <si>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</si>
  <si>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</si>
  <si>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</si>
  <si>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</si>
  <si>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</si>
  <si>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</si>
  <si>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</si>
  <si>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</si>
  <si>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</si>
  <si>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</si>
  <si>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</si>
  <si>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</si>
  <si>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</si>
  <si>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</si>
  <si>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</si>
  <si>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</si>
  <si>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</si>
  <si>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</si>
  <si>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</si>
  <si>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</si>
  <si>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</si>
  <si>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</si>
  <si>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</si>
  <si>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</si>
  <si>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</si>
  <si>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</si>
  <si>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</si>
  <si>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</si>
  <si>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</si>
  <si>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</si>
  <si>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</si>
  <si>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</si>
  <si>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</si>
  <si>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</si>
  <si>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</si>
  <si>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</si>
  <si>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</si>
  <si>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</si>
  <si>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</si>
  <si>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</si>
  <si>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</si>
  <si>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</si>
  <si>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</si>
  <si>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</si>
  <si>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</si>
  <si>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</si>
  <si>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</si>
  <si>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</si>
  <si>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</si>
  <si>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</si>
  <si>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</si>
  <si>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</si>
  <si>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</si>
  <si>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</si>
  <si>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</si>
  <si>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</si>
  <si>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</si>
  <si>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</si>
  <si>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</si>
  <si>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</si>
  <si>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</si>
  <si>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</si>
  <si>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</si>
  <si>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</si>
  <si>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</si>
  <si>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</si>
  <si>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</si>
  <si>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</si>
  <si>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</si>
  <si>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</si>
  <si>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</si>
  <si>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</si>
  <si>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</si>
  <si>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</si>
  <si>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</si>
  <si>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</si>
  <si>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</si>
  <si>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</si>
  <si>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</si>
  <si>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</si>
  <si>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</si>
  <si>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</si>
  <si>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</si>
  <si>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</si>
  <si>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12311343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</si>
  <si>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</si>
  <si>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</si>
  <si>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</si>
  <si>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</si>
  <si>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</si>
  <si>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</si>
  <si>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</si>
  <si>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</si>
  <si>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</si>
  <si>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</si>
  <si>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</si>
  <si>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</si>
  <si>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</si>
  <si>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</si>
  <si>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</si>
  <si>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</si>
  <si>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</si>
  <si>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</si>
  <si>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</si>
  <si>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</si>
  <si>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</si>
  <si>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</si>
  <si>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</si>
  <si>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</si>
  <si>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</si>
  <si>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</si>
  <si>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</si>
  <si>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</si>
  <si>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</si>
  <si>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</si>
  <si>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</si>
  <si>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</si>
  <si>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</si>
  <si>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</si>
  <si>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</si>
  <si>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</si>
  <si>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</si>
  <si>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</si>
  <si>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</si>
  <si>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</si>
  <si>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</si>
  <si>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</si>
  <si>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</si>
  <si>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</si>
  <si>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</si>
  <si>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</si>
  <si>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</si>
  <si>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</si>
  <si>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</si>
  <si>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</si>
  <si>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三重義天店</t>
  </si>
  <si>
    <t>新莊福營店</t>
  </si>
  <si>
    <t>閉店</t>
  </si>
  <si>
    <t>10:00</t>
  </si>
  <si>
    <t>三重向日葵</t>
  </si>
  <si>
    <t>三重重新橋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</si>
  <si>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</si>
  <si>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</si>
  <si>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</si>
  <si>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</si>
  <si>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</si>
  <si>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</si>
  <si>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</si>
  <si>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</si>
  <si>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三重自強店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</si>
  <si>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</si>
  <si>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</si>
  <si>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</si>
  <si>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</si>
  <si>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</si>
  <si>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</si>
  <si>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</si>
  <si>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</si>
  <si>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</si>
  <si>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</si>
  <si>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</si>
  <si>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</si>
  <si>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</si>
  <si>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</si>
  <si>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</si>
  <si>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</si>
  <si>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</si>
  <si>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</si>
  <si>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</si>
  <si>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</si>
  <si>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</si>
  <si>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</si>
  <si>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</si>
  <si>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</si>
  <si>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</si>
  <si>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</si>
  <si>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</si>
  <si>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</si>
  <si>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</si>
  <si>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</si>
  <si>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</si>
  <si>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</si>
  <si>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</si>
  <si>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</si>
  <si>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</si>
  <si>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</si>
  <si>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</si>
  <si>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</si>
  <si>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</si>
  <si>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</si>
  <si>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</si>
  <si>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</si>
  <si>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</si>
  <si>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</si>
  <si>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</si>
  <si>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</si>
  <si>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</si>
  <si>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</si>
  <si>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</si>
  <si>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</si>
  <si>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</si>
  <si>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</si>
  <si>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</si>
  <si>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</si>
  <si>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</si>
  <si>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</si>
  <si>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</si>
  <si>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</si>
  <si>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</si>
  <si>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</si>
  <si>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</si>
  <si>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</si>
  <si>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</si>
  <si>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</si>
  <si>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</si>
  <si>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</si>
  <si>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</si>
  <si>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</si>
  <si>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</si>
  <si>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</si>
  <si>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</si>
  <si>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</si>
  <si>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</si>
  <si>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</si>
  <si>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</si>
  <si>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</si>
  <si>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</si>
  <si>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</si>
  <si>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</si>
  <si>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</si>
  <si>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</si>
  <si>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</si>
  <si>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</si>
  <si>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</si>
  <si>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</si>
  <si>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</si>
  <si>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</si>
  <si>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</si>
  <si>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</si>
  <si>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</si>
  <si>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</si>
  <si>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</si>
  <si>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</si>
  <si>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</si>
  <si>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</si>
  <si>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</si>
  <si>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</si>
  <si>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</si>
  <si>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</si>
  <si>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</si>
  <si>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</si>
  <si>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</si>
  <si>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</si>
  <si>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</si>
  <si>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</si>
  <si>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</si>
  <si>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</si>
  <si>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</si>
  <si>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</si>
  <si>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</si>
  <si>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</si>
  <si>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</si>
  <si>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</si>
  <si>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</si>
  <si>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</si>
  <si>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</si>
  <si>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</si>
  <si>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</si>
  <si>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</si>
  <si>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</si>
  <si>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</si>
  <si>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</si>
  <si>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</si>
  <si>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</si>
  <si>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</si>
  <si>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</si>
  <si>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</si>
  <si>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</si>
  <si>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</si>
  <si>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</si>
  <si>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</si>
  <si>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</si>
  <si>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</si>
  <si>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</si>
  <si>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</si>
  <si>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</si>
  <si>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</si>
  <si>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</si>
  <si>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</si>
  <si>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</si>
  <si>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</si>
  <si>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</si>
  <si>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</si>
  <si>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</si>
  <si>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</si>
  <si>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</si>
  <si>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</si>
  <si>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</si>
  <si>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</si>
  <si>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</si>
  <si>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</si>
  <si>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</si>
  <si>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</si>
  <si>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</si>
  <si>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</si>
  <si>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</si>
  <si>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</si>
  <si>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</si>
  <si>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</si>
  <si>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</si>
  <si>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</si>
  <si>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</si>
  <si>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</si>
  <si>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</si>
  <si>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</si>
  <si>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</si>
  <si>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</si>
  <si>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</si>
  <si>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</si>
  <si>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</si>
  <si>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</si>
  <si>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</si>
  <si>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</si>
  <si>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</si>
  <si>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</si>
  <si>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</si>
  <si>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</si>
  <si>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</si>
  <si>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</si>
  <si>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</si>
  <si>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</si>
  <si>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</si>
  <si>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</si>
  <si>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</si>
  <si>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</si>
  <si>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</si>
  <si>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</si>
  <si>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</si>
  <si>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</si>
  <si>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</si>
  <si>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</si>
  <si>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</si>
  <si>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</si>
  <si>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</si>
  <si>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</si>
  <si>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</si>
  <si>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</si>
  <si>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</si>
  <si>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</si>
  <si>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</si>
  <si>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</si>
  <si>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</si>
  <si>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</si>
  <si>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</si>
  <si>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</si>
  <si>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</si>
  <si>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</si>
  <si>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</si>
  <si>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</si>
  <si>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</si>
  <si>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</si>
  <si>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</si>
  <si>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</si>
  <si>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</si>
  <si>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</si>
  <si>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</si>
  <si>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</si>
  <si>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</si>
  <si>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</si>
  <si>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</si>
  <si>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</si>
  <si>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</si>
  <si>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</si>
  <si>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</si>
  <si>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</si>
  <si>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</si>
  <si>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</si>
  <si>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</si>
  <si>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</si>
  <si>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</si>
  <si>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</si>
  <si>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</si>
  <si>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</si>
  <si>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</si>
  <si>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</si>
  <si>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</si>
  <si>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</si>
  <si>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</si>
  <si>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</si>
  <si>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</si>
  <si>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</si>
  <si>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</si>
  <si>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</si>
  <si>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</si>
  <si>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</si>
  <si>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</si>
  <si>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</si>
  <si>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</si>
  <si>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</si>
  <si>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</si>
  <si>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</si>
  <si>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</si>
  <si>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</si>
  <si>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</si>
  <si>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</si>
  <si>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</si>
  <si>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</si>
  <si>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</si>
  <si>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</si>
  <si>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</si>
  <si>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</si>
  <si>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</si>
  <si>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</si>
  <si>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</si>
  <si>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</si>
  <si>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</si>
  <si>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</si>
  <si>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</si>
  <si>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</si>
  <si>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</si>
  <si>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</si>
  <si>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</si>
  <si>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</si>
  <si>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</si>
  <si>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</si>
  <si>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</si>
  <si>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</si>
  <si>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</si>
  <si>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</si>
  <si>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</si>
  <si>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</si>
  <si>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</si>
  <si>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</si>
  <si>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</si>
  <si>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</si>
  <si>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</si>
  <si>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</si>
  <si>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</si>
  <si>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</si>
  <si>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</si>
  <si>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</si>
  <si>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</si>
  <si>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</si>
  <si>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</si>
  <si>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</si>
  <si>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</si>
  <si>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</si>
  <si>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</si>
  <si>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</si>
  <si>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</si>
  <si>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</si>
  <si>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</si>
  <si>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</si>
  <si>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</si>
  <si>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</si>
  <si>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</si>
  <si>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</si>
  <si>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</si>
  <si>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</si>
  <si>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</si>
  <si>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</si>
  <si>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</si>
  <si>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</si>
  <si>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</si>
  <si>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</si>
  <si>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</si>
  <si>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</si>
  <si>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</si>
  <si>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</si>
  <si>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</si>
  <si>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</si>
  <si>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</si>
  <si>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</si>
  <si>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</si>
  <si>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</si>
  <si>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</si>
  <si>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</si>
  <si>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</si>
  <si>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</si>
  <si>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</si>
  <si>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</si>
  <si>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</si>
  <si>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</si>
  <si>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</si>
  <si>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</si>
  <si>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</si>
  <si>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</si>
  <si>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</si>
  <si>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</si>
  <si>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</si>
  <si>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</si>
  <si>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</si>
  <si>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</si>
  <si>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</si>
  <si>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</si>
  <si>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</si>
  <si>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</si>
  <si>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</si>
  <si>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</si>
  <si>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</si>
  <si>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</si>
  <si>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</si>
  <si>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</si>
  <si>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</si>
  <si>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</si>
  <si>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</si>
  <si>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</si>
  <si>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</si>
  <si>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</si>
  <si>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</si>
  <si>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</si>
  <si>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</si>
  <si>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</si>
  <si>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</si>
  <si>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</si>
  <si>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</si>
  <si>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</si>
  <si>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</si>
  <si>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</si>
  <si>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</si>
  <si>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</si>
  <si>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</si>
  <si>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</si>
  <si>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</si>
  <si>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</si>
  <si>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</si>
  <si>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</si>
  <si>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</si>
  <si>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</si>
  <si>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</si>
  <si>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</si>
  <si>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</si>
  <si>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</si>
  <si>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</si>
  <si>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</si>
  <si>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</si>
  <si>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</si>
  <si>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</si>
  <si>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</si>
  <si>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</si>
  <si>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</si>
  <si>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</si>
  <si>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</si>
  <si>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</si>
  <si>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</si>
  <si>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</si>
  <si>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</si>
  <si>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</si>
  <si>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</si>
  <si>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</si>
  <si>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</si>
  <si>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</si>
  <si>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</si>
  <si>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</si>
  <si>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</si>
  <si>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</si>
  <si>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</si>
  <si>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</si>
  <si>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</si>
  <si>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</si>
  <si>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</si>
  <si>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</si>
  <si>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</si>
  <si>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</si>
  <si>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</si>
  <si>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</si>
  <si>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</si>
  <si>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</si>
  <si>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</si>
  <si>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</si>
  <si>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</si>
  <si>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</si>
  <si>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</si>
  <si>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</si>
  <si>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</si>
  <si>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</si>
  <si>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</si>
  <si>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</si>
  <si>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</si>
  <si>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</si>
  <si>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</si>
  <si>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</si>
  <si>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</si>
  <si>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</si>
  <si>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</si>
  <si>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</si>
  <si>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</si>
  <si>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</si>
  <si>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</si>
  <si>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</si>
  <si>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</si>
  <si>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</si>
  <si>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</si>
  <si>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</si>
  <si>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</si>
  <si>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</si>
  <si>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</si>
  <si>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</si>
  <si>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</si>
  <si>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</si>
  <si>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</si>
  <si>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</si>
  <si>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</si>
  <si>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</si>
  <si>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</si>
  <si>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</si>
  <si>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</si>
  <si>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</si>
  <si>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</si>
  <si>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</si>
  <si>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</si>
  <si>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</si>
  <si>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</si>
  <si>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</si>
  <si>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</si>
  <si>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</si>
  <si>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</si>
  <si>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</si>
  <si>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</si>
  <si>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</si>
  <si>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</si>
  <si>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</si>
  <si>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</si>
  <si>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</si>
  <si>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</si>
  <si>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</si>
  <si>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</si>
  <si>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</si>
  <si>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</si>
  <si>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</si>
  <si>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</si>
  <si>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</si>
  <si>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</si>
  <si>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</si>
  <si>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</si>
  <si>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</si>
  <si>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</si>
  <si>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</si>
  <si>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</si>
  <si>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</si>
  <si>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</si>
  <si>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</si>
  <si>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</si>
  <si>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</si>
  <si>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</si>
  <si>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</si>
  <si>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</si>
  <si>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</si>
  <si>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</si>
  <si>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</si>
  <si>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</si>
  <si>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</si>
  <si>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</si>
  <si>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</si>
  <si>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</si>
  <si>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</si>
  <si>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</si>
  <si>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</si>
  <si>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</si>
  <si>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</si>
  <si>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</si>
  <si>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</si>
  <si>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</si>
  <si>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</si>
  <si>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</si>
  <si>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</si>
  <si>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</si>
  <si>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</si>
  <si>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</si>
  <si>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</si>
  <si>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</si>
  <si>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</si>
  <si>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</si>
  <si>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</si>
  <si>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</si>
  <si>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</si>
  <si>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</si>
  <si>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</si>
  <si>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</si>
  <si>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</si>
  <si>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</si>
  <si>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</si>
  <si>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</si>
  <si>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</si>
  <si>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</si>
  <si>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</si>
  <si>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</si>
  <si>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</si>
  <si>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</si>
  <si>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</si>
  <si>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</si>
  <si>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</si>
  <si>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</si>
  <si>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</si>
  <si>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</si>
  <si>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</si>
  <si>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</si>
  <si>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</si>
  <si>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</si>
  <si>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</si>
  <si>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</si>
  <si>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</si>
  <si>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</si>
  <si>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</si>
  <si>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</si>
  <si>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</si>
  <si>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</si>
  <si>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</si>
  <si>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</si>
  <si>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</si>
  <si>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</si>
  <si>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</si>
  <si>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</si>
  <si>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</si>
  <si>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</si>
  <si>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</si>
  <si>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</si>
  <si>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</si>
  <si>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</si>
  <si>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</si>
  <si>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</si>
  <si>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</si>
  <si>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</si>
  <si>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</si>
  <si>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</si>
  <si>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</si>
  <si>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</si>
  <si>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</si>
  <si>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</si>
  <si>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</si>
  <si>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</si>
  <si>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</si>
  <si>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</si>
  <si>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</si>
  <si>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</si>
  <si>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</si>
  <si>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</si>
  <si>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</si>
  <si>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</si>
  <si>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</si>
  <si>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</si>
  <si>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</si>
  <si>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</si>
  <si>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</si>
  <si>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</si>
  <si>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</si>
  <si>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</si>
  <si>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</si>
  <si>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</si>
  <si>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</si>
  <si>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</si>
  <si>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</si>
  <si>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</si>
  <si>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</si>
  <si>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</si>
  <si>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</si>
  <si>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</si>
  <si>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</si>
  <si>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</si>
  <si>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</si>
  <si>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</si>
  <si>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</si>
  <si>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</si>
  <si>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</si>
  <si>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</si>
  <si>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</si>
  <si>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</si>
  <si>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</si>
  <si>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</si>
  <si>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</si>
  <si>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</si>
  <si>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</si>
  <si>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</si>
  <si>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</si>
  <si>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</si>
  <si>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</si>
  <si>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</si>
  <si>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</si>
  <si>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</si>
  <si>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</si>
  <si>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</si>
  <si>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</si>
  <si>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</si>
  <si>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</si>
  <si>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</si>
  <si>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</si>
  <si>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</si>
  <si>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</si>
  <si>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</si>
  <si>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</si>
  <si>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</si>
  <si>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</si>
  <si>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</si>
  <si>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</si>
  <si>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</si>
  <si>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</si>
  <si>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</si>
  <si>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</si>
  <si>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</si>
  <si>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</si>
  <si>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</si>
  <si>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</si>
  <si>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</si>
  <si>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</si>
  <si>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</si>
  <si>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</si>
  <si>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</si>
  <si>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</si>
  <si>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</si>
  <si>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</si>
  <si>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</si>
  <si>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</si>
  <si>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</si>
  <si>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</si>
  <si>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</si>
  <si>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</si>
  <si>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</si>
  <si>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</si>
  <si>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</si>
  <si>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</si>
  <si>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</si>
  <si>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</si>
  <si>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</si>
  <si>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</si>
  <si>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</si>
  <si>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</si>
  <si>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</si>
  <si>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</si>
  <si>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</si>
  <si>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</si>
  <si>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</si>
  <si>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</si>
  <si>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</si>
  <si>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</si>
  <si>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</si>
  <si>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</si>
  <si>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</si>
  <si>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</si>
  <si>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</si>
  <si>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</si>
  <si>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</si>
  <si>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</si>
  <si>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</si>
  <si>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</si>
  <si>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</si>
  <si>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</si>
  <si>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</si>
  <si>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</si>
  <si>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</si>
  <si>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</si>
  <si>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</si>
  <si>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</si>
  <si>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</si>
  <si>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</si>
  <si>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</si>
  <si>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</si>
  <si>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</si>
  <si>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</si>
  <si>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</si>
  <si>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</si>
  <si>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</si>
  <si>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</si>
  <si>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</si>
  <si>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</si>
  <si>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</si>
  <si>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</si>
  <si>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</si>
  <si>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</si>
  <si>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</si>
  <si>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</si>
  <si>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</si>
  <si>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</si>
  <si>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</si>
  <si>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</si>
  <si>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</si>
  <si>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</si>
  <si>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</si>
  <si>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</si>
  <si>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</si>
  <si>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</si>
  <si>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</si>
  <si>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</si>
  <si>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</si>
  <si>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</si>
  <si>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</si>
  <si>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</si>
  <si>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</si>
  <si>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</si>
  <si>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</si>
  <si>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</si>
  <si>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</si>
  <si>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</si>
  <si>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</si>
  <si>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</si>
  <si>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</si>
  <si>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</si>
  <si>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</si>
  <si>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</si>
  <si>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</si>
  <si>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</si>
  <si>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</si>
  <si>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</si>
  <si>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</si>
  <si>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</si>
  <si>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</si>
  <si>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</si>
  <si>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</si>
  <si>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</si>
  <si>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</si>
  <si>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</si>
  <si>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</si>
  <si>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</si>
  <si>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</si>
  <si>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</si>
  <si>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</si>
  <si>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</si>
  <si>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</si>
  <si>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</si>
  <si>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</si>
  <si>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</si>
  <si>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</si>
  <si>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</si>
  <si>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</si>
  <si>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</si>
  <si>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</si>
  <si>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</si>
  <si>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</si>
  <si>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</si>
  <si>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</si>
  <si>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</si>
  <si>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</si>
  <si>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</si>
  <si>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</si>
  <si>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</si>
  <si>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</si>
  <si>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</si>
  <si>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</si>
  <si>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</si>
  <si>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</si>
  <si>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</si>
  <si>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</si>
  <si>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</si>
  <si>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</si>
  <si>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</si>
  <si>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</si>
  <si>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</si>
  <si>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</si>
  <si>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</si>
  <si>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</si>
  <si>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</si>
  <si>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</si>
  <si>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</si>
  <si>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</si>
  <si>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</si>
  <si>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</si>
  <si>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</si>
  <si>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</si>
  <si>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</si>
  <si>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</si>
  <si>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</si>
  <si>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</si>
  <si>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</si>
  <si>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</si>
  <si>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</si>
  <si>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</si>
  <si>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</si>
  <si>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</si>
  <si>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</si>
  <si>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</si>
  <si>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</si>
  <si>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</si>
  <si>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</si>
  <si>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</si>
  <si>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</si>
  <si>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</si>
  <si>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</si>
  <si>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</si>
  <si>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</si>
  <si>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</si>
  <si>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</si>
  <si>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</si>
  <si>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</si>
  <si>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</si>
  <si>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</si>
  <si>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</si>
  <si>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</si>
  <si>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</si>
  <si>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</si>
  <si>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</si>
  <si>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</si>
  <si>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</si>
  <si>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</si>
  <si>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</si>
  <si>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</si>
  <si>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</si>
  <si>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</si>
  <si>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</si>
  <si>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</si>
  <si>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</si>
  <si>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</si>
  <si>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</si>
  <si>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</si>
  <si>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</si>
  <si>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</si>
  <si>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</si>
  <si>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</si>
  <si>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</si>
  <si>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</si>
  <si>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</si>
  <si>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</si>
  <si>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</si>
  <si>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</si>
  <si>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</si>
  <si>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</si>
  <si>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</si>
  <si>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</si>
  <si>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</si>
  <si>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</si>
  <si>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</si>
  <si>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</si>
  <si>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</si>
  <si>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</si>
  <si>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</si>
  <si>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</si>
  <si>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</si>
  <si>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</si>
  <si>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</si>
  <si>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</si>
  <si>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</si>
  <si>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</si>
  <si>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</si>
  <si>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</si>
  <si>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</si>
  <si>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</si>
  <si>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</si>
  <si>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</si>
  <si>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</si>
  <si>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</si>
  <si>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</si>
  <si>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</si>
  <si>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</si>
  <si>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</si>
  <si>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</si>
  <si>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</si>
  <si>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</si>
  <si>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</si>
  <si>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門市回裝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</si>
  <si>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</si>
  <si>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</si>
  <si>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</si>
  <si>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</si>
  <si>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</si>
  <si>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</si>
  <si>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</si>
  <si>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</si>
  <si>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</si>
  <si>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</si>
  <si>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</si>
  <si>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</si>
  <si>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</si>
  <si>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</si>
  <si>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</si>
  <si>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</si>
  <si>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</si>
  <si>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</si>
  <si>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</si>
  <si>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</si>
  <si>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</si>
  <si>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</si>
  <si>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</si>
  <si>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</si>
  <si>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</si>
  <si>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</si>
  <si>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</si>
  <si>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</si>
  <si>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</si>
  <si>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</si>
  <si>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</si>
  <si>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</si>
  <si>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</si>
  <si>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</si>
  <si>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</si>
  <si>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</si>
  <si>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</si>
  <si>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</si>
  <si>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</si>
  <si>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</si>
  <si>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</si>
  <si>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</si>
  <si>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</si>
  <si>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</si>
  <si>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</si>
  <si>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</si>
  <si>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</si>
  <si>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</si>
  <si>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</si>
  <si>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</si>
  <si>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</si>
  <si>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</si>
  <si>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</si>
  <si>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</si>
  <si>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</si>
  <si>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</si>
  <si>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</si>
  <si>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</si>
  <si>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</si>
  <si>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</si>
  <si>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</si>
  <si>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</si>
  <si>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</si>
  <si>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</si>
  <si>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</si>
  <si>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</si>
  <si>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</si>
  <si>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</si>
  <si>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</si>
  <si>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</si>
  <si>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</si>
  <si>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</si>
  <si>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</si>
  <si>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</si>
  <si>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</si>
  <si>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</si>
  <si>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</si>
  <si>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</si>
  <si>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</si>
  <si>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</si>
  <si>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</si>
  <si>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</si>
  <si>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</si>
  <si>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</si>
  <si>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</si>
  <si>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</si>
  <si>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</si>
  <si>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</si>
  <si>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</si>
  <si>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</si>
  <si>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</si>
  <si>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</si>
  <si>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</si>
  <si>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</si>
  <si>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</si>
  <si>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</si>
  <si>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</si>
  <si>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</si>
  <si>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</si>
  <si>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</si>
  <si>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</si>
  <si>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</si>
  <si>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</si>
  <si>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</si>
  <si>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</si>
  <si>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</si>
  <si>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</si>
  <si>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</si>
  <si>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</si>
  <si>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</si>
  <si>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</si>
  <si>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</si>
  <si>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</si>
  <si>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</si>
  <si>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</si>
  <si>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</si>
  <si>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</si>
  <si>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</si>
  <si>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</si>
  <si>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</si>
  <si>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</si>
  <si>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</si>
  <si>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</si>
  <si>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</si>
  <si>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</si>
  <si>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</si>
  <si>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</si>
  <si>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</si>
  <si>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</si>
  <si>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</si>
  <si>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</si>
  <si>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</si>
  <si>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</si>
  <si>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</si>
  <si>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</si>
  <si>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</si>
  <si>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</si>
  <si>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</si>
  <si>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</si>
  <si>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</si>
  <si>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</si>
  <si>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</si>
  <si>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</si>
  <si>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</si>
  <si>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</si>
  <si>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</si>
  <si>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</si>
  <si>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</si>
  <si>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</si>
  <si>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</si>
  <si>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</si>
  <si>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</si>
  <si>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</si>
  <si>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</si>
  <si>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</si>
  <si>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</si>
  <si>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</si>
  <si>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</si>
  <si>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</si>
  <si>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</si>
  <si>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</si>
  <si>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</si>
  <si>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</si>
  <si>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</si>
  <si>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</si>
  <si>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</si>
  <si>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</si>
  <si>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</si>
  <si>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</si>
  <si>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</si>
  <si>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</si>
  <si>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</si>
  <si>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</si>
  <si>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</si>
  <si>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</si>
  <si>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</si>
  <si>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</si>
  <si>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</si>
  <si>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</si>
  <si>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</si>
  <si>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</si>
  <si>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</si>
  <si>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</si>
  <si>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</si>
  <si>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</si>
  <si>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</si>
  <si>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</si>
  <si>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</si>
  <si>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</si>
  <si>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</si>
  <si>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</si>
  <si>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</si>
  <si>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</si>
  <si>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</si>
  <si>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</si>
  <si>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</si>
  <si>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</si>
  <si>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</si>
  <si>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</si>
  <si>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</si>
  <si>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</si>
  <si>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</si>
  <si>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</si>
  <si>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</si>
  <si>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</si>
  <si>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</si>
  <si>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</si>
  <si>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</si>
  <si>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</si>
  <si>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</si>
  <si>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</si>
  <si>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</si>
  <si>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</si>
  <si>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</si>
  <si>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</si>
  <si>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</si>
  <si>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</si>
  <si>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</si>
  <si>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</si>
  <si>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</si>
  <si>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</si>
  <si>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</si>
  <si>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</si>
  <si>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</si>
  <si>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</si>
  <si>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</si>
  <si>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</si>
  <si>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</si>
  <si>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</si>
  <si>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</si>
  <si>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</si>
  <si>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</si>
  <si>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</si>
  <si>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</si>
  <si>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</si>
  <si>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</si>
  <si>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</si>
  <si>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</si>
  <si>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</si>
  <si>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</si>
  <si>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</si>
  <si>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</si>
  <si>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</si>
  <si>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</si>
  <si>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</si>
  <si>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</si>
  <si>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</si>
  <si>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</si>
  <si>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</si>
  <si>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</si>
  <si>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</si>
  <si>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</si>
  <si>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</si>
  <si>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</si>
  <si>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</si>
  <si>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</si>
  <si>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</si>
  <si>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</si>
  <si>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</si>
  <si>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</si>
  <si>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</si>
  <si>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</si>
  <si>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</si>
  <si>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</si>
  <si>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</si>
  <si>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</si>
  <si>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</si>
  <si>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</si>
  <si>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</si>
  <si>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</si>
  <si>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</si>
  <si>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</si>
  <si>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</si>
  <si>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</si>
  <si>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</si>
  <si>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</si>
  <si>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</si>
  <si>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</si>
  <si>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</si>
  <si>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</si>
  <si>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</si>
  <si>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</si>
  <si>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</si>
  <si>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</si>
  <si>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</si>
  <si>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</si>
  <si>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</si>
  <si>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</si>
  <si>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</si>
  <si>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</si>
  <si>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</si>
  <si>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</si>
  <si>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</si>
  <si>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</si>
  <si>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</si>
  <si>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</si>
  <si>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</si>
  <si>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</si>
  <si>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</si>
  <si>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</si>
  <si>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</si>
  <si>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</si>
  <si>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</si>
  <si>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</si>
  <si>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</si>
  <si>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</si>
  <si>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</si>
  <si>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</si>
  <si>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</si>
  <si>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</si>
  <si>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</si>
  <si>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</si>
  <si>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</si>
  <si>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</si>
  <si>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</si>
  <si>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</si>
  <si>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</si>
  <si>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</si>
  <si>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</si>
  <si>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</si>
  <si>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</si>
  <si>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</si>
  <si>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</si>
  <si>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</si>
  <si>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</si>
  <si>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</si>
  <si>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</si>
  <si>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</si>
  <si>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</si>
  <si>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</si>
  <si>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</si>
  <si>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</si>
  <si>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</si>
  <si>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</si>
  <si>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</si>
  <si>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</si>
  <si>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</si>
  <si>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</si>
  <si>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</si>
  <si>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</si>
  <si>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</si>
  <si>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</si>
  <si>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</si>
  <si>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</si>
  <si>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</si>
  <si>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</si>
  <si>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</si>
  <si>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</si>
  <si>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</si>
  <si>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</si>
  <si>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</si>
  <si>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</si>
  <si>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</si>
  <si>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</si>
  <si>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</si>
  <si>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</si>
  <si>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</si>
  <si>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</si>
  <si>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</si>
  <si>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</si>
  <si>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</si>
  <si>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</si>
  <si>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</si>
  <si>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</si>
  <si>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</si>
  <si>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</si>
  <si>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</si>
  <si>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</si>
  <si>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</si>
  <si>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</si>
  <si>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</si>
  <si>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</si>
  <si>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</si>
  <si>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</si>
  <si>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</si>
  <si>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</si>
  <si>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</si>
  <si>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</si>
  <si>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</si>
  <si>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</si>
  <si>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</si>
  <si>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</si>
  <si>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</si>
  <si>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</si>
  <si>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</si>
  <si>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</si>
  <si>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</si>
  <si>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</si>
  <si>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</si>
  <si>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</si>
  <si>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</si>
  <si>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</si>
  <si>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</si>
  <si>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</si>
  <si>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</si>
  <si>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</si>
  <si>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</si>
  <si>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</si>
  <si>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</si>
  <si>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</si>
  <si>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</si>
  <si>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</si>
  <si>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</si>
  <si>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</si>
  <si>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</si>
  <si>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</si>
  <si>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</si>
  <si>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</si>
  <si>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</si>
  <si>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</si>
  <si>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</si>
  <si>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</si>
  <si>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</si>
  <si>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 eS-4528A 黑白複合機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</si>
  <si>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</si>
  <si>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</si>
  <si>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</si>
  <si>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</si>
  <si>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</si>
  <si>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</si>
  <si>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</si>
  <si>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</si>
  <si>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</si>
  <si>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</si>
  <si>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</si>
  <si>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</si>
  <si>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</si>
  <si>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</si>
  <si>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</si>
  <si>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</si>
  <si>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</si>
  <si>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</si>
  <si>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</si>
  <si>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</si>
  <si>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</si>
  <si>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</si>
  <si>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</si>
  <si>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</si>
  <si>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</si>
  <si>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</si>
  <si>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</si>
  <si>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</si>
  <si>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</si>
  <si>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</si>
  <si>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</si>
  <si>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</si>
  <si>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</si>
  <si>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</si>
  <si>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</si>
  <si>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</si>
  <si>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</si>
  <si>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</si>
  <si>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</si>
  <si>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</si>
  <si>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</si>
  <si>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</si>
  <si>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</si>
  <si>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</si>
  <si>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</si>
  <si>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</si>
  <si>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</si>
  <si>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</si>
  <si>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</si>
  <si>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</si>
  <si>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</si>
  <si>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</si>
  <si>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</si>
  <si>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</si>
  <si>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</si>
  <si>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</si>
  <si>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</si>
  <si>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</si>
  <si>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</si>
  <si>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</si>
  <si>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</si>
  <si>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</si>
  <si>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</si>
  <si>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</si>
  <si>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</si>
  <si>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</si>
  <si>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</si>
  <si>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</si>
  <si>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</si>
  <si>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</si>
  <si>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</si>
  <si>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</si>
  <si>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</si>
  <si>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</si>
  <si>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</si>
  <si>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</si>
  <si>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</si>
  <si>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</si>
  <si>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</si>
  <si>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</si>
  <si>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</si>
  <si>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</si>
  <si>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</si>
  <si>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</si>
  <si>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</si>
  <si>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</si>
  <si>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</si>
  <si>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</si>
  <si>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</si>
  <si>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</si>
  <si>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</si>
  <si>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</si>
  <si>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</si>
  <si>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</si>
  <si>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</si>
  <si>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</si>
  <si>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</si>
  <si>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</si>
  <si>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</si>
  <si>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</si>
  <si>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</si>
  <si>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</si>
  <si>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</si>
  <si>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</si>
  <si>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</si>
  <si>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</si>
  <si>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</si>
  <si>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</si>
  <si>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</si>
  <si>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</si>
  <si>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</si>
  <si>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</si>
  <si>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</si>
  <si>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</si>
  <si>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</si>
  <si>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</si>
  <si>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</si>
  <si>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</si>
  <si>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</si>
  <si>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</si>
  <si>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</si>
  <si>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</si>
  <si>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</si>
  <si>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</si>
  <si>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</si>
  <si>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</si>
  <si>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</si>
  <si>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</si>
  <si>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</si>
  <si>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</si>
  <si>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</si>
  <si>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</si>
  <si>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</si>
  <si>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</si>
  <si>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</si>
  <si>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</si>
  <si>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</si>
  <si>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</si>
  <si>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</si>
  <si>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</si>
  <si>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</si>
  <si>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</si>
  <si>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</si>
  <si>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</si>
  <si>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</si>
  <si>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</si>
  <si>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</si>
  <si>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</si>
  <si>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</si>
  <si>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</si>
  <si>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</si>
  <si>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</si>
  <si>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</si>
  <si>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</si>
  <si>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</si>
  <si>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</si>
  <si>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</si>
  <si>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</si>
  <si>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</si>
  <si>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</si>
  <si>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</si>
  <si>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</si>
  <si>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</si>
  <si>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</si>
  <si>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</si>
  <si>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</si>
  <si>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</si>
  <si>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</si>
  <si>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</si>
  <si>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</si>
  <si>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</si>
  <si>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</si>
  <si>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</si>
  <si>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</si>
  <si>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</si>
  <si>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</si>
  <si>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</si>
  <si>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</si>
  <si>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</si>
  <si>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</si>
  <si>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</si>
  <si>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</si>
  <si>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</si>
  <si>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</si>
  <si>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</si>
  <si>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</si>
  <si>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</si>
  <si>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</si>
  <si>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</si>
  <si>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</si>
  <si>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</si>
  <si>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</si>
  <si>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</si>
  <si>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</si>
  <si>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</si>
  <si>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</si>
  <si>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</si>
  <si>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</si>
  <si>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</si>
  <si>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</si>
  <si>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</si>
  <si>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</si>
  <si>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</si>
  <si>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</si>
  <si>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</si>
  <si>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</si>
  <si>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</si>
  <si>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</si>
  <si>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</si>
  <si>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</si>
  <si>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</si>
  <si>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</si>
  <si>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</si>
  <si>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</si>
  <si>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</si>
  <si>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</si>
  <si>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</si>
  <si>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</si>
  <si>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</si>
  <si>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</si>
  <si>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</si>
  <si>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</si>
  <si>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</si>
  <si>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</si>
  <si>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</si>
  <si>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</si>
  <si>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</si>
  <si>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</si>
  <si>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</si>
  <si>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</si>
  <si>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</si>
  <si>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</si>
  <si>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</si>
  <si>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</si>
  <si>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</si>
  <si>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</si>
  <si>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</si>
  <si>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</si>
  <si>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</si>
  <si>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</si>
  <si>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</si>
  <si>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</si>
  <si>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</si>
  <si>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</si>
  <si>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</si>
  <si>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</si>
  <si>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</si>
  <si>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</si>
  <si>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</si>
  <si>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</si>
  <si>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</si>
  <si>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</si>
  <si>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</si>
  <si>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</si>
  <si>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</si>
  <si>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</si>
  <si>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</si>
  <si>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</si>
  <si>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</si>
  <si>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</si>
  <si>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</si>
  <si>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</si>
  <si>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</si>
  <si>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</si>
  <si>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</si>
  <si>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</si>
  <si>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</si>
  <si>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</si>
  <si>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</si>
  <si>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</si>
  <si>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</si>
  <si>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</si>
  <si>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</si>
  <si>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</si>
  <si>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</si>
  <si>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</si>
  <si>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</si>
  <si>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</si>
  <si>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</si>
  <si>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</si>
  <si>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</si>
  <si>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</si>
  <si>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</si>
  <si>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</si>
  <si>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</si>
  <si>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</si>
  <si>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</si>
  <si>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</si>
  <si>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</si>
  <si>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</si>
  <si>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</si>
  <si>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</si>
  <si>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</si>
  <si>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</si>
  <si>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</si>
  <si>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</si>
  <si>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</si>
  <si>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</si>
  <si>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</si>
  <si>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</si>
  <si>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</si>
  <si>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</si>
  <si>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</si>
  <si>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</si>
  <si>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</si>
  <si>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</si>
  <si>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</si>
  <si>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</si>
  <si>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</si>
  <si>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</si>
  <si>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</si>
  <si>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</si>
  <si>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</si>
  <si>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</si>
  <si>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</si>
  <si>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</si>
  <si>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</si>
  <si>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</si>
  <si>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</si>
  <si>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</si>
  <si>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</si>
  <si>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</si>
  <si>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</si>
  <si>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</si>
  <si>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</si>
  <si>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</si>
  <si>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</si>
  <si>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</si>
  <si>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</si>
  <si>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</si>
  <si>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</si>
  <si>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</si>
  <si>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</si>
  <si>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</si>
  <si>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</si>
  <si>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</si>
  <si>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</si>
  <si>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</si>
  <si>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</si>
  <si>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</si>
  <si>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</si>
  <si>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</si>
  <si>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</si>
  <si>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</si>
  <si>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</si>
  <si>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</si>
  <si>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</si>
  <si>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</si>
  <si>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</si>
  <si>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</si>
  <si>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</si>
  <si>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</si>
  <si>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</si>
  <si>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</si>
  <si>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</si>
  <si>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</si>
  <si>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</si>
  <si>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</si>
  <si>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</si>
  <si>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</si>
  <si>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</si>
  <si>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</si>
  <si>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</si>
  <si>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</si>
  <si>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</si>
  <si>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</si>
  <si>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</si>
  <si>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</si>
  <si>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</si>
  <si>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</si>
  <si>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</si>
  <si>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</si>
  <si>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</si>
  <si>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</si>
  <si>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</si>
  <si>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</si>
  <si>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</si>
  <si>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</si>
  <si>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</si>
  <si>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</si>
  <si>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</si>
  <si>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</si>
  <si>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</si>
  <si>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</si>
  <si>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</si>
  <si>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</si>
  <si>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</si>
  <si>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</si>
  <si>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</si>
  <si>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</si>
  <si>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</si>
  <si>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</si>
  <si>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</si>
  <si>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</si>
  <si>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</si>
  <si>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</si>
  <si>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</si>
  <si>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</si>
  <si>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</si>
  <si>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</si>
  <si>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</si>
  <si>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</si>
  <si>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</si>
  <si>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</si>
  <si>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</si>
  <si>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</si>
  <si>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</si>
  <si>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</si>
  <si>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</si>
  <si>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</si>
  <si>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</si>
  <si>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</si>
  <si>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</si>
  <si>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</si>
  <si>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</si>
  <si>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</si>
  <si>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</si>
  <si>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</si>
  <si>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</si>
  <si>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</si>
  <si>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</si>
  <si>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</si>
  <si>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</si>
  <si>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</si>
  <si>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</si>
  <si>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</si>
  <si>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</si>
  <si>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</si>
  <si>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</si>
  <si>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</si>
  <si>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</si>
  <si>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</si>
  <si>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</si>
  <si>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</si>
  <si>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</si>
  <si>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</si>
  <si>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</si>
  <si>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</si>
  <si>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</si>
  <si>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</si>
  <si>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</si>
  <si>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</si>
  <si>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</si>
  <si>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</si>
  <si>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</si>
  <si>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</si>
  <si>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</si>
  <si>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</si>
  <si>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</si>
  <si>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</si>
  <si>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</si>
  <si>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</si>
  <si>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</si>
  <si>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</si>
  <si>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</si>
  <si>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</si>
  <si>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</si>
  <si>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</si>
  <si>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</si>
  <si>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</si>
  <si>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</si>
  <si>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</si>
  <si>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</si>
  <si>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</si>
  <si>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</si>
  <si>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</si>
  <si>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</si>
  <si>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</si>
  <si>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</si>
  <si>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</si>
  <si>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</si>
  <si>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</si>
  <si>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</si>
  <si>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</si>
  <si>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</si>
  <si>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</si>
  <si>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</si>
  <si>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</si>
  <si>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</si>
  <si>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</si>
  <si>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</si>
  <si>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</si>
  <si>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</si>
  <si>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</si>
  <si>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</si>
  <si>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</si>
  <si>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</si>
  <si>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</si>
  <si>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</si>
  <si>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</si>
  <si>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</si>
  <si>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</si>
  <si>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</si>
  <si>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</si>
  <si>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</si>
  <si>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</si>
  <si>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</si>
  <si>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</si>
  <si>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</si>
  <si>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</si>
  <si>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</si>
  <si>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</si>
  <si>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</si>
  <si>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</si>
  <si>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</si>
  <si>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</si>
  <si>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</si>
  <si>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</si>
  <si>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</si>
  <si>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</si>
  <si>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</si>
  <si>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</si>
  <si>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</si>
  <si>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</si>
  <si>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</si>
  <si>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</si>
  <si>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</si>
  <si>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</si>
  <si>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</si>
  <si>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</si>
  <si>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</si>
  <si>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</si>
  <si>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</si>
  <si>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</si>
  <si>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</si>
  <si>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</si>
  <si>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</si>
  <si>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</si>
  <si>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</si>
  <si>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</si>
  <si>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</si>
  <si>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</si>
  <si>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</si>
  <si>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</si>
  <si>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</si>
  <si>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</si>
  <si>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</si>
  <si>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</si>
  <si>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</si>
  <si>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</si>
  <si>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</si>
  <si>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</si>
  <si>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</si>
  <si>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</si>
  <si>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</si>
  <si>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</si>
  <si>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</si>
  <si>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</si>
  <si>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</si>
  <si>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</si>
  <si>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</si>
  <si>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</si>
  <si>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</si>
  <si>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</si>
  <si>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</si>
  <si>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</si>
  <si>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</si>
  <si>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</si>
  <si>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</si>
  <si>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</si>
  <si>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</si>
  <si>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</si>
  <si>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</si>
  <si>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</si>
  <si>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</si>
  <si>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</si>
  <si>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</si>
  <si>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</si>
  <si>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</si>
  <si>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</si>
  <si>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</si>
  <si>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</si>
  <si>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</si>
  <si>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</si>
  <si>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</si>
  <si>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</si>
  <si>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</si>
  <si>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</si>
  <si>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</si>
  <si>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</si>
  <si>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</si>
  <si>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</si>
  <si>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</si>
  <si>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</si>
  <si>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</si>
  <si>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</si>
  <si>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</si>
  <si>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</si>
  <si>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</si>
  <si>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</si>
  <si>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</si>
  <si>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</si>
  <si>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</si>
  <si>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</si>
  <si>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</si>
  <si>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</si>
  <si>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</si>
  <si>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</si>
  <si>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</si>
  <si>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</si>
  <si>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</si>
  <si>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</si>
  <si>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</si>
  <si>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</si>
  <si>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</si>
  <si>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</si>
  <si>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</si>
  <si>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</si>
  <si>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</si>
  <si>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</si>
  <si>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</si>
  <si>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</si>
  <si>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</si>
  <si>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</si>
  <si>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</si>
  <si>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</si>
  <si>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</si>
  <si>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</si>
  <si>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</si>
  <si>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</si>
  <si>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</si>
  <si>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</si>
  <si>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</si>
  <si>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</si>
  <si>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</si>
  <si>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</si>
  <si>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</si>
  <si>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</si>
  <si>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</si>
  <si>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</si>
  <si>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</si>
  <si>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</si>
  <si>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</si>
  <si>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</si>
  <si>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</si>
  <si>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</si>
  <si>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</si>
  <si>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</si>
  <si>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</si>
  <si>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</si>
  <si>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</si>
  <si>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</si>
  <si>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</si>
  <si>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</si>
  <si>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</si>
  <si>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</si>
  <si>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</si>
  <si>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</si>
  <si>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</si>
  <si>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</si>
  <si>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</si>
  <si>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</si>
  <si>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</si>
  <si>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</si>
  <si>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</si>
  <si>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</si>
  <si>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</si>
  <si>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</si>
  <si>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</si>
  <si>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</si>
  <si>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</si>
  <si>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</si>
  <si>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</si>
  <si>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</si>
  <si>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</si>
  <si>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</si>
  <si>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</si>
  <si>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</si>
  <si>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</si>
  <si>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</si>
  <si>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</si>
  <si>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</si>
  <si>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</si>
  <si>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</si>
  <si>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</si>
  <si>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</si>
  <si>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</si>
  <si>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</si>
  <si>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</si>
  <si>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</si>
  <si>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</si>
  <si>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</si>
  <si>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</si>
  <si>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</si>
  <si>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</si>
  <si>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</si>
  <si>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</si>
  <si>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</si>
  <si>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</si>
  <si>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</si>
  <si>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</si>
  <si>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</si>
  <si>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</si>
  <si>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</si>
  <si>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</si>
  <si>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</si>
  <si>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</si>
  <si>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</si>
  <si>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</si>
  <si>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</si>
  <si>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</si>
  <si>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</si>
  <si>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</si>
  <si>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</si>
  <si>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</si>
  <si>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</si>
  <si>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</si>
  <si>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</si>
  <si>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</si>
  <si>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</si>
  <si>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</si>
  <si>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</si>
  <si>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</si>
  <si>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</si>
  <si>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</si>
  <si>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</si>
  <si>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</si>
  <si>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</si>
  <si>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</si>
  <si>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</si>
  <si>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</si>
  <si>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</si>
  <si>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</si>
  <si>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</si>
  <si>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</si>
  <si>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</si>
  <si>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</si>
  <si>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</si>
  <si>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</si>
  <si>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</si>
  <si>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</si>
  <si>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</si>
  <si>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</si>
  <si>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</si>
  <si>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</si>
  <si>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</si>
  <si>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</si>
  <si>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</si>
  <si>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</si>
  <si>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</si>
  <si>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</si>
  <si>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</si>
  <si>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</si>
  <si>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</si>
  <si>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</si>
  <si>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</si>
  <si>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</si>
  <si>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</si>
  <si>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</si>
  <si>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</si>
  <si>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</si>
  <si>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</si>
  <si>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</si>
  <si>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</si>
  <si>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</si>
  <si>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</si>
  <si>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</si>
  <si>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</si>
  <si>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</si>
  <si>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</si>
  <si>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</si>
  <si>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</si>
  <si>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</si>
  <si>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</si>
  <si>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</si>
  <si>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</si>
  <si>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</si>
  <si>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</si>
  <si>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</si>
  <si>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</si>
  <si>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</si>
  <si>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</si>
  <si>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</si>
  <si>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</si>
  <si>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</si>
  <si>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</si>
  <si>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</si>
  <si>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</si>
  <si>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</si>
  <si>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</si>
  <si>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</si>
  <si>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</si>
  <si>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</si>
  <si>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</si>
  <si>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</si>
  <si>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</si>
  <si>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</si>
  <si>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</si>
  <si>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</si>
  <si>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</si>
  <si>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</si>
  <si>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</si>
  <si>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</si>
  <si>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</si>
  <si>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</si>
  <si>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</si>
  <si>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</si>
  <si>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</si>
  <si>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</si>
  <si>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</si>
  <si>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</si>
  <si>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</si>
  <si>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</si>
  <si>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</si>
  <si>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</si>
  <si>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</si>
  <si>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</si>
  <si>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</si>
  <si>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</si>
  <si>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</si>
  <si>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</si>
  <si>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</si>
  <si>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</si>
  <si>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</si>
  <si>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</si>
  <si>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</si>
  <si>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</si>
  <si>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</si>
  <si>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</si>
  <si>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</si>
  <si>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</si>
  <si>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</si>
  <si>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</si>
  <si>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</si>
  <si>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</si>
  <si>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</si>
  <si>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</si>
  <si>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</si>
  <si>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</si>
  <si>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</si>
  <si>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</si>
  <si>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</si>
  <si>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</si>
  <si>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</si>
  <si>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</si>
  <si>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</si>
  <si>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</si>
  <si>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</si>
  <si>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</si>
  <si>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</si>
  <si>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</si>
  <si>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</si>
  <si>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</si>
  <si>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</si>
  <si>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</si>
  <si>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</si>
  <si>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</si>
  <si>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</si>
  <si>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</si>
  <si>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</si>
  <si>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</si>
  <si>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</si>
  <si>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</si>
  <si>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</si>
  <si>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</si>
  <si>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</si>
  <si>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</si>
  <si>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</si>
  <si>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</si>
  <si>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</si>
  <si>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</si>
  <si>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</si>
  <si>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</si>
  <si>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</si>
  <si>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</si>
  <si>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</si>
  <si>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</si>
  <si>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</si>
  <si>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</si>
  <si>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</si>
  <si>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</si>
  <si>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</si>
  <si>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</si>
  <si>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</si>
  <si>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</si>
  <si>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</si>
  <si>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</si>
  <si>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</si>
  <si>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</si>
  <si>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</si>
  <si>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</si>
  <si>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</si>
  <si>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</si>
  <si>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</si>
  <si>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</si>
  <si>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</si>
  <si>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</si>
  <si>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</si>
  <si>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</si>
  <si>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</si>
  <si>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</si>
  <si>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</si>
  <si>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</si>
  <si>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</si>
  <si>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</si>
  <si>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</si>
  <si>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</si>
  <si>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</si>
  <si>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</si>
  <si>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</si>
  <si>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</si>
  <si>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</si>
  <si>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</si>
  <si>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</si>
  <si>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</si>
  <si>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</si>
  <si>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</si>
  <si>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</si>
  <si>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</si>
  <si>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</si>
  <si>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</si>
  <si>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</si>
  <si>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</si>
  <si>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</si>
  <si>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</si>
  <si>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</si>
  <si>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</si>
  <si>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</si>
  <si>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</si>
  <si>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</si>
  <si>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</si>
  <si>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</si>
  <si>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</si>
  <si>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</si>
  <si>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</si>
  <si>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</si>
  <si>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</si>
  <si>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</si>
  <si>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</si>
  <si>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</si>
  <si>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</si>
  <si>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</si>
  <si>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</si>
  <si>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</si>
  <si>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</si>
  <si>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</si>
  <si>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</si>
  <si>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</si>
  <si>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</si>
  <si>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</si>
  <si>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</si>
  <si>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</si>
  <si>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</si>
  <si>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</si>
  <si>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</si>
  <si>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</si>
  <si>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</si>
  <si>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</si>
  <si>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</si>
  <si>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</si>
  <si>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</si>
  <si>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</si>
  <si>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</si>
  <si>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</si>
  <si>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</si>
  <si>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</si>
  <si>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</si>
  <si>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</si>
  <si>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</si>
  <si>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</si>
  <si>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</si>
  <si>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</si>
  <si>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</si>
  <si>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</si>
  <si>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</si>
  <si>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</si>
  <si>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</si>
  <si>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</si>
  <si>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</si>
  <si>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</si>
  <si>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</si>
  <si>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</si>
  <si>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</si>
  <si>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</si>
  <si>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</si>
  <si>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</si>
  <si>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</si>
  <si>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</si>
  <si>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</si>
  <si>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</si>
  <si>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</si>
  <si>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</si>
  <si>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</si>
  <si>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</si>
  <si>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</si>
  <si>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</si>
  <si>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</si>
  <si>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</si>
  <si>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</si>
  <si>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</si>
  <si>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</si>
  <si>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</si>
  <si>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</si>
  <si>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</si>
  <si>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</si>
  <si>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</si>
  <si>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</si>
  <si>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</si>
  <si>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</si>
  <si>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</si>
  <si>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</si>
  <si>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</si>
  <si>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</si>
  <si>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</si>
  <si>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</si>
  <si>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</si>
  <si>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</si>
  <si>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</si>
  <si>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</si>
  <si>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</si>
  <si>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</si>
  <si>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</si>
  <si>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</si>
  <si>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</si>
  <si>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</si>
  <si>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</si>
  <si>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</si>
  <si>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</si>
  <si>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</si>
  <si>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</si>
  <si>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</si>
  <si>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</si>
  <si>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</si>
  <si>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</si>
  <si>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</si>
  <si>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</si>
  <si>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</si>
  <si>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</si>
  <si>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</si>
  <si>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</si>
  <si>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</si>
  <si>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</si>
  <si>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</si>
  <si>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</si>
  <si>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</si>
  <si>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</si>
  <si>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</si>
  <si>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</si>
  <si>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</si>
  <si>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</si>
  <si>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</si>
  <si>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</si>
  <si>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</si>
  <si>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</si>
  <si>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</si>
  <si>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</si>
  <si>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</si>
  <si>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</si>
  <si>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</si>
  <si>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</si>
  <si>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</si>
  <si>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</si>
  <si>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</si>
  <si>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</si>
  <si>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</si>
  <si>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</si>
  <si>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</si>
  <si>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</si>
  <si>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</si>
  <si>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</si>
  <si>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</si>
  <si>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</si>
  <si>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</si>
  <si>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</si>
  <si>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</si>
  <si>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</si>
  <si>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</si>
  <si>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</si>
  <si>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</si>
  <si>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</si>
  <si>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</si>
  <si>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</si>
  <si>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</si>
  <si>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</si>
  <si>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</si>
  <si>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</si>
  <si>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</si>
  <si>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</si>
  <si>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</si>
  <si>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</si>
  <si>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</si>
  <si>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</si>
  <si>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</si>
  <si>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</si>
  <si>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</si>
  <si>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</si>
  <si>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</si>
  <si>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</si>
  <si>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</si>
  <si>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</si>
  <si>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</si>
  <si>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</si>
  <si>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</si>
  <si>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</si>
  <si>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</si>
  <si>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</si>
  <si>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</si>
  <si>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</si>
  <si>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</si>
  <si>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</si>
  <si>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</si>
  <si>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</si>
  <si>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</si>
  <si>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</si>
  <si>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</si>
  <si>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</si>
  <si>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</si>
  <si>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</si>
  <si>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</si>
  <si>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</si>
  <si>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</si>
  <si>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</si>
  <si>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</si>
  <si>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</si>
  <si>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</si>
  <si>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</si>
  <si>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</si>
  <si>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</si>
  <si>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</si>
  <si>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</si>
  <si>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</si>
  <si>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</si>
  <si>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</si>
  <si>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</si>
  <si>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</si>
  <si>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</si>
  <si>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</si>
  <si>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</si>
  <si>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</si>
  <si>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</si>
  <si>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</si>
  <si>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</si>
  <si>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</si>
  <si>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</si>
  <si>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</si>
  <si>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</si>
  <si>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</si>
  <si>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</si>
  <si>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</si>
  <si>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</si>
  <si>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</si>
  <si>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</si>
  <si>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</si>
  <si>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HL34</t>
  </si>
  <si>
    <t>HL-HUB</t>
  </si>
  <si>
    <t>HUB週期維護</t>
  </si>
  <si>
    <t>2025年04月份 hub調查異常:1PORT插在2PORT</t>
  </si>
  <si>
    <t>THILF05316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</si>
  <si>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</si>
  <si>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</si>
  <si>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</si>
  <si>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</si>
  <si>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</si>
  <si>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</si>
  <si>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</si>
  <si>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</si>
  <si>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</si>
  <si>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</si>
  <si>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</si>
  <si>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</si>
  <si>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</si>
  <si>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三重圖書館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</si>
  <si>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</si>
  <si>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</si>
  <si>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</si>
  <si>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</si>
  <si>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</si>
  <si>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</si>
  <si>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</si>
  <si>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</si>
  <si>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</si>
  <si>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</si>
  <si>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</si>
  <si>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</si>
  <si>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</si>
  <si>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</si>
  <si>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</si>
  <si>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</si>
  <si>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</si>
  <si>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</si>
  <si>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</si>
  <si>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</si>
  <si>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</si>
  <si>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</si>
  <si>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</si>
  <si>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</si>
  <si>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</si>
  <si>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</si>
  <si>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</si>
  <si>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</si>
  <si>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</si>
  <si>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</si>
  <si>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</si>
  <si>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</si>
  <si>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</si>
  <si>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</si>
  <si>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</si>
  <si>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</si>
  <si>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</si>
  <si>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</si>
  <si>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八里凱旋門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</si>
  <si>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</si>
  <si>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</si>
  <si>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</si>
  <si>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</si>
  <si>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</si>
  <si>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</si>
  <si>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</si>
  <si>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北縣商港店</t>
  </si>
  <si>
    <t>RC</t>
  </si>
  <si>
    <t>(02)26106697</t>
  </si>
  <si>
    <t>新北市八里區商港路46.48號</t>
  </si>
  <si>
    <t>八里水灣店</t>
  </si>
  <si>
    <t>(02)89785431</t>
  </si>
  <si>
    <t>新北市八里區中山路1段125、127號1樓</t>
  </si>
  <si>
    <t>八里鐵塔店</t>
  </si>
  <si>
    <t>FCB</t>
  </si>
  <si>
    <t>(02)26107233</t>
  </si>
  <si>
    <t>新北市八里區中山路一段43、43-1號</t>
  </si>
  <si>
    <t>八里大船店</t>
  </si>
  <si>
    <t>(02)26105223</t>
  </si>
  <si>
    <t xml:space="preserve">新北市八里區商港路8、10號 </t>
  </si>
  <si>
    <t>八里福德新村</t>
  </si>
  <si>
    <t>(02)26107915</t>
  </si>
  <si>
    <t>新北市八里區福德新村1號1樓</t>
  </si>
  <si>
    <t>八里龍米店</t>
  </si>
  <si>
    <t>北二四部</t>
  </si>
  <si>
    <t>IH</t>
  </si>
  <si>
    <t>陳志國</t>
  </si>
  <si>
    <t>(02)26185412</t>
  </si>
  <si>
    <t>新北市八里區龍米路一段215.217號</t>
  </si>
  <si>
    <t>八里聖心店</t>
  </si>
  <si>
    <t>(02)89780124</t>
  </si>
  <si>
    <t>新北市八里區龍米路二段57、59號</t>
  </si>
  <si>
    <t>三芝芝蘭店</t>
  </si>
  <si>
    <t>北二三部</t>
  </si>
  <si>
    <t>HB</t>
  </si>
  <si>
    <t>林啟弘</t>
  </si>
  <si>
    <t>(02)26364609</t>
  </si>
  <si>
    <t>新北市三芝區中正路一段68號</t>
  </si>
  <si>
    <t>三芝天涯店</t>
  </si>
  <si>
    <t>(02)26371186</t>
  </si>
  <si>
    <t>新北市三芝區田心子2號</t>
  </si>
  <si>
    <t>(02)26372548</t>
  </si>
  <si>
    <t>新北市三芝區車埕69之6、7號</t>
  </si>
  <si>
    <t>石門海角店</t>
  </si>
  <si>
    <t>(02)26380081</t>
  </si>
  <si>
    <t xml:space="preserve">新北市石門區草里里1鄰阿里荖6之2號 </t>
  </si>
  <si>
    <t>北縣醒吾店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</si>
  <si>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</si>
  <si>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</si>
  <si>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</si>
  <si>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</si>
  <si>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</si>
  <si>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</si>
  <si>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</si>
  <si>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</si>
  <si>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</si>
  <si>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</si>
  <si>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</si>
  <si>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</si>
  <si>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</si>
  <si>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</si>
  <si>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</si>
  <si>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林口建林店</t>
  </si>
  <si>
    <t>(02)89781854</t>
  </si>
  <si>
    <t>新北市林口區文化北路一段258號一樓</t>
  </si>
  <si>
    <t>(02)89781884</t>
  </si>
  <si>
    <t>新北市林口區忠孝路1號1樓</t>
  </si>
  <si>
    <t>林口築夢店</t>
  </si>
  <si>
    <t>(02)89787068</t>
  </si>
  <si>
    <t>新北市林口區仁愛路一段619號</t>
  </si>
  <si>
    <t>林口老師店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</si>
  <si>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</si>
  <si>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</si>
  <si>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</si>
  <si>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</si>
  <si>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</si>
  <si>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</si>
  <si>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林口捷韻店</t>
  </si>
  <si>
    <t>ID</t>
  </si>
  <si>
    <t>蔡一吉</t>
  </si>
  <si>
    <t>(02)26080182</t>
  </si>
  <si>
    <t>新北市林口區文化北路一段123號一樓</t>
  </si>
  <si>
    <t>新北市林口區中正路100號一樓</t>
  </si>
  <si>
    <t>北縣金陽店</t>
  </si>
  <si>
    <t>(02)24081448</t>
  </si>
  <si>
    <t>新北市金山區中正路26號</t>
  </si>
  <si>
    <t>金山銀山店</t>
  </si>
  <si>
    <t>(02)24984412</t>
  </si>
  <si>
    <t xml:space="preserve">新北市金山區仁愛路66、68號 </t>
  </si>
  <si>
    <t>北縣黎明店</t>
  </si>
  <si>
    <t>IF</t>
  </si>
  <si>
    <t>李妍薪</t>
  </si>
  <si>
    <t>(02)22966410</t>
  </si>
  <si>
    <t>新北市泰山區泰林路三段22號</t>
  </si>
  <si>
    <t>北縣泰富店</t>
  </si>
  <si>
    <t>(02)29014998</t>
  </si>
  <si>
    <t>新北市泰山區明志路二段324、326號一樓</t>
  </si>
  <si>
    <t>泰山新民店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</si>
  <si>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</si>
  <si>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</si>
  <si>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</si>
  <si>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</si>
  <si>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</si>
  <si>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</si>
  <si>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淡水灰瑤子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</si>
  <si>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</si>
  <si>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</si>
  <si>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</si>
  <si>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</si>
  <si>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</si>
  <si>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</si>
  <si>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</si>
  <si>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</si>
  <si>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淡水櫻花店</t>
  </si>
  <si>
    <t>(02)26226365</t>
  </si>
  <si>
    <t>新北市淡水區北新路二段17號</t>
  </si>
  <si>
    <t>(02)26293380</t>
  </si>
  <si>
    <t>新北市淡水區北新路137、139號1F</t>
  </si>
  <si>
    <t>淡水台電宿舍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</si>
  <si>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</si>
  <si>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</si>
  <si>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</si>
  <si>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</si>
  <si>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</si>
  <si>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</si>
  <si>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淡水海天店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</si>
  <si>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</si>
  <si>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</si>
  <si>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</si>
  <si>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</si>
  <si>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</si>
  <si>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</si>
  <si>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</si>
  <si>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</si>
  <si>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</si>
  <si>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</si>
  <si>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</si>
  <si>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</si>
  <si>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</si>
  <si>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</si>
  <si>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</si>
  <si>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</si>
  <si>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</si>
  <si>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</si>
  <si>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</si>
  <si>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</si>
  <si>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</si>
  <si>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</si>
  <si>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</si>
  <si>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</si>
  <si>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</si>
  <si>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</si>
  <si>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</si>
  <si>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</si>
  <si>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</si>
  <si>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</si>
  <si>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</si>
  <si>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</si>
  <si>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</si>
  <si>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</si>
  <si>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</si>
  <si>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</si>
  <si>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</si>
  <si>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</si>
  <si>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</si>
  <si>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</si>
  <si>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</si>
  <si>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</si>
  <si>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</si>
  <si>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</si>
  <si>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</si>
  <si>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</si>
  <si>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</si>
  <si>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</si>
  <si>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</si>
  <si>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</si>
  <si>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</si>
  <si>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</si>
  <si>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</si>
  <si>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</si>
  <si>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</si>
  <si>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</si>
  <si>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</si>
  <si>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</si>
  <si>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</si>
  <si>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</si>
  <si>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</si>
  <si>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</si>
  <si>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</si>
  <si>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</si>
  <si>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</si>
  <si>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</si>
  <si>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</si>
  <si>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</si>
  <si>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</si>
  <si>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</si>
  <si>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</si>
  <si>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</si>
  <si>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</si>
  <si>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</si>
  <si>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</si>
  <si>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</si>
  <si>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</si>
  <si>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</si>
  <si>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</si>
  <si>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</si>
  <si>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</si>
  <si>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</si>
  <si>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</si>
  <si>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</si>
  <si>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</si>
  <si>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</si>
  <si>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</si>
  <si>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</si>
  <si>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</si>
  <si>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</si>
  <si>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</si>
  <si>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</si>
  <si>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</si>
  <si>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</si>
  <si>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</si>
  <si>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</si>
  <si>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</si>
  <si>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</si>
  <si>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</si>
  <si>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</si>
  <si>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</si>
  <si>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</si>
  <si>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</si>
  <si>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</si>
  <si>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</si>
  <si>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</si>
  <si>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</si>
  <si>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</si>
  <si>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</si>
  <si>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</si>
  <si>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</si>
  <si>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</si>
  <si>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</si>
  <si>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</si>
  <si>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</si>
  <si>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</si>
  <si>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</si>
  <si>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</si>
  <si>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</si>
  <si>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</si>
  <si>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</si>
  <si>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</si>
  <si>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</si>
  <si>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</si>
  <si>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</si>
  <si>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</si>
  <si>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</si>
  <si>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</si>
  <si>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</si>
  <si>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</si>
  <si>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</si>
  <si>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</si>
  <si>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</si>
  <si>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</si>
  <si>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</si>
  <si>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</si>
  <si>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板橋江子翠站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</si>
  <si>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</si>
  <si>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</si>
  <si>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</si>
  <si>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</si>
  <si>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</si>
  <si>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</si>
  <si>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</si>
  <si>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</si>
  <si>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</si>
  <si>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</si>
  <si>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</si>
  <si>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</si>
  <si>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</si>
  <si>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</si>
  <si>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</si>
  <si>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</si>
  <si>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</si>
  <si>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</si>
  <si>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</si>
  <si>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</si>
  <si>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板橋江寧店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</si>
  <si>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</si>
  <si>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</si>
  <si>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</si>
  <si>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</si>
  <si>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</si>
  <si>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</si>
  <si>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</si>
  <si>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</si>
  <si>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</si>
  <si>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</si>
  <si>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</si>
  <si>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</si>
  <si>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</si>
  <si>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</si>
  <si>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</si>
  <si>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</si>
  <si>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</si>
  <si>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</si>
  <si>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</si>
  <si>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</si>
  <si>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</si>
  <si>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板橋僑福店</t>
  </si>
  <si>
    <t>(02)22590856</t>
  </si>
  <si>
    <t>新北市板橋區幸褔路70巷1號</t>
  </si>
  <si>
    <t>北縣府中店</t>
  </si>
  <si>
    <t>(02)22722034</t>
  </si>
  <si>
    <t>新北市板橋區府中路24號</t>
  </si>
  <si>
    <t>板橋成都店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</si>
  <si>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</si>
  <si>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</si>
  <si>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</si>
  <si>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</si>
  <si>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</si>
  <si>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</si>
  <si>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</si>
  <si>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</si>
  <si>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</si>
  <si>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</si>
  <si>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</si>
  <si>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</si>
  <si>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</si>
  <si>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</si>
  <si>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板橋福康店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</si>
  <si>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</si>
  <si>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</si>
  <si>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</si>
  <si>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</si>
  <si>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</si>
  <si>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</si>
  <si>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</si>
  <si>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</si>
  <si>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</si>
  <si>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</si>
  <si>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</si>
  <si>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</si>
  <si>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</si>
  <si>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</si>
  <si>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</si>
  <si>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</si>
  <si>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</si>
  <si>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</si>
  <si>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五股產業園區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</si>
  <si>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</si>
  <si>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</si>
  <si>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</si>
  <si>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</si>
  <si>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</si>
  <si>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</si>
  <si>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北縣五泰店</t>
  </si>
  <si>
    <t>(02)82950770</t>
  </si>
  <si>
    <t>新北市五股區西雲路1號</t>
  </si>
  <si>
    <t>(02)29849703</t>
  </si>
  <si>
    <t>新北市五股區四維路153號</t>
  </si>
  <si>
    <t>北縣西雲店</t>
  </si>
  <si>
    <t>(02)82921412</t>
  </si>
  <si>
    <t>新北市五股區西雲路134、134之1號一樓</t>
  </si>
  <si>
    <t>五股福鑫店</t>
  </si>
  <si>
    <t>(02)22952456</t>
  </si>
  <si>
    <t>新北市五股區五福路8、10號一樓全部</t>
  </si>
  <si>
    <t>五股工商店</t>
  </si>
  <si>
    <t>(02)89780647</t>
  </si>
  <si>
    <t>新北市五股區成泰路二段91巷9號1樓部份</t>
  </si>
  <si>
    <t>五股成州店</t>
  </si>
  <si>
    <t>(02)22952175</t>
  </si>
  <si>
    <t xml:space="preserve">新北市五股區西雲路211及213號 </t>
  </si>
  <si>
    <t>五股凌雲店</t>
  </si>
  <si>
    <t>(02)22910029</t>
  </si>
  <si>
    <t>新北市五股區凌雲路三段46號</t>
  </si>
  <si>
    <t>五股更寮店</t>
  </si>
  <si>
    <t>(02)29818439</t>
  </si>
  <si>
    <t>新北市五股區中興路二段1號一樓全部</t>
  </si>
  <si>
    <t>新莊輔園店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</si>
  <si>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</si>
  <si>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</si>
  <si>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</si>
  <si>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</si>
  <si>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</si>
  <si>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</si>
  <si>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</si>
  <si>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</si>
  <si>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</si>
  <si>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田倉新樹店</t>
  </si>
  <si>
    <t>(02)22083023</t>
  </si>
  <si>
    <t>新北市新莊區新樹路204號</t>
  </si>
  <si>
    <t>田倉民安店</t>
  </si>
  <si>
    <t>新北市新莊區民安路56-2號</t>
  </si>
  <si>
    <t>(02)22037151</t>
  </si>
  <si>
    <t>新北市新莊區瓊林南路133號</t>
  </si>
  <si>
    <t>新莊豐年店</t>
  </si>
  <si>
    <t>(02)22063732</t>
  </si>
  <si>
    <t>新北市新莊區豐年街118之1號</t>
  </si>
  <si>
    <t>新莊雙鳳店</t>
  </si>
  <si>
    <t>(02)89783919</t>
  </si>
  <si>
    <t>新北市新莊區雙鳳路53號一樓</t>
  </si>
  <si>
    <t>新莊瓊泰店</t>
  </si>
  <si>
    <t>(02)89787449</t>
  </si>
  <si>
    <t>新北市新莊區瓊泰路59號及61號</t>
  </si>
  <si>
    <t>(02)29033571</t>
  </si>
  <si>
    <t>新北市新莊區福營路336,338號</t>
  </si>
  <si>
    <t>新莊裕民店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</si>
  <si>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</si>
  <si>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</si>
  <si>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</si>
  <si>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</si>
  <si>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</si>
  <si>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</si>
  <si>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北縣莊勝店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</si>
  <si>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</si>
  <si>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</si>
  <si>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</si>
  <si>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</si>
  <si>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</si>
  <si>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</si>
  <si>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新莊祐信店</t>
  </si>
  <si>
    <t>(02)89783774</t>
  </si>
  <si>
    <t>新北市新莊區中信街20號一樓全部、22號一樓部份</t>
  </si>
  <si>
    <t>(02)89786748</t>
  </si>
  <si>
    <t>新北市新莊區中誠街161號及163號一樓全部</t>
  </si>
  <si>
    <t>新莊中港店</t>
  </si>
  <si>
    <t>(02)29947462</t>
  </si>
  <si>
    <t>新北市新莊區中港路84號1樓</t>
  </si>
  <si>
    <t>新莊化成店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</si>
  <si>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</si>
  <si>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</si>
  <si>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</si>
  <si>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</si>
  <si>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</si>
  <si>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</si>
  <si>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</si>
  <si>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</si>
  <si>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</si>
  <si>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</si>
  <si>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</si>
  <si>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</si>
  <si>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新莊幸運店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</si>
  <si>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</si>
  <si>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</si>
  <si>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</si>
  <si>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</si>
  <si>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</si>
  <si>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</si>
  <si>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>新莊小胖店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</si>
  <si>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</si>
  <si>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</si>
  <si>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</si>
  <si>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</si>
  <si>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新莊福慧店</t>
  </si>
  <si>
    <t>(02)89782307</t>
  </si>
  <si>
    <t>新北市新莊區化成路519號一樓</t>
  </si>
  <si>
    <t>新北市新莊區 建國二路10號一樓 </t>
  </si>
  <si>
    <t>車麗屋蘆洲店</t>
  </si>
  <si>
    <t>(02)22829000</t>
  </si>
  <si>
    <t>新北市蘆洲區集賢路407號</t>
  </si>
  <si>
    <t>蘆洲樂平店</t>
  </si>
  <si>
    <t>HG</t>
  </si>
  <si>
    <t>余毓珈</t>
  </si>
  <si>
    <t>(02)22819326</t>
  </si>
  <si>
    <t>新北市蘆洲區永平街30號</t>
  </si>
  <si>
    <t>蘆洲鷺江店</t>
  </si>
  <si>
    <t>(02)22886490</t>
  </si>
  <si>
    <t>新北市蘆洲區鷺江街69號一樓</t>
  </si>
  <si>
    <t>北縣蘆旺店</t>
  </si>
  <si>
    <t>(02)28474042</t>
  </si>
  <si>
    <t>新北市蘆洲區正和街47號</t>
  </si>
  <si>
    <t>蘆洲信義店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</si>
  <si>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</si>
  <si>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</si>
  <si>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</si>
  <si>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</si>
  <si>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</si>
  <si>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</si>
  <si>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蘆洲永平店</t>
  </si>
  <si>
    <t>(02)82850904</t>
  </si>
  <si>
    <t>新北市蘆洲區永平街32巷22弄1號一樓全部與地下室倉儲空間</t>
  </si>
  <si>
    <t>蘆洲水湳店</t>
  </si>
  <si>
    <t>(02)82866503</t>
  </si>
  <si>
    <t>新北市蘆洲區水湳街150號1樓</t>
  </si>
  <si>
    <t>蘆洲鴻悅店</t>
  </si>
  <si>
    <t>(02)82862951</t>
  </si>
  <si>
    <t>新北市蘆洲區永安南路二段268之1、268之2</t>
  </si>
  <si>
    <t>蘆洲光榮店</t>
  </si>
  <si>
    <t>(02)22891116</t>
  </si>
  <si>
    <t>新北市蘆洲區光榮路68、70號一樓全部</t>
  </si>
  <si>
    <t>蘆洲永樂店</t>
  </si>
  <si>
    <t>(02)89783340</t>
  </si>
  <si>
    <t>新北市蘆洲區永樂街38巷32.34號</t>
  </si>
  <si>
    <t>蘆洲長樂店</t>
  </si>
  <si>
    <t>(02)89785422</t>
  </si>
  <si>
    <t>新北市蘆洲區長樂路22號</t>
  </si>
  <si>
    <t>蘆洲洲正店</t>
  </si>
  <si>
    <t>(02)22888971</t>
  </si>
  <si>
    <t>新北市蘆洲區中正路185巷78弄1、3號</t>
  </si>
  <si>
    <t>蘆洲權義店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</si>
  <si>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</si>
  <si>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</si>
  <si>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</si>
  <si>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</si>
  <si>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</si>
  <si>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</si>
  <si>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</si>
  <si>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</si>
  <si>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</si>
  <si>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三重金陵店</t>
  </si>
  <si>
    <t>新北市三重區重新路五段656號</t>
  </si>
  <si>
    <t>三重重富店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</si>
  <si>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</si>
  <si>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</si>
  <si>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</si>
  <si>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</si>
  <si>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</si>
  <si>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</si>
  <si>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三重頂崁店</t>
  </si>
  <si>
    <t>(02)29992856</t>
  </si>
  <si>
    <t>新北市三重區光復路二段117之1號</t>
  </si>
  <si>
    <t>三重初戀店</t>
  </si>
  <si>
    <t>(02)89789285</t>
  </si>
  <si>
    <t>新北市三重區中興北街153號</t>
  </si>
  <si>
    <t>(02)29990530</t>
  </si>
  <si>
    <t>新北市三重區中興北街134號</t>
  </si>
  <si>
    <t>三重中興北二</t>
  </si>
  <si>
    <t>(02)22781425</t>
  </si>
  <si>
    <t>新北市三重區中興北街195,197號</t>
  </si>
  <si>
    <t>三重興德店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</si>
  <si>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</si>
  <si>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</si>
  <si>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</si>
  <si>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</si>
  <si>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</si>
  <si>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</si>
  <si>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</si>
  <si>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</si>
  <si>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</si>
  <si>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</si>
  <si>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三重仁美店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</si>
  <si>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</si>
  <si>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</si>
  <si>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</si>
  <si>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</si>
  <si>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</si>
  <si>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</si>
  <si>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三重溪尾店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</si>
  <si>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</si>
  <si>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</si>
  <si>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</si>
  <si>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</si>
  <si>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</si>
  <si>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</si>
  <si>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三重福隆店</t>
  </si>
  <si>
    <t>(02)29714594</t>
  </si>
  <si>
    <t>新北市三重區仁愛街253號</t>
  </si>
  <si>
    <t>三重三和夜市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</si>
  <si>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</si>
  <si>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</si>
  <si>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</si>
  <si>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</si>
  <si>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</si>
  <si>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</si>
  <si>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三重穀保店</t>
  </si>
  <si>
    <t>(02)89785492</t>
  </si>
  <si>
    <t>新北市三重區中正北路415號及417號1樓全部</t>
  </si>
  <si>
    <t>(02)89781885</t>
  </si>
  <si>
    <t>新北市三重區仁興街28巷44、46號</t>
  </si>
  <si>
    <t>三重薔薇店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</si>
  <si>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</si>
  <si>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</si>
  <si>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</si>
  <si>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</si>
  <si>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</si>
  <si>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</si>
  <si>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</si>
  <si>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</si>
  <si>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</si>
  <si>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</si>
  <si>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</si>
  <si>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</si>
  <si>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</si>
  <si>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</si>
  <si>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</si>
  <si>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</si>
  <si>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</si>
  <si>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</si>
  <si>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三重大仁店</t>
  </si>
  <si>
    <t>(02)89816428</t>
  </si>
  <si>
    <t>新北市三重區大仁街78號</t>
  </si>
  <si>
    <t>三重仁化店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</si>
  <si>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</si>
  <si>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</si>
  <si>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</si>
  <si>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</si>
  <si>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</si>
  <si>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</si>
  <si>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</si>
  <si>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</si>
  <si>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</si>
  <si>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</si>
  <si>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三重今大店</t>
  </si>
  <si>
    <t>(02)89781422</t>
  </si>
  <si>
    <t>新北市三重區大仁街52號</t>
  </si>
  <si>
    <t>三重運動公園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</si>
  <si>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</si>
  <si>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</si>
  <si>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</si>
  <si>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</si>
  <si>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</si>
  <si>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</si>
  <si>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</si>
  <si>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</si>
  <si>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</si>
  <si>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</si>
  <si>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</si>
  <si>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</si>
  <si>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</si>
  <si>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</si>
  <si>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</si>
  <si>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</si>
  <si>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</si>
  <si>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</si>
  <si>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</si>
  <si>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</si>
  <si>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</si>
  <si>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</si>
  <si>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</si>
  <si>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三重中央北店</t>
  </si>
  <si>
    <t>GF</t>
  </si>
  <si>
    <t>鄭偉宏</t>
  </si>
  <si>
    <t>(02)29789248</t>
  </si>
  <si>
    <t>新北市三重區中央北路68號</t>
  </si>
  <si>
    <t>三重夜市口</t>
  </si>
  <si>
    <t>(02)29778824</t>
  </si>
  <si>
    <t>新北市三重區中央北路2號</t>
  </si>
  <si>
    <t>(02)89783792</t>
  </si>
  <si>
    <t>新北市三重區文化北路116號一樓</t>
  </si>
  <si>
    <t>三重自信店</t>
  </si>
  <si>
    <t>(02)29886906</t>
  </si>
  <si>
    <t>新北市三重區大智街22號及24號</t>
  </si>
  <si>
    <t>三重大院店</t>
  </si>
  <si>
    <t>(02)89781967</t>
  </si>
  <si>
    <t>新北市三重區安和路105號</t>
  </si>
  <si>
    <t>(02)89798324</t>
  </si>
  <si>
    <t>新北市三重區文化北路224巷1號及3號</t>
  </si>
  <si>
    <t>三重國隆店</t>
  </si>
  <si>
    <t>(02)29888929</t>
  </si>
  <si>
    <t xml:space="preserve">新北市三重區國隆路19、21、23號 </t>
  </si>
  <si>
    <t>三重正義北店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</si>
  <si>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</si>
  <si>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</si>
  <si>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</si>
  <si>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</si>
  <si>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</si>
  <si>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</si>
  <si>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</si>
  <si>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</si>
  <si>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三重興華店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</si>
  <si>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</si>
  <si>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</si>
  <si>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</si>
  <si>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</si>
  <si>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</si>
  <si>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</si>
  <si>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</si>
  <si>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</si>
  <si>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三重龍濱店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</si>
  <si>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</si>
  <si>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</si>
  <si>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</si>
  <si>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</si>
  <si>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</si>
  <si>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</si>
  <si>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</si>
  <si>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</si>
  <si>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</si>
  <si>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</si>
  <si>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</si>
  <si>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</si>
  <si>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三重重陽店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</si>
  <si>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</si>
  <si>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</si>
  <si>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</si>
  <si>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</si>
  <si>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</si>
  <si>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</si>
  <si>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</si>
  <si>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</si>
  <si>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</si>
  <si>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</si>
  <si>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</si>
  <si>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</si>
  <si>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</si>
  <si>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</si>
  <si>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</si>
  <si>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</si>
  <si>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</si>
  <si>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</si>
  <si>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</si>
  <si>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</si>
  <si>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</si>
  <si>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</si>
  <si>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</si>
  <si>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</si>
  <si>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</si>
  <si>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</si>
  <si>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</si>
  <si>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</si>
  <si>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</si>
  <si>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</si>
  <si>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</si>
  <si>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</si>
  <si>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</si>
  <si>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</si>
  <si>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</si>
  <si>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</si>
  <si>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</si>
  <si>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</si>
  <si>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</si>
  <si>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</si>
  <si>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</si>
  <si>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</si>
  <si>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</si>
  <si>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</si>
  <si>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</si>
  <si>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</si>
  <si>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</si>
  <si>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</si>
  <si>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</si>
  <si>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</si>
  <si>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</si>
  <si>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</si>
  <si>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</si>
  <si>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</si>
  <si>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</si>
  <si>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</si>
  <si>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</si>
  <si>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</si>
  <si>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</si>
  <si>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</si>
  <si>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</si>
  <si>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</si>
  <si>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</si>
  <si>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</si>
  <si>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</si>
  <si>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</si>
  <si>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</si>
  <si>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</si>
  <si>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</si>
  <si>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</si>
  <si>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</si>
  <si>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</si>
  <si>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</si>
  <si>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</si>
  <si>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</si>
  <si>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</si>
  <si>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</si>
  <si>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</si>
  <si>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</si>
  <si>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</si>
  <si>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</si>
  <si>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</si>
  <si>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</si>
  <si>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</si>
  <si>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</si>
  <si>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</si>
  <si>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</si>
  <si>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</si>
  <si>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</si>
  <si>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</si>
  <si>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</si>
  <si>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</si>
  <si>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</si>
  <si>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</si>
  <si>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</si>
  <si>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</si>
  <si>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</si>
  <si>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</si>
  <si>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</si>
  <si>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</si>
  <si>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</si>
  <si>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</si>
  <si>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</si>
  <si>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</si>
  <si>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</si>
  <si>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</si>
  <si>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</si>
  <si>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</si>
  <si>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</si>
  <si>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</si>
  <si>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</si>
  <si>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</si>
  <si>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</si>
  <si>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</si>
  <si>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</si>
  <si>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</si>
  <si>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</si>
  <si>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</si>
  <si>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</si>
  <si>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</si>
  <si>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</si>
  <si>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</si>
  <si>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</si>
  <si>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</si>
  <si>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</si>
  <si>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</si>
  <si>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</si>
  <si>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</si>
  <si>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</si>
  <si>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</si>
  <si>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</si>
  <si>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</si>
  <si>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</si>
  <si>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</si>
  <si>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</si>
  <si>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</si>
  <si>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</si>
  <si>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</si>
  <si>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</si>
  <si>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</si>
  <si>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</si>
  <si>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</si>
  <si>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</si>
  <si>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</si>
  <si>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</si>
  <si>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</si>
  <si>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</si>
  <si>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</si>
  <si>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</si>
  <si>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</si>
  <si>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</si>
  <si>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</si>
  <si>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</si>
  <si>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</si>
  <si>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</si>
  <si>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</si>
  <si>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</si>
  <si>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</si>
  <si>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</si>
  <si>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</si>
  <si>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</si>
  <si>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</si>
  <si>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</si>
  <si>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</si>
  <si>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</si>
  <si>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</si>
  <si>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</si>
  <si>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</si>
  <si>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</si>
  <si>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</si>
  <si>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</si>
  <si>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</si>
  <si>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</si>
  <si>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</si>
  <si>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</si>
  <si>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</si>
  <si>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</si>
  <si>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</si>
  <si>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</si>
  <si>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</si>
  <si>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</si>
  <si>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</si>
  <si>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</si>
  <si>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</si>
  <si>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</si>
  <si>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</si>
  <si>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</si>
  <si>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</si>
  <si>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</si>
  <si>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</si>
  <si>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</si>
  <si>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</si>
  <si>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</si>
  <si>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</si>
  <si>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</si>
  <si>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</si>
  <si>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</si>
  <si>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</si>
  <si>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</si>
  <si>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</si>
  <si>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</si>
  <si>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</si>
  <si>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</si>
  <si>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</si>
  <si>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</si>
  <si>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</si>
  <si>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</si>
  <si>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</si>
  <si>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</si>
  <si>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</si>
  <si>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</si>
  <si>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</si>
  <si>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</si>
  <si>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</si>
  <si>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</si>
  <si>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</si>
  <si>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</si>
  <si>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</si>
  <si>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</si>
  <si>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</si>
  <si>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</si>
  <si>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</si>
  <si>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</si>
  <si>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</si>
  <si>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</si>
  <si>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</si>
  <si>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</si>
  <si>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</si>
  <si>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</si>
  <si>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</si>
  <si>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</si>
  <si>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</si>
  <si>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</si>
  <si>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</si>
  <si>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</si>
  <si>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</si>
  <si>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</si>
  <si>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</si>
  <si>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</si>
  <si>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</si>
  <si>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</si>
  <si>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</si>
  <si>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</si>
  <si>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</si>
  <si>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</si>
  <si>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</si>
  <si>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</si>
  <si>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</si>
  <si>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</si>
  <si>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</si>
  <si>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</si>
  <si>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</si>
  <si>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</si>
  <si>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</si>
  <si>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</si>
  <si>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</si>
  <si>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</si>
  <si>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</si>
  <si>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</si>
  <si>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</si>
  <si>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</si>
  <si>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</si>
  <si>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</si>
  <si>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</si>
  <si>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</si>
  <si>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</si>
  <si>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</si>
  <si>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</si>
  <si>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</si>
  <si>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</si>
  <si>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</si>
  <si>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</si>
  <si>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</si>
  <si>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</si>
  <si>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</si>
  <si>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</si>
  <si>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</si>
  <si>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</si>
  <si>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</si>
  <si>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</si>
  <si>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</si>
  <si>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</si>
  <si>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</si>
  <si>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</si>
  <si>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</si>
  <si>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</si>
  <si>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</si>
  <si>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</si>
  <si>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</si>
  <si>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</si>
  <si>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</si>
  <si>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</si>
  <si>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</si>
  <si>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</si>
  <si>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</si>
  <si>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</si>
  <si>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</si>
  <si>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</si>
  <si>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</si>
  <si>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</si>
  <si>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</si>
  <si>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</si>
  <si>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</si>
  <si>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</si>
  <si>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</si>
  <si>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</si>
  <si>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</si>
  <si>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</si>
  <si>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</si>
  <si>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</si>
  <si>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</si>
  <si>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</si>
  <si>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</si>
  <si>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</si>
  <si>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</si>
  <si>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</si>
  <si>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</si>
  <si>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</si>
  <si>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</si>
  <si>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</si>
  <si>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</si>
  <si>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</si>
  <si>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</si>
  <si>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</si>
  <si>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</si>
  <si>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</si>
  <si>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</si>
  <si>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</si>
  <si>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</si>
  <si>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</si>
  <si>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</si>
  <si>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</si>
  <si>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</si>
  <si>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</si>
  <si>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</si>
  <si>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</si>
  <si>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</si>
  <si>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</si>
  <si>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</si>
  <si>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</si>
  <si>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</si>
  <si>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</si>
  <si>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</si>
  <si>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</si>
  <si>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</si>
  <si>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</si>
  <si>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</si>
  <si>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</si>
  <si>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</si>
  <si>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</si>
  <si>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</si>
  <si>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</si>
  <si>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</si>
  <si>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</si>
  <si>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</si>
  <si>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</si>
  <si>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</si>
  <si>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</si>
  <si>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</si>
  <si>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</si>
  <si>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</si>
  <si>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</si>
  <si>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</si>
  <si>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</si>
  <si>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</si>
  <si>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</si>
  <si>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</si>
  <si>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</si>
  <si>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</si>
  <si>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</si>
  <si>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</si>
  <si>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</si>
  <si>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</si>
  <si>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</si>
  <si>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</si>
  <si>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</si>
  <si>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</si>
  <si>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</si>
  <si>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</si>
  <si>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</si>
  <si>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</si>
  <si>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</si>
  <si>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</si>
  <si>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</si>
  <si>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</si>
  <si>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</si>
  <si>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</si>
  <si>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</si>
  <si>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</si>
  <si>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</si>
  <si>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</si>
  <si>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</si>
  <si>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</si>
  <si>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</si>
  <si>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</si>
  <si>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</si>
  <si>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</si>
  <si>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</si>
  <si>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</si>
  <si>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</si>
  <si>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</si>
  <si>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</si>
  <si>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</si>
  <si>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</si>
  <si>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</si>
  <si>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</si>
  <si>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</si>
  <si>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</si>
  <si>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</si>
  <si>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</si>
  <si>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</si>
  <si>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</si>
  <si>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</si>
  <si>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</si>
  <si>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</si>
  <si>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</si>
  <si>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</si>
  <si>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</si>
  <si>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</si>
  <si>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</si>
  <si>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</si>
  <si>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</si>
  <si>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</si>
  <si>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</si>
  <si>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</si>
  <si>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</si>
  <si>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</si>
  <si>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</si>
  <si>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</si>
  <si>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</si>
  <si>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</si>
  <si>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</si>
  <si>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</si>
  <si>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</si>
  <si>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</si>
  <si>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</si>
  <si>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</si>
  <si>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</si>
  <si>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</si>
  <si>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</si>
  <si>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</si>
  <si>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</si>
  <si>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</si>
  <si>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</si>
  <si>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</si>
  <si>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</si>
  <si>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</si>
  <si>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</si>
  <si>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</si>
  <si>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</si>
  <si>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</si>
  <si>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</si>
  <si>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</si>
  <si>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</si>
  <si>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</si>
  <si>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</si>
  <si>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</si>
  <si>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</si>
  <si>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</si>
  <si>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</si>
  <si>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</si>
  <si>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</si>
  <si>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</si>
  <si>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</si>
  <si>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</si>
  <si>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</si>
  <si>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</si>
  <si>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</si>
  <si>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</si>
  <si>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</si>
  <si>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</si>
  <si>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</si>
  <si>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</si>
  <si>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</si>
  <si>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</si>
  <si>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</si>
  <si>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</si>
  <si>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</si>
  <si>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</si>
  <si>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</si>
  <si>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</si>
  <si>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</si>
  <si>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</si>
  <si>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</si>
  <si>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</si>
  <si>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</si>
  <si>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</si>
  <si>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</si>
  <si>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</si>
  <si>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</si>
  <si>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</si>
  <si>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</si>
  <si>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</si>
  <si>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</si>
  <si>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</si>
  <si>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</si>
  <si>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</si>
  <si>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</si>
  <si>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</si>
  <si>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</si>
  <si>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</si>
  <si>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</si>
  <si>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</si>
  <si>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</si>
  <si>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</si>
  <si>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</si>
  <si>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</si>
  <si>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</si>
  <si>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</si>
  <si>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</si>
  <si>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</si>
  <si>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</si>
  <si>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</si>
  <si>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</si>
  <si>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</si>
  <si>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</si>
  <si>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</si>
  <si>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</si>
  <si>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</si>
  <si>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</si>
  <si>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</si>
  <si>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</si>
  <si>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</si>
  <si>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</si>
  <si>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</si>
  <si>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</si>
  <si>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</si>
  <si>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</si>
  <si>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</si>
  <si>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</si>
  <si>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</si>
  <si>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</si>
  <si>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</si>
  <si>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</si>
  <si>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</si>
  <si>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</si>
  <si>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</si>
  <si>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</si>
  <si>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</si>
  <si>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</si>
  <si>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</si>
  <si>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</si>
  <si>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</si>
  <si>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</si>
  <si>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</si>
  <si>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</si>
  <si>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</si>
  <si>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</si>
  <si>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</si>
  <si>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</si>
  <si>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</si>
  <si>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</si>
  <si>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</si>
  <si>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</si>
  <si>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</si>
  <si>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</si>
  <si>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</si>
  <si>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</si>
  <si>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</si>
  <si>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</si>
  <si>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</si>
  <si>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</si>
  <si>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</si>
  <si>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</si>
  <si>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</si>
  <si>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</si>
  <si>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</si>
  <si>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</si>
  <si>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</si>
  <si>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</si>
  <si>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</si>
  <si>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</si>
  <si>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</si>
  <si>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</si>
  <si>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</si>
  <si>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</si>
  <si>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</si>
  <si>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</si>
  <si>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</si>
  <si>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</si>
  <si>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</si>
  <si>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</si>
  <si>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</si>
  <si>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</si>
  <si>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</si>
  <si>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</si>
  <si>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</si>
  <si>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</si>
  <si>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</si>
  <si>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</si>
  <si>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</si>
  <si>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</si>
  <si>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</si>
  <si>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</si>
  <si>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</si>
  <si>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</si>
  <si>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</si>
  <si>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</si>
  <si>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</si>
  <si>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</si>
  <si>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</si>
  <si>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</si>
  <si>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</si>
  <si>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</si>
  <si>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</si>
  <si>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</si>
  <si>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</si>
  <si>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</si>
  <si>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</si>
  <si>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</si>
  <si>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</si>
  <si>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</si>
  <si>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</si>
  <si>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</si>
  <si>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</si>
  <si>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</si>
  <si>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</si>
  <si>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</si>
  <si>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</si>
  <si>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</si>
  <si>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</si>
  <si>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</si>
  <si>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</si>
  <si>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</si>
  <si>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</si>
  <si>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</si>
  <si>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</si>
  <si>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</si>
  <si>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</si>
  <si>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</si>
  <si>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</si>
  <si>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</si>
  <si>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</si>
  <si>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</si>
  <si>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</si>
  <si>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</si>
  <si>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</si>
  <si>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</si>
  <si>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</si>
  <si>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</si>
  <si>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</si>
  <si>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</si>
  <si>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</si>
  <si>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</si>
  <si>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</si>
  <si>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</si>
  <si>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</si>
  <si>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</si>
  <si>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</si>
  <si>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</si>
  <si>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</si>
  <si>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</si>
  <si>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</si>
  <si>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</si>
  <si>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</si>
  <si>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</si>
  <si>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</si>
  <si>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</si>
  <si>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</si>
  <si>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</si>
  <si>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</si>
  <si>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</si>
  <si>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</si>
  <si>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</si>
  <si>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</si>
  <si>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</si>
  <si>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</si>
  <si>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</si>
  <si>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</si>
  <si>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</si>
  <si>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</si>
  <si>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</si>
  <si>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</si>
  <si>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</si>
  <si>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</si>
  <si>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</si>
  <si>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</si>
  <si>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</si>
  <si>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</si>
  <si>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</si>
  <si>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</si>
  <si>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</si>
  <si>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</si>
  <si>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</si>
  <si>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</si>
  <si>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</si>
  <si>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</si>
  <si>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</si>
  <si>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</si>
  <si>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</si>
  <si>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</si>
  <si>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</si>
  <si>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</si>
  <si>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</si>
  <si>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</si>
  <si>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</si>
  <si>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</si>
  <si>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</si>
  <si>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</si>
  <si>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</si>
  <si>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</si>
  <si>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</si>
  <si>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</si>
  <si>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</si>
  <si>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</si>
  <si>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</si>
  <si>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</si>
  <si>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</si>
  <si>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</si>
  <si>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</si>
  <si>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</si>
  <si>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</si>
  <si>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</si>
  <si>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</si>
  <si>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</si>
  <si>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</si>
  <si>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</si>
  <si>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</si>
  <si>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</si>
  <si>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</si>
  <si>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</si>
  <si>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</si>
  <si>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</si>
  <si>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</si>
  <si>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</si>
  <si>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</si>
  <si>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</si>
  <si>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</si>
  <si>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</si>
  <si>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</si>
  <si>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</si>
  <si>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</si>
  <si>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</si>
  <si>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</si>
  <si>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</si>
  <si>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</si>
  <si>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</si>
  <si>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</si>
  <si>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</si>
  <si>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</si>
  <si>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</si>
  <si>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</si>
  <si>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</si>
  <si>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</si>
  <si>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</si>
  <si>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</si>
  <si>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</si>
  <si>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</si>
  <si>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</si>
  <si>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</si>
  <si>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</si>
  <si>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</si>
  <si>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</si>
  <si>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</si>
  <si>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</si>
  <si>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</si>
  <si>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</si>
  <si>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</si>
  <si>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</si>
  <si>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</si>
  <si>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</si>
  <si>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</si>
  <si>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</si>
  <si>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</si>
  <si>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</si>
  <si>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</si>
  <si>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</si>
  <si>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</si>
  <si>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</si>
  <si>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</si>
  <si>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</si>
  <si>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</si>
  <si>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</si>
  <si>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</si>
  <si>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</si>
  <si>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</si>
  <si>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</si>
  <si>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</si>
  <si>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</si>
  <si>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</si>
  <si>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</si>
  <si>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</si>
  <si>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</si>
  <si>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</si>
  <si>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</si>
  <si>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</si>
  <si>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</si>
  <si>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</si>
  <si>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</si>
  <si>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</si>
  <si>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</si>
  <si>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</si>
  <si>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</si>
  <si>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</si>
  <si>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</si>
  <si>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</si>
  <si>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</si>
  <si>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</si>
  <si>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</si>
  <si>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</si>
  <si>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</si>
  <si>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</si>
  <si>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</si>
  <si>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</si>
  <si>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</si>
  <si>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</si>
  <si>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</si>
  <si>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</si>
  <si>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</si>
  <si>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</si>
  <si>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</si>
  <si>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</si>
  <si>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</si>
  <si>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</si>
  <si>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</si>
  <si>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</si>
  <si>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</si>
  <si>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</si>
  <si>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</si>
  <si>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</si>
  <si>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</si>
  <si>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</si>
  <si>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</si>
  <si>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</si>
  <si>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</si>
  <si>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</si>
  <si>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</si>
  <si>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板橋松翠店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</si>
  <si>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</si>
  <si>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</si>
  <si>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</si>
  <si>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</si>
  <si>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</si>
  <si>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</si>
  <si>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</si>
  <si>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</si>
  <si>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</si>
  <si>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</si>
  <si>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</si>
  <si>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</si>
  <si>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</si>
  <si>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</si>
  <si>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</si>
  <si>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</si>
  <si>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</si>
  <si>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</si>
  <si>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</si>
  <si>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</si>
  <si>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</si>
  <si>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</si>
  <si>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</si>
  <si>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</si>
  <si>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</si>
  <si>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</si>
  <si>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</si>
  <si>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</si>
  <si>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</si>
  <si>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</si>
  <si>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</si>
  <si>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</si>
  <si>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</si>
  <si>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</si>
  <si>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</si>
  <si>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</si>
  <si>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</si>
  <si>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</si>
  <si>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</si>
  <si>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</si>
  <si>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</si>
  <si>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</si>
  <si>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</si>
  <si>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</si>
  <si>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</si>
  <si>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</si>
  <si>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</si>
  <si>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</si>
  <si>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</si>
  <si>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</si>
  <si>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</si>
  <si>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</si>
  <si>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</si>
  <si>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</si>
  <si>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</si>
  <si>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</si>
  <si>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</si>
  <si>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</si>
  <si>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</si>
  <si>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</si>
  <si>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</si>
  <si>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</si>
  <si>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</si>
  <si>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</si>
  <si>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</si>
  <si>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</si>
  <si>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</si>
  <si>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</si>
  <si>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</si>
  <si>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</si>
  <si>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</si>
  <si>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</si>
  <si>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</si>
  <si>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</si>
  <si>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</si>
  <si>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</si>
  <si>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</si>
  <si>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</si>
  <si>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</si>
  <si>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</si>
  <si>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</si>
  <si>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</si>
  <si>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</si>
  <si>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</si>
  <si>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</si>
  <si>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</si>
  <si>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</si>
  <si>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</si>
  <si>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</si>
  <si>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</si>
  <si>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</si>
  <si>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</si>
  <si>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</si>
  <si>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</si>
  <si>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</si>
  <si>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</si>
  <si>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</si>
  <si>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</si>
  <si>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</si>
  <si>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</si>
  <si>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</si>
  <si>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</si>
  <si>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</si>
  <si>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</si>
  <si>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</si>
  <si>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</si>
  <si>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</si>
  <si>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</si>
  <si>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</si>
  <si>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</si>
  <si>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</si>
  <si>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</si>
  <si>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</si>
  <si>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</si>
  <si>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</si>
  <si>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</si>
  <si>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</si>
  <si>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</si>
  <si>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</si>
  <si>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</si>
  <si>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</si>
  <si>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</si>
  <si>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</si>
  <si>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</si>
  <si>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</si>
  <si>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</si>
  <si>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</si>
  <si>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</si>
  <si>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</si>
  <si>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</si>
  <si>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</si>
  <si>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</si>
  <si>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</si>
  <si>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</si>
  <si>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</si>
  <si>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</si>
  <si>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</si>
  <si>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</si>
  <si>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</si>
  <si>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</si>
  <si>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</si>
  <si>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</si>
  <si>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</si>
  <si>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</si>
  <si>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</si>
  <si>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</si>
  <si>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</si>
  <si>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</si>
  <si>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</si>
  <si>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</si>
  <si>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</si>
  <si>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</si>
  <si>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</si>
  <si>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</si>
  <si>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</si>
  <si>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</si>
  <si>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</si>
  <si>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</si>
  <si>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</si>
  <si>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</si>
  <si>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</si>
  <si>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</si>
  <si>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</si>
  <si>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</si>
  <si>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</si>
  <si>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</si>
  <si>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</si>
  <si>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</si>
  <si>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</si>
  <si>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</si>
  <si>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</si>
  <si>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</si>
  <si>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</si>
  <si>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</si>
  <si>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</si>
  <si>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</si>
  <si>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</si>
  <si>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</si>
  <si>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</si>
  <si>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</si>
  <si>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</si>
  <si>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</si>
  <si>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</si>
  <si>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</si>
  <si>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</si>
  <si>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</si>
  <si>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</si>
  <si>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</si>
  <si>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</si>
  <si>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</si>
  <si>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</si>
  <si>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</si>
  <si>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</si>
  <si>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</si>
  <si>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</si>
  <si>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</si>
  <si>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</si>
  <si>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</si>
  <si>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</si>
  <si>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</si>
  <si>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</si>
  <si>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</si>
  <si>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</si>
  <si>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</si>
  <si>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</si>
  <si>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</si>
  <si>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</si>
  <si>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</si>
  <si>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</si>
  <si>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</si>
  <si>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</si>
  <si>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</si>
  <si>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</si>
  <si>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</si>
  <si>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</si>
  <si>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</si>
  <si>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</si>
  <si>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</si>
  <si>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</si>
  <si>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</si>
  <si>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</si>
  <si>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</si>
  <si>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</si>
  <si>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</si>
  <si>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</si>
  <si>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</si>
  <si>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</si>
  <si>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</si>
  <si>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</si>
  <si>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</si>
  <si>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</si>
  <si>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</si>
  <si>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</si>
  <si>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</si>
  <si>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</si>
  <si>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</si>
  <si>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</si>
  <si>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</si>
  <si>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</si>
  <si>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</si>
  <si>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</si>
  <si>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</si>
  <si>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</si>
  <si>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</si>
  <si>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</si>
  <si>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</si>
  <si>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</si>
  <si>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</si>
  <si>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</si>
  <si>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</si>
  <si>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</si>
  <si>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</si>
  <si>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</si>
  <si>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</si>
  <si>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</si>
  <si>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</si>
  <si>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</si>
  <si>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</si>
  <si>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</si>
  <si>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</si>
  <si>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</si>
  <si>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</si>
  <si>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</si>
  <si>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</si>
  <si>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</si>
  <si>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</si>
  <si>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</si>
  <si>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</si>
  <si>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</si>
  <si>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</si>
  <si>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</si>
  <si>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</si>
  <si>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</si>
  <si>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</si>
  <si>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</si>
  <si>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</si>
  <si>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</si>
  <si>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</si>
  <si>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</si>
  <si>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</si>
  <si>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</si>
  <si>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</si>
  <si>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</si>
  <si>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</si>
  <si>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</si>
  <si>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</si>
  <si>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</si>
  <si>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</si>
  <si>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</si>
  <si>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</si>
  <si>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</si>
  <si>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</si>
  <si>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</si>
  <si>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</si>
  <si>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</si>
  <si>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</si>
  <si>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</si>
  <si>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</si>
  <si>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</si>
  <si>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</si>
  <si>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</si>
  <si>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</si>
  <si>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</si>
  <si>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</si>
  <si>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</si>
  <si>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</si>
  <si>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</si>
  <si>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</si>
  <si>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</si>
  <si>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</si>
  <si>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</si>
  <si>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</si>
  <si>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</si>
  <si>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</si>
  <si>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</si>
  <si>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</si>
  <si>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</si>
  <si>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</si>
  <si>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</si>
  <si>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</si>
  <si>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</si>
  <si>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</si>
  <si>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</si>
  <si>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</si>
  <si>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</si>
  <si>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</si>
  <si>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</si>
  <si>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</si>
  <si>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</si>
  <si>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</si>
  <si>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</si>
  <si>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</si>
  <si>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</si>
  <si>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</si>
  <si>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</si>
  <si>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</si>
  <si>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</si>
  <si>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</si>
  <si>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</si>
  <si>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</si>
  <si>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</si>
  <si>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</si>
  <si>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</si>
  <si>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</si>
  <si>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</si>
  <si>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</si>
  <si>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</si>
  <si>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</si>
  <si>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</si>
  <si>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</si>
  <si>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</si>
  <si>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</si>
  <si>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</si>
  <si>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</si>
  <si>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</si>
  <si>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</si>
  <si>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</si>
  <si>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</si>
  <si>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</si>
  <si>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</si>
  <si>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</si>
  <si>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</si>
  <si>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</si>
  <si>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</si>
  <si>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</si>
  <si>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</si>
  <si>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</si>
  <si>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</si>
  <si>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</si>
  <si>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</si>
  <si>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</si>
  <si>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</si>
  <si>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</si>
  <si>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</si>
  <si>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</si>
  <si>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</si>
  <si>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</si>
  <si>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</si>
  <si>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</si>
  <si>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</si>
  <si>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</si>
  <si>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</si>
  <si>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</si>
  <si>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</si>
  <si>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</si>
  <si>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</si>
  <si>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</si>
  <si>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</si>
  <si>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</si>
  <si>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</si>
  <si>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</si>
  <si>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</si>
  <si>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</si>
  <si>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</si>
  <si>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</si>
  <si>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</si>
  <si>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</si>
  <si>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</si>
  <si>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</si>
  <si>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</si>
  <si>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</si>
  <si>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</si>
  <si>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</si>
  <si>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</si>
  <si>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</si>
  <si>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</si>
  <si>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</si>
  <si>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</si>
  <si>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</si>
  <si>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</si>
  <si>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</si>
  <si>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</si>
  <si>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</si>
  <si>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</si>
  <si>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</si>
  <si>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</si>
  <si>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</si>
  <si>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</si>
  <si>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</si>
  <si>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</si>
  <si>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</si>
  <si>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</si>
  <si>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</si>
  <si>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</si>
  <si>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</si>
  <si>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</si>
  <si>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</si>
  <si>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</si>
  <si>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</si>
  <si>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</si>
  <si>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</si>
  <si>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</si>
  <si>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</si>
  <si>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</si>
  <si>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</si>
  <si>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</si>
  <si>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</si>
  <si>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</si>
  <si>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</si>
  <si>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</si>
  <si>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</si>
  <si>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</si>
  <si>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</si>
  <si>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</si>
  <si>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</si>
  <si>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</si>
  <si>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</si>
  <si>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</si>
  <si>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</si>
  <si>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</si>
  <si>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</si>
  <si>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</si>
  <si>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</si>
  <si>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</si>
  <si>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</si>
  <si>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</si>
  <si>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</si>
  <si>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</si>
  <si>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</si>
  <si>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</si>
  <si>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</si>
  <si>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</si>
  <si>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</si>
  <si>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</si>
  <si>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</si>
  <si>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</si>
  <si>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</si>
  <si>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</si>
  <si>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</si>
  <si>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</si>
  <si>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</si>
  <si>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</si>
  <si>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</si>
  <si>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</si>
  <si>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</si>
  <si>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</si>
  <si>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</si>
  <si>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</si>
  <si>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</si>
  <si>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</si>
  <si>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</si>
  <si>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</si>
  <si>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</si>
  <si>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</si>
  <si>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</si>
  <si>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</si>
  <si>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</si>
  <si>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</si>
  <si>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</si>
  <si>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</si>
  <si>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</si>
  <si>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</si>
  <si>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</si>
  <si>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</si>
  <si>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</si>
  <si>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</si>
  <si>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</si>
  <si>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</si>
  <si>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</si>
  <si>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</si>
  <si>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</si>
  <si>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</si>
  <si>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</si>
  <si>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</si>
  <si>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</si>
  <si>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</si>
  <si>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</si>
  <si>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</si>
  <si>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</si>
  <si>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</si>
  <si>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</si>
  <si>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</si>
  <si>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</si>
  <si>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</si>
  <si>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</si>
  <si>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</si>
  <si>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</si>
  <si>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</si>
  <si>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</si>
  <si>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</si>
  <si>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</si>
  <si>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</si>
  <si>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</si>
  <si>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</si>
  <si>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</si>
  <si>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</si>
  <si>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</si>
  <si>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</si>
  <si>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</si>
  <si>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</si>
  <si>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</si>
  <si>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</si>
  <si>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</si>
  <si>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</si>
  <si>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</si>
  <si>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</si>
  <si>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</si>
  <si>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</si>
  <si>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</si>
  <si>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</si>
  <si>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</si>
  <si>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</si>
  <si>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</si>
  <si>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</si>
  <si>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</si>
  <si>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</si>
  <si>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</si>
  <si>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</si>
  <si>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</si>
  <si>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</si>
  <si>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</si>
  <si>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</si>
  <si>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</si>
  <si>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</si>
  <si>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</si>
  <si>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</si>
  <si>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</si>
  <si>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</si>
  <si>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</si>
  <si>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</si>
  <si>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</si>
  <si>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</si>
  <si>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</si>
  <si>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</si>
  <si>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</si>
  <si>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</si>
  <si>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</si>
  <si>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</si>
  <si>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</si>
  <si>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</si>
  <si>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</si>
  <si>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</si>
  <si>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</si>
  <si>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</si>
  <si>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</si>
  <si>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</si>
  <si>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</si>
  <si>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</si>
  <si>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</si>
  <si>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</si>
  <si>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</si>
  <si>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</si>
  <si>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</si>
  <si>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</si>
  <si>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</si>
  <si>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</si>
  <si>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</si>
  <si>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</si>
  <si>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</si>
  <si>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</si>
  <si>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</si>
  <si>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</si>
  <si>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</si>
  <si>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</si>
  <si>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</si>
  <si>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</si>
  <si>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</si>
  <si>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</si>
  <si>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</si>
  <si>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</si>
  <si>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</si>
  <si>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</si>
  <si>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</si>
  <si>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</si>
  <si>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</si>
  <si>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</si>
  <si>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</si>
  <si>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</si>
  <si>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</si>
  <si>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</si>
  <si>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</si>
  <si>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</si>
  <si>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</si>
  <si>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</si>
  <si>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</si>
  <si>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</si>
  <si>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</si>
  <si>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</si>
  <si>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</si>
  <si>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</si>
  <si>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</si>
  <si>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</si>
  <si>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</si>
  <si>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</si>
  <si>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</si>
  <si>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</si>
  <si>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</si>
  <si>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</si>
  <si>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</si>
  <si>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</si>
  <si>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</si>
  <si>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</si>
  <si>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</si>
  <si>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</si>
  <si>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</si>
  <si>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</si>
  <si>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</si>
  <si>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</si>
  <si>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</si>
  <si>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</si>
  <si>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</si>
  <si>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</si>
  <si>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</si>
  <si>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</si>
  <si>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</si>
  <si>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</si>
  <si>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</si>
  <si>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</si>
  <si>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</si>
  <si>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</si>
  <si>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</si>
  <si>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</si>
  <si>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</si>
  <si>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</si>
  <si>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</si>
  <si>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</si>
  <si>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</si>
  <si>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</si>
  <si>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</si>
  <si>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</si>
  <si>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</si>
  <si>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</si>
  <si>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</si>
  <si>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</si>
  <si>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</si>
  <si>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</si>
  <si>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</si>
  <si>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</si>
  <si>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</si>
  <si>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</si>
  <si>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</si>
  <si>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</si>
  <si>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</si>
  <si>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</si>
  <si>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</si>
  <si>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</si>
  <si>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</si>
  <si>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</si>
  <si>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</si>
  <si>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</si>
  <si>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</si>
  <si>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</si>
  <si>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</si>
  <si>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</si>
  <si>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</si>
  <si>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</si>
  <si>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</si>
  <si>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</si>
  <si>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</si>
  <si>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</si>
  <si>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</si>
  <si>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</si>
  <si>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</si>
  <si>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</si>
  <si>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</si>
  <si>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</si>
  <si>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</si>
  <si>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</si>
  <si>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</si>
  <si>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</si>
  <si>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</si>
  <si>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</si>
  <si>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</si>
  <si>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</si>
  <si>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</si>
  <si>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</si>
  <si>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</si>
  <si>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</si>
  <si>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</si>
  <si>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</si>
  <si>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</si>
  <si>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</si>
  <si>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</si>
  <si>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</si>
  <si>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</si>
  <si>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</si>
  <si>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</si>
  <si>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</si>
  <si>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</si>
  <si>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</si>
  <si>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</si>
  <si>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</si>
  <si>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</si>
  <si>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</si>
  <si>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</si>
  <si>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</si>
  <si>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</si>
  <si>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</si>
  <si>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</si>
  <si>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</si>
  <si>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</si>
  <si>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</si>
  <si>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</si>
  <si>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</si>
  <si>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</si>
  <si>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</si>
  <si>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</si>
  <si>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</si>
  <si>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</si>
  <si>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</si>
  <si>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</si>
  <si>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</si>
  <si>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</si>
  <si>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</si>
  <si>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</si>
  <si>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</si>
  <si>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</si>
  <si>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</si>
  <si>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</si>
  <si>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</si>
  <si>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</si>
  <si>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</si>
  <si>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</si>
  <si>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</si>
  <si>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</si>
  <si>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</si>
  <si>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</si>
  <si>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</si>
  <si>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</si>
  <si>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</si>
  <si>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</si>
  <si>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</si>
  <si>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</si>
  <si>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</si>
  <si>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</si>
  <si>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</si>
  <si>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</si>
  <si>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</si>
  <si>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</si>
  <si>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</si>
  <si>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</si>
  <si>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</si>
  <si>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</si>
  <si>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</si>
  <si>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</si>
  <si>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</si>
  <si>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</si>
  <si>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</si>
  <si>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</si>
  <si>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</si>
  <si>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</si>
  <si>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</si>
  <si>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</si>
  <si>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</si>
  <si>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</si>
  <si>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</si>
  <si>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</si>
  <si>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</si>
  <si>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</si>
  <si>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</si>
  <si>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</si>
  <si>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</si>
  <si>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</si>
  <si>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</si>
  <si>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</si>
  <si>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</si>
  <si>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</si>
  <si>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</si>
  <si>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</si>
  <si>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</si>
  <si>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</si>
  <si>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</si>
  <si>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</si>
  <si>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</si>
  <si>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</si>
  <si>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</si>
  <si>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</si>
  <si>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</si>
  <si>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</si>
  <si>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</si>
  <si>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</si>
  <si>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</si>
  <si>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</si>
  <si>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</si>
  <si>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</si>
  <si>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</si>
  <si>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</si>
  <si>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</si>
  <si>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</si>
  <si>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</si>
  <si>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</si>
  <si>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</si>
  <si>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</si>
  <si>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</si>
  <si>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</si>
  <si>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</si>
  <si>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</si>
  <si>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</si>
  <si>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</si>
  <si>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</si>
  <si>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</si>
  <si>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</si>
  <si>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</si>
  <si>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</si>
  <si>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</si>
  <si>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</si>
  <si>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</si>
  <si>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</si>
  <si>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</si>
  <si>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</si>
  <si>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</si>
  <si>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</si>
  <si>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</si>
  <si>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</si>
  <si>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</si>
  <si>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</si>
  <si>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</si>
  <si>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</si>
  <si>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</si>
  <si>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</si>
  <si>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</si>
  <si>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</si>
  <si>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</si>
  <si>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</si>
  <si>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</si>
  <si>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</si>
  <si>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</si>
  <si>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</si>
  <si>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</si>
  <si>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</si>
  <si>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</si>
  <si>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</si>
  <si>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</si>
  <si>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</si>
  <si>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</si>
  <si>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</si>
  <si>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</si>
  <si>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</si>
  <si>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</si>
  <si>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</si>
  <si>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</si>
  <si>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</si>
  <si>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</si>
  <si>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</si>
  <si>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</si>
  <si>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</si>
  <si>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</si>
  <si>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</si>
  <si>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</si>
  <si>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</si>
  <si>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</si>
  <si>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</si>
  <si>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</si>
  <si>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</si>
  <si>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</si>
  <si>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</si>
  <si>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</si>
  <si>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</si>
  <si>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</si>
  <si>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</si>
  <si>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</si>
  <si>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</si>
  <si>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</si>
  <si>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</si>
  <si>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</si>
  <si>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</si>
  <si>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</si>
  <si>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</si>
  <si>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</si>
  <si>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</si>
  <si>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</si>
  <si>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</si>
  <si>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</si>
  <si>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</si>
  <si>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</si>
  <si>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</si>
  <si>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</si>
  <si>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</si>
  <si>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</si>
  <si>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</si>
  <si>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</si>
  <si>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</si>
  <si>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</si>
  <si>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</si>
  <si>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</si>
  <si>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</si>
  <si>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</si>
  <si>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</si>
  <si>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</si>
  <si>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</si>
  <si>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</si>
  <si>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</si>
  <si>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</si>
  <si>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</si>
  <si>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</si>
  <si>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</si>
  <si>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</si>
  <si>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</si>
  <si>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</si>
  <si>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</si>
  <si>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</si>
  <si>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</si>
  <si>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</si>
  <si>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</si>
  <si>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</si>
  <si>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</si>
  <si>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</si>
  <si>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</si>
  <si>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</si>
  <si>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</si>
  <si>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</si>
  <si>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</si>
  <si>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</si>
  <si>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</si>
  <si>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</si>
  <si>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</si>
  <si>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</si>
  <si>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</si>
  <si>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</si>
  <si>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</si>
  <si>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</si>
  <si>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</si>
  <si>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</si>
  <si>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</si>
  <si>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</si>
  <si>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</si>
  <si>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</si>
  <si>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</si>
  <si>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</si>
  <si>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</si>
  <si>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</si>
  <si>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</si>
  <si>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</si>
  <si>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</si>
  <si>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</si>
  <si>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</si>
  <si>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</si>
  <si>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</si>
  <si>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</si>
  <si>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</si>
  <si>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</si>
  <si>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</si>
  <si>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</si>
  <si>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</si>
  <si>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</si>
  <si>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</si>
  <si>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</si>
  <si>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</si>
  <si>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</si>
  <si>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</si>
  <si>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</si>
  <si>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</si>
  <si>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</si>
  <si>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</si>
  <si>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</si>
  <si>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</si>
  <si>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</si>
  <si>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</si>
  <si>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</si>
  <si>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</si>
  <si>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</si>
  <si>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</si>
  <si>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</si>
  <si>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</si>
  <si>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</si>
  <si>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</si>
  <si>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</si>
  <si>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</si>
  <si>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</si>
  <si>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</si>
  <si>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</si>
  <si>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</si>
  <si>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</si>
  <si>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</si>
  <si>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</si>
  <si>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</si>
  <si>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</si>
  <si>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</si>
  <si>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</si>
  <si>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</si>
  <si>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</si>
  <si>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</si>
  <si>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</si>
  <si>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</si>
  <si>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</si>
  <si>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</si>
  <si>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</si>
  <si>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</si>
  <si>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</si>
  <si>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</si>
  <si>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</si>
  <si>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</si>
  <si>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</si>
  <si>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</si>
  <si>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</si>
  <si>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</si>
  <si>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</si>
  <si>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</si>
  <si>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</si>
  <si>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</si>
  <si>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</si>
  <si>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</si>
  <si>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</si>
  <si>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</si>
  <si>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</si>
  <si>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</si>
  <si>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</si>
  <si>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</si>
  <si>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</si>
  <si>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</si>
  <si>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</si>
  <si>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</si>
  <si>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</si>
  <si>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</si>
  <si>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</si>
  <si>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</si>
  <si>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</si>
  <si>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</si>
  <si>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</si>
  <si>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</si>
  <si>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</si>
  <si>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</si>
  <si>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</si>
  <si>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</si>
  <si>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</si>
  <si>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</si>
  <si>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</si>
  <si>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</si>
  <si>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</si>
  <si>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</si>
  <si>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</si>
  <si>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</si>
  <si>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</si>
  <si>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</si>
  <si>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</si>
  <si>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</si>
  <si>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</si>
  <si>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</si>
  <si>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</si>
  <si>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</si>
  <si>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</si>
  <si>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</si>
  <si>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</si>
  <si>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</si>
  <si>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</si>
  <si>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</si>
  <si>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</si>
  <si>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</si>
  <si>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</si>
  <si>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</si>
  <si>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</si>
  <si>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</si>
  <si>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</si>
  <si>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</si>
  <si>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</si>
  <si>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</si>
  <si>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</si>
  <si>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</si>
  <si>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</si>
  <si>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</si>
  <si>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</si>
  <si>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</si>
  <si>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</si>
  <si>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</si>
  <si>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</si>
  <si>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</si>
  <si>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</si>
  <si>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</si>
  <si>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</si>
  <si>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</si>
  <si>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</si>
  <si>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</si>
  <si>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</si>
  <si>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</si>
  <si>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</si>
  <si>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</si>
  <si>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</si>
  <si>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</si>
  <si>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</si>
  <si>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</si>
  <si>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</si>
  <si>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</si>
  <si>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</si>
  <si>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</si>
  <si>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</si>
  <si>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</si>
  <si>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</si>
  <si>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</si>
  <si>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</si>
  <si>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</si>
  <si>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</si>
  <si>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</si>
  <si>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</si>
  <si>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</si>
  <si>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</si>
  <si>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</si>
  <si>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</si>
  <si>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</si>
  <si>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</si>
  <si>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</si>
  <si>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</si>
  <si>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</si>
  <si>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</si>
  <si>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</si>
  <si>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</si>
  <si>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</si>
  <si>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</si>
  <si>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</si>
  <si>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</si>
  <si>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</si>
  <si>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</si>
  <si>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</si>
  <si>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</si>
  <si>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</si>
  <si>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</si>
  <si>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</si>
  <si>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</si>
  <si>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</si>
  <si>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</si>
  <si>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</si>
  <si>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</si>
  <si>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</si>
  <si>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</si>
  <si>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</si>
  <si>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</si>
  <si>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</si>
  <si>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</si>
  <si>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</si>
  <si>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</si>
  <si>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</si>
  <si>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</si>
  <si>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</si>
  <si>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</si>
  <si>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</si>
  <si>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</si>
  <si>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</si>
  <si>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</si>
  <si>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</si>
  <si>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</si>
  <si>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</si>
  <si>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</si>
  <si>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</si>
  <si>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</si>
  <si>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</si>
  <si>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</si>
  <si>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</si>
  <si>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</si>
  <si>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</si>
  <si>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</si>
  <si>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</si>
  <si>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</si>
  <si>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</si>
  <si>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</si>
  <si>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</si>
  <si>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</si>
  <si>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</si>
  <si>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</si>
  <si>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</si>
  <si>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</si>
  <si>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</si>
  <si>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</si>
  <si>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</si>
  <si>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</si>
  <si>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</si>
  <si>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</si>
  <si>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</si>
  <si>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</si>
  <si>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</si>
  <si>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</si>
  <si>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</si>
  <si>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</si>
  <si>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</si>
  <si>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</si>
  <si>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</si>
  <si>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</si>
  <si>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</si>
  <si>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</si>
  <si>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</si>
  <si>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</si>
  <si>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</si>
  <si>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</si>
  <si>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</si>
  <si>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</si>
  <si>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</si>
  <si>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</si>
  <si>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</si>
  <si>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</si>
  <si>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</si>
  <si>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</si>
  <si>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</si>
  <si>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</si>
  <si>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</si>
  <si>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</si>
  <si>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</si>
  <si>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</si>
  <si>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</si>
  <si>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</si>
  <si>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</si>
  <si>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</si>
  <si>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</si>
  <si>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</si>
  <si>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</si>
  <si>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</si>
  <si>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</si>
  <si>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</si>
  <si>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</si>
  <si>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</si>
  <si>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</si>
  <si>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</si>
  <si>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</si>
  <si>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</si>
  <si>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</si>
  <si>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</si>
  <si>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</si>
  <si>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</si>
  <si>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</si>
  <si>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</si>
  <si>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</si>
  <si>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</si>
  <si>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</si>
  <si>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</si>
  <si>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</si>
  <si>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</si>
  <si>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</si>
  <si>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</si>
  <si>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</si>
  <si>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</si>
  <si>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</si>
  <si>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</si>
  <si>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</si>
  <si>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</si>
  <si>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</si>
  <si>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</si>
  <si>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</si>
  <si>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</si>
  <si>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</si>
  <si>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</si>
  <si>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</si>
  <si>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</si>
  <si>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</si>
  <si>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</si>
  <si>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</si>
  <si>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</si>
  <si>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</si>
  <si>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</si>
  <si>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</si>
  <si>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</si>
  <si>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</si>
  <si>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</si>
  <si>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</si>
  <si>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</si>
  <si>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</si>
  <si>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</si>
  <si>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</si>
  <si>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</si>
  <si>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</si>
  <si>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</si>
  <si>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</si>
  <si>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</si>
  <si>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</si>
  <si>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</si>
  <si>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</si>
  <si>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</si>
  <si>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</si>
  <si>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</si>
  <si>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</si>
  <si>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</si>
  <si>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</si>
  <si>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</si>
  <si>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</si>
  <si>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</si>
  <si>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</si>
  <si>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</si>
  <si>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</si>
  <si>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</si>
  <si>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</si>
  <si>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</si>
  <si>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</si>
  <si>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</si>
  <si>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</si>
  <si>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</si>
  <si>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</si>
  <si>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</si>
  <si>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</si>
  <si>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</si>
  <si>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</si>
  <si>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</si>
  <si>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</si>
  <si>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</si>
  <si>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</si>
  <si>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</si>
  <si>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</si>
  <si>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</si>
  <si>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</si>
  <si>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</si>
  <si>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</si>
  <si>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</si>
  <si>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</si>
  <si>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</si>
  <si>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</si>
  <si>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</si>
  <si>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</si>
  <si>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</si>
  <si>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</si>
  <si>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</si>
  <si>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</si>
  <si>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</si>
  <si>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</si>
  <si>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</si>
  <si>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</si>
  <si>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</si>
  <si>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</si>
  <si>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</si>
  <si>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</si>
  <si>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</si>
  <si>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</si>
  <si>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</si>
  <si>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</si>
  <si>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</si>
  <si>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</si>
  <si>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</si>
  <si>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</si>
  <si>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</si>
  <si>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</si>
  <si>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</si>
  <si>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</si>
  <si>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</si>
  <si>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</si>
  <si>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</si>
  <si>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</si>
  <si>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</si>
  <si>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</si>
  <si>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</si>
  <si>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</si>
  <si>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</si>
  <si>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</si>
  <si>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</si>
  <si>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</si>
  <si>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</si>
  <si>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</si>
  <si>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</si>
  <si>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</si>
  <si>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</si>
  <si>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</si>
  <si>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</si>
  <si>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</si>
  <si>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</si>
  <si>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</si>
  <si>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</si>
  <si>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</si>
  <si>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</si>
  <si>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</si>
  <si>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</si>
  <si>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</si>
  <si>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</si>
  <si>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</si>
  <si>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</si>
  <si>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</si>
  <si>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</si>
  <si>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</si>
  <si>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</si>
  <si>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</si>
  <si>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</si>
  <si>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</si>
  <si>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</si>
  <si>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</si>
  <si>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</si>
  <si>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</si>
  <si>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</si>
  <si>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</si>
  <si>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</si>
  <si>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</si>
  <si>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</si>
  <si>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</si>
  <si>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</si>
  <si>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</si>
  <si>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</si>
  <si>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</si>
  <si>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</si>
  <si>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</si>
  <si>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</si>
  <si>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</si>
  <si>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</si>
  <si>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</si>
  <si>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</si>
  <si>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</si>
  <si>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</si>
  <si>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</si>
  <si>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</si>
  <si>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</si>
  <si>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</si>
  <si>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</si>
  <si>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</si>
  <si>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</si>
  <si>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</si>
  <si>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</si>
  <si>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</si>
  <si>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</si>
  <si>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</si>
  <si>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</si>
  <si>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</si>
  <si>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</si>
  <si>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</si>
  <si>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</si>
  <si>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</si>
  <si>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</si>
  <si>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</si>
  <si>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</si>
  <si>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</si>
  <si>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</si>
  <si>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</si>
  <si>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</si>
  <si>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</si>
  <si>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</si>
  <si>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</si>
  <si>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</si>
  <si>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</si>
  <si>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</si>
  <si>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</si>
  <si>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</si>
  <si>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</si>
  <si>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</si>
  <si>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</si>
  <si>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</si>
  <si>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</si>
  <si>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</si>
  <si>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</si>
  <si>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</si>
  <si>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</si>
  <si>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</si>
  <si>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</si>
  <si>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</si>
  <si>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</si>
  <si>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</si>
  <si>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</si>
  <si>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</si>
  <si>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</si>
  <si>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</si>
  <si>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</si>
  <si>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</si>
  <si>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</si>
  <si>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</si>
  <si>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</si>
  <si>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</si>
  <si>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</si>
  <si>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</si>
  <si>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</si>
  <si>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</si>
  <si>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</si>
  <si>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</si>
  <si>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</si>
  <si>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</si>
  <si>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</si>
  <si>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</si>
  <si>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</si>
  <si>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</si>
  <si>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</si>
  <si>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</si>
  <si>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</si>
  <si>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</si>
  <si>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</si>
  <si>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</si>
  <si>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</si>
  <si>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</si>
  <si>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</si>
  <si>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</si>
  <si>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</si>
  <si>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</si>
  <si>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</si>
  <si>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</si>
  <si>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</si>
  <si>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</si>
  <si>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</si>
  <si>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</si>
  <si>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</si>
  <si>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</si>
  <si>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</si>
  <si>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</si>
  <si>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</si>
  <si>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</si>
  <si>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</si>
  <si>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</si>
  <si>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</si>
  <si>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</si>
  <si>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</si>
  <si>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</si>
  <si>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</si>
  <si>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</si>
  <si>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</si>
  <si>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</si>
  <si>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</si>
  <si>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</si>
  <si>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</si>
  <si>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</si>
  <si>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</si>
  <si>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</si>
  <si>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</si>
  <si>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</si>
  <si>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</si>
  <si>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</si>
  <si>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</si>
  <si>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</si>
  <si>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</si>
  <si>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</si>
  <si>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</si>
  <si>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</si>
  <si>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</si>
  <si>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</si>
  <si>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</si>
  <si>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</si>
  <si>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</si>
  <si>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</si>
  <si>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</si>
  <si>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</si>
  <si>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</si>
  <si>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</si>
  <si>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</si>
  <si>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</si>
  <si>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</si>
  <si>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</si>
  <si>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</si>
  <si>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</si>
  <si>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</si>
  <si>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</si>
  <si>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</si>
  <si>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</si>
  <si>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</si>
  <si>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</si>
  <si>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</si>
  <si>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F603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</si>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</sst>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0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5" fillId="0" borderId="2"/>
    <xf numFmtId="0" fontId="47" fillId="0" borderId="2">
      <alignment vertical="top"/>
      <protection locked="0"/>
    </xf>
    <xf numFmtId="0" fontId="48" fillId="0" borderId="2"/>
    <xf numFmtId="0" fontId="48" fillId="0" borderId="2"/>
    <xf numFmtId="9" fontId="38" fillId="0" borderId="2">
      <alignment vertical="center"/>
    </xf>
    <xf numFmtId="0" fontId="31" fillId="0" borderId="2">
      <alignment vertical="center"/>
    </xf>
    <xf numFmtId="0" fontId="45" fillId="0" borderId="2">
      <alignment vertical="center"/>
    </xf>
    <xf numFmtId="0" fontId="45" fillId="0" borderId="2"/>
    <xf numFmtId="0" fontId="50" fillId="0" borderId="2"/>
    <xf numFmtId="9" fontId="48" fillId="0" borderId="2">
      <alignment vertical="center"/>
    </xf>
    <xf numFmtId="0" fontId="45" fillId="0" borderId="2"/>
    <xf numFmtId="9" fontId="45" fillId="0" borderId="2">
      <alignment vertical="center"/>
    </xf>
    <xf numFmtId="0" fontId="48" fillId="0" borderId="2"/>
    <xf numFmtId="9" fontId="51" fillId="0" borderId="2">
      <alignment vertical="center"/>
    </xf>
    <xf numFmtId="0" fontId="59" fillId="0" borderId="2">
      <alignment vertical="center"/>
    </xf>
    <xf numFmtId="0" fontId="65" fillId="0" borderId="2"/>
    <xf numFmtId="0" fontId="45" fillId="0" borderId="2">
      <alignment vertical="center"/>
    </xf>
    <xf numFmtId="0" fontId="31" fillId="0" borderId="2">
      <alignment vertical="center"/>
    </xf>
    <xf numFmtId="0" fontId="59" fillId="0" borderId="2">
      <alignment vertical="center"/>
    </xf>
    <xf numFmtId="0" fontId="59" fillId="0" borderId="2">
      <alignment vertical="center"/>
    </xf>
    <xf numFmtId="0" fontId="31" fillId="0" borderId="2">
      <alignment vertical="center"/>
    </xf>
    <xf numFmtId="0" fontId="31" fillId="0" borderId="2">
      <alignment vertical="center"/>
    </xf>
    <xf numFmtId="0" fontId="74" fillId="0" borderId="2">
      <alignment vertical="center"/>
    </xf>
    <xf numFmtId="0" fontId="64" fillId="0" borderId="2"/>
    <xf numFmtId="0" fontId="31" fillId="0" borderId="2">
      <alignment vertical="center"/>
    </xf>
  </cellStyleXfs>
  <cellXfs count="449">
    <xf numFmtId="0" fontId="0" fillId="0" borderId="0" xfId="0" applyBorder="1" applyAlignment="1">
      <alignment vertical="center"/>
    </xf>
    <xf numFmtId="0" fontId="33" fillId="0" borderId="0" xfId="0" applyFont="1" applyBorder="1" applyAlignment="1">
      <alignment vertical="center"/>
    </xf>
    <xf numFmtId="0" fontId="46" fillId="0" borderId="2" xfId="1" applyFont="1" applyAlignment="1">
      <alignment horizontal="center" vertical="center"/>
    </xf>
    <xf numFmtId="0" fontId="46" fillId="0" borderId="2" xfId="2" applyFont="1" applyAlignment="1" applyProtection="1">
      <alignment horizontal="center" vertical="center"/>
    </xf>
    <xf numFmtId="0" fontId="46" fillId="0" borderId="2" xfId="1" applyFont="1" applyAlignment="1">
      <alignment horizontal="left" vertical="center"/>
    </xf>
    <xf numFmtId="0" fontId="46" fillId="0" borderId="2" xfId="1" applyFont="1" applyAlignment="1">
      <alignment vertical="center"/>
    </xf>
    <xf numFmtId="0" fontId="46" fillId="0" borderId="2" xfId="7" applyFont="1" applyAlignment="1">
      <alignment horizontal="center" vertical="center"/>
    </xf>
    <xf numFmtId="0" fontId="53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5" fillId="4" borderId="10" xfId="9" applyFont="1" applyFill="1" applyBorder="1" applyAlignment="1">
      <alignment vertical="center"/>
    </xf>
    <xf numFmtId="0" fontId="55" fillId="4" borderId="13" xfId="9" applyFont="1" applyFill="1" applyBorder="1" applyAlignment="1">
      <alignment horizontal="left" vertical="center"/>
    </xf>
    <xf numFmtId="0" fontId="55" fillId="4" borderId="13" xfId="9" applyFont="1" applyFill="1" applyBorder="1" applyAlignment="1">
      <alignment vertical="center"/>
    </xf>
    <xf numFmtId="0" fontId="55" fillId="4" borderId="15" xfId="9" applyFont="1" applyFill="1" applyBorder="1" applyAlignment="1">
      <alignment vertical="center"/>
    </xf>
    <xf numFmtId="0" fontId="42" fillId="0" borderId="2" xfId="9" applyFont="1"/>
    <xf numFmtId="0" fontId="42" fillId="4" borderId="16" xfId="9" applyFont="1" applyFill="1" applyBorder="1" applyAlignment="1">
      <alignment horizontal="center" vertical="center"/>
    </xf>
    <xf numFmtId="0" fontId="42" fillId="4" borderId="8" xfId="9" applyFont="1" applyFill="1" applyBorder="1" applyAlignment="1">
      <alignment horizontal="left" vertical="center"/>
    </xf>
    <xf numFmtId="0" fontId="42" fillId="4" borderId="8" xfId="9" applyFont="1" applyFill="1" applyBorder="1" applyAlignment="1">
      <alignment horizontal="center" vertical="center"/>
    </xf>
    <xf numFmtId="14" fontId="42" fillId="4" borderId="17" xfId="9" applyNumberFormat="1" applyFont="1" applyFill="1" applyBorder="1" applyAlignment="1">
      <alignment horizontal="center" vertical="center"/>
    </xf>
    <xf numFmtId="0" fontId="42" fillId="0" borderId="2" xfId="9" applyFont="1" applyAlignment="1">
      <alignment horizontal="center" vertical="center"/>
    </xf>
    <xf numFmtId="0" fontId="42" fillId="0" borderId="2" xfId="9" applyFont="1" applyAlignment="1">
      <alignment horizontal="left" vertical="center"/>
    </xf>
    <xf numFmtId="14" fontId="42" fillId="0" borderId="2" xfId="9" applyNumberFormat="1" applyFont="1" applyAlignment="1">
      <alignment horizontal="center" vertical="center"/>
    </xf>
    <xf numFmtId="0" fontId="42" fillId="4" borderId="10" xfId="9" applyFont="1" applyFill="1" applyBorder="1" applyAlignment="1">
      <alignment horizontal="center" vertical="center"/>
    </xf>
    <xf numFmtId="0" fontId="42" fillId="4" borderId="13" xfId="9" applyFont="1" applyFill="1" applyBorder="1" applyAlignment="1">
      <alignment horizontal="left" vertical="center"/>
    </xf>
    <xf numFmtId="0" fontId="42" fillId="4" borderId="13" xfId="9" applyFont="1" applyFill="1" applyBorder="1" applyAlignment="1">
      <alignment horizontal="center" vertical="center"/>
    </xf>
    <xf numFmtId="14" fontId="42" fillId="4" borderId="15" xfId="9" applyNumberFormat="1" applyFont="1" applyFill="1" applyBorder="1" applyAlignment="1">
      <alignment horizontal="center" vertical="center"/>
    </xf>
    <xf numFmtId="0" fontId="50" fillId="0" borderId="2" xfId="9"/>
    <xf numFmtId="0" fontId="60" fillId="0" borderId="2" xfId="9" applyFont="1" applyAlignment="1">
      <alignment horizontal="center" vertical="center"/>
    </xf>
    <xf numFmtId="0" fontId="61" fillId="14" borderId="6" xfId="9" applyFont="1" applyFill="1" applyBorder="1" applyAlignment="1">
      <alignment horizontal="center" vertical="center"/>
    </xf>
    <xf numFmtId="0" fontId="62" fillId="7" borderId="6" xfId="15" applyFont="1" applyFill="1" applyBorder="1" applyAlignment="1">
      <alignment horizontal="center" vertical="center"/>
    </xf>
    <xf numFmtId="0" fontId="61" fillId="0" borderId="11" xfId="9" applyFont="1" applyBorder="1" applyAlignment="1">
      <alignment horizontal="center" vertical="center"/>
    </xf>
    <xf numFmtId="0" fontId="64" fillId="0" borderId="2" xfId="9" applyFont="1" applyAlignment="1">
      <alignment horizontal="center" vertical="center"/>
    </xf>
    <xf numFmtId="0" fontId="66" fillId="0" borderId="6" xfId="16" applyFont="1" applyBorder="1" applyAlignment="1">
      <alignment horizontal="center" vertical="center"/>
    </xf>
    <xf numFmtId="0" fontId="50" fillId="0" borderId="6" xfId="9" applyBorder="1" applyAlignment="1">
      <alignment horizontal="center"/>
    </xf>
    <xf numFmtId="0" fontId="50" fillId="0" borderId="6" xfId="9" applyBorder="1" applyAlignment="1">
      <alignment horizontal="center" vertical="center"/>
    </xf>
    <xf numFmtId="0" fontId="63" fillId="0" borderId="6" xfId="17" applyFont="1" applyBorder="1" applyAlignment="1">
      <alignment horizontal="center" vertical="center"/>
    </xf>
    <xf numFmtId="0" fontId="63" fillId="0" borderId="6" xfId="17" applyFont="1" applyBorder="1" applyAlignment="1">
      <alignment vertical="center"/>
    </xf>
    <xf numFmtId="22" fontId="67" fillId="0" borderId="6" xfId="9" applyNumberFormat="1" applyFont="1" applyBorder="1" applyAlignment="1">
      <alignment horizontal="left" vertical="center"/>
    </xf>
    <xf numFmtId="0" fontId="68" fillId="0" borderId="6" xfId="9" applyFont="1" applyBorder="1"/>
    <xf numFmtId="0" fontId="68" fillId="0" borderId="6" xfId="9" applyFont="1" applyBorder="1" applyAlignment="1">
      <alignment horizontal="center"/>
    </xf>
    <xf numFmtId="22" fontId="69" fillId="0" borderId="6" xfId="9" applyNumberFormat="1" applyFont="1" applyBorder="1" applyAlignment="1">
      <alignment horizontal="left" vertical="center"/>
    </xf>
    <xf numFmtId="0" fontId="64" fillId="0" borderId="6" xfId="9" applyFont="1" applyBorder="1" applyAlignment="1">
      <alignment horizontal="left" vertical="center"/>
    </xf>
    <xf numFmtId="0" fontId="64" fillId="0" borderId="6" xfId="9" applyFont="1" applyBorder="1" applyAlignment="1">
      <alignment horizontal="center" vertical="center"/>
    </xf>
    <xf numFmtId="0" fontId="63" fillId="15" borderId="6" xfId="17" applyFont="1" applyFill="1" applyBorder="1" applyAlignment="1">
      <alignment vertical="center"/>
    </xf>
    <xf numFmtId="0" fontId="70" fillId="0" borderId="6" xfId="16" applyFont="1" applyBorder="1" applyAlignment="1">
      <alignment horizontal="center" vertical="center"/>
    </xf>
    <xf numFmtId="0" fontId="71" fillId="0" borderId="6" xfId="16" applyFont="1" applyBorder="1" applyAlignment="1">
      <alignment horizontal="center" vertical="center"/>
    </xf>
    <xf numFmtId="0" fontId="50" fillId="0" borderId="2" xfId="9" applyAlignment="1">
      <alignment horizontal="center"/>
    </xf>
    <xf numFmtId="0" fontId="72" fillId="14" borderId="2" xfId="9" applyFont="1" applyFill="1" applyAlignment="1">
      <alignment horizontal="center"/>
    </xf>
    <xf numFmtId="0" fontId="50" fillId="0" borderId="2" xfId="9" applyAlignment="1">
      <alignment horizontal="center" vertical="center"/>
    </xf>
    <xf numFmtId="0" fontId="63" fillId="4" borderId="6" xfId="17" applyFont="1" applyFill="1" applyBorder="1" applyAlignment="1">
      <alignment vertical="center"/>
    </xf>
    <xf numFmtId="0" fontId="61" fillId="0" borderId="2" xfId="9" applyFont="1" applyAlignment="1">
      <alignment horizontal="center" vertical="center"/>
    </xf>
    <xf numFmtId="0" fontId="50" fillId="0" borderId="6" xfId="9" applyBorder="1"/>
    <xf numFmtId="0" fontId="63" fillId="0" borderId="2" xfId="17" applyFont="1" applyAlignment="1">
      <alignment horizontal="center" vertical="center"/>
    </xf>
    <xf numFmtId="0" fontId="63" fillId="0" borderId="2" xfId="17" applyFont="1" applyAlignment="1">
      <alignment vertical="center"/>
    </xf>
    <xf numFmtId="14" fontId="63" fillId="0" borderId="2" xfId="17" applyNumberFormat="1" applyFont="1" applyAlignment="1">
      <alignment vertical="center"/>
    </xf>
    <xf numFmtId="0" fontId="64" fillId="0" borderId="12" xfId="9" applyFont="1" applyBorder="1" applyAlignment="1">
      <alignment horizontal="left" vertical="center"/>
    </xf>
    <xf numFmtId="0" fontId="63" fillId="0" borderId="12" xfId="17" applyFont="1" applyBorder="1" applyAlignment="1">
      <alignment horizontal="center" vertical="center"/>
    </xf>
    <xf numFmtId="0" fontId="63" fillId="0" borderId="12" xfId="17" applyFont="1" applyBorder="1" applyAlignment="1">
      <alignment vertical="center"/>
    </xf>
    <xf numFmtId="0" fontId="63" fillId="0" borderId="18" xfId="17" applyFont="1" applyBorder="1" applyAlignment="1">
      <alignment horizontal="center" vertical="center"/>
    </xf>
    <xf numFmtId="0" fontId="63" fillId="0" borderId="18" xfId="17" applyFont="1" applyBorder="1" applyAlignment="1">
      <alignment vertical="center"/>
    </xf>
    <xf numFmtId="0" fontId="39" fillId="0" borderId="2" xfId="9" applyFont="1"/>
    <xf numFmtId="0" fontId="40" fillId="0" borderId="2" xfId="9" applyFont="1"/>
    <xf numFmtId="0" fontId="41" fillId="0" borderId="2" xfId="9" applyFont="1"/>
    <xf numFmtId="22" fontId="67" fillId="0" borderId="2" xfId="9" applyNumberFormat="1" applyFont="1" applyAlignment="1">
      <alignment horizontal="left" vertical="center"/>
    </xf>
    <xf numFmtId="14" fontId="63" fillId="0" borderId="6" xfId="17" applyNumberFormat="1" applyFont="1" applyBorder="1" applyAlignment="1">
      <alignment vertical="center"/>
    </xf>
    <xf numFmtId="0" fontId="29" fillId="0" borderId="6" xfId="17" applyFont="1" applyBorder="1" applyAlignment="1">
      <alignment horizontal="center" vertical="center"/>
    </xf>
    <xf numFmtId="0" fontId="29" fillId="0" borderId="6" xfId="17" applyFont="1" applyBorder="1" applyAlignment="1">
      <alignment vertical="center"/>
    </xf>
    <xf numFmtId="14" fontId="28" fillId="0" borderId="2" xfId="9" applyNumberFormat="1" applyFont="1" applyAlignment="1">
      <alignment vertical="center"/>
    </xf>
    <xf numFmtId="0" fontId="56" fillId="0" borderId="0" xfId="0" applyFont="1" applyBorder="1" applyAlignment="1">
      <alignment horizontal="center" vertical="center"/>
    </xf>
    <xf numFmtId="14" fontId="73" fillId="0" borderId="0" xfId="0" applyNumberFormat="1" applyFont="1" applyBorder="1" applyAlignment="1">
      <alignment vertical="center"/>
    </xf>
    <xf numFmtId="0" fontId="76" fillId="0" borderId="0" xfId="0" applyFont="1" applyBorder="1" applyAlignment="1">
      <alignment vertical="center"/>
    </xf>
    <xf numFmtId="0" fontId="77" fillId="0" borderId="0" xfId="0" applyFont="1" applyBorder="1" applyAlignment="1">
      <alignment horizontal="center" vertical="center"/>
    </xf>
    <xf numFmtId="0" fontId="3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6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3" fillId="0" borderId="0" xfId="0" applyFont="1" applyBorder="1" applyAlignment="1">
      <alignment horizontal="center" vertical="center"/>
    </xf>
    <xf numFmtId="0" fontId="51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5" fillId="0" borderId="0" xfId="0" applyNumberFormat="1" applyFont="1" applyBorder="1" applyAlignment="1">
      <alignment horizontal="center" vertical="center"/>
    </xf>
    <xf numFmtId="0" fontId="59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3" fillId="8" borderId="29" xfId="0" applyFont="1" applyFill="1" applyBorder="1" applyAlignment="1">
      <alignment horizontal="center" vertical="center" wrapText="1"/>
    </xf>
    <xf numFmtId="0" fontId="53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1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1" fillId="17" borderId="6" xfId="0" applyFont="1" applyFill="1" applyBorder="1" applyAlignment="1">
      <alignment horizontal="left" vertical="center" wrapText="1"/>
    </xf>
    <xf numFmtId="0" fontId="51" fillId="4" borderId="6" xfId="0" applyFont="1" applyFill="1" applyBorder="1" applyAlignment="1">
      <alignment horizontal="left" vertical="center"/>
    </xf>
    <xf numFmtId="0" fontId="59" fillId="17" borderId="6" xfId="0" applyFont="1" applyFill="1" applyBorder="1" applyAlignment="1">
      <alignment horizontal="left" vertical="center" wrapText="1"/>
    </xf>
    <xf numFmtId="0" fontId="59" fillId="4" borderId="6" xfId="0" applyFont="1" applyFill="1" applyBorder="1" applyAlignment="1">
      <alignment horizontal="left" vertical="center" wrapText="1"/>
    </xf>
    <xf numFmtId="0" fontId="51" fillId="17" borderId="6" xfId="0" applyFont="1" applyFill="1" applyBorder="1" applyAlignment="1">
      <alignment horizontal="left" vertical="center"/>
    </xf>
    <xf numFmtId="0" fontId="78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1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6" fillId="0" borderId="0" xfId="0" applyFont="1" applyBorder="1" applyAlignment="1" applyProtection="1">
      <alignment horizontal="center" vertical="center"/>
      <protection hidden="1"/>
    </xf>
    <xf numFmtId="0" fontId="31" fillId="0" borderId="0" xfId="0" applyFont="1" applyBorder="1" applyAlignment="1" applyProtection="1">
      <alignment vertical="center"/>
      <protection hidden="1"/>
    </xf>
    <xf numFmtId="14" fontId="73" fillId="0" borderId="0" xfId="0" applyNumberFormat="1" applyFont="1" applyBorder="1" applyAlignment="1" applyProtection="1">
      <alignment vertical="center"/>
      <protection hidden="1"/>
    </xf>
    <xf numFmtId="0" fontId="31" fillId="0" borderId="0" xfId="0" applyFont="1" applyBorder="1" applyAlignment="1" applyProtection="1">
      <alignment horizontal="center" vertical="center"/>
      <protection hidden="1"/>
    </xf>
    <xf numFmtId="0" fontId="73" fillId="0" borderId="0" xfId="0" applyFont="1" applyBorder="1" applyAlignment="1" applyProtection="1">
      <alignment horizontal="center" vertical="center"/>
      <protection hidden="1"/>
    </xf>
    <xf numFmtId="0" fontId="52" fillId="12" borderId="6" xfId="0" applyFont="1" applyFill="1" applyBorder="1" applyAlignment="1" applyProtection="1">
      <alignment horizontal="center" vertical="center"/>
      <protection hidden="1"/>
    </xf>
    <xf numFmtId="0" fontId="42" fillId="7" borderId="18" xfId="0" applyFont="1" applyFill="1" applyBorder="1" applyAlignment="1" applyProtection="1">
      <alignment horizontal="right" vertical="center"/>
      <protection hidden="1"/>
    </xf>
    <xf numFmtId="0" fontId="27" fillId="0" borderId="0" xfId="0" applyFont="1" applyBorder="1" applyAlignment="1" applyProtection="1">
      <alignment vertical="center"/>
      <protection hidden="1"/>
    </xf>
    <xf numFmtId="0" fontId="26" fillId="0" borderId="2" xfId="0" applyFont="1" applyAlignment="1" applyProtection="1">
      <alignment vertical="center"/>
      <protection hidden="1"/>
    </xf>
    <xf numFmtId="0" fontId="55" fillId="12" borderId="11" xfId="0" applyFont="1" applyFill="1" applyBorder="1" applyAlignment="1" applyProtection="1">
      <alignment horizontal="right" vertical="center"/>
      <protection hidden="1"/>
    </xf>
    <xf numFmtId="0" fontId="42" fillId="12" borderId="11" xfId="0" applyFont="1" applyFill="1" applyBorder="1" applyAlignment="1" applyProtection="1">
      <alignment horizontal="right" vertical="center"/>
      <protection hidden="1"/>
    </xf>
    <xf numFmtId="0" fontId="42" fillId="0" borderId="25" xfId="0" applyFont="1" applyBorder="1" applyAlignment="1" applyProtection="1">
      <alignment horizontal="center" vertical="center"/>
      <protection hidden="1"/>
    </xf>
    <xf numFmtId="0" fontId="42" fillId="0" borderId="7" xfId="0" applyFont="1" applyBorder="1" applyAlignment="1" applyProtection="1">
      <alignment horizontal="center" vertical="center"/>
      <protection hidden="1"/>
    </xf>
    <xf numFmtId="0" fontId="31" fillId="0" borderId="21" xfId="0" applyFont="1" applyBorder="1" applyAlignment="1" applyProtection="1">
      <alignment horizontal="center" vertical="center"/>
      <protection hidden="1"/>
    </xf>
    <xf numFmtId="0" fontId="31" fillId="0" borderId="4" xfId="0" applyFont="1" applyBorder="1" applyAlignment="1" applyProtection="1">
      <alignment horizontal="center" vertical="center"/>
      <protection hidden="1"/>
    </xf>
    <xf numFmtId="0" fontId="42" fillId="0" borderId="4" xfId="0" applyFont="1" applyBorder="1" applyAlignment="1" applyProtection="1">
      <alignment horizontal="center" vertical="center"/>
      <protection hidden="1"/>
    </xf>
    <xf numFmtId="0" fontId="56" fillId="0" borderId="14" xfId="0" applyFont="1" applyBorder="1" applyAlignment="1" applyProtection="1">
      <alignment horizontal="center" vertical="center"/>
      <protection hidden="1"/>
    </xf>
    <xf numFmtId="20" fontId="31" fillId="0" borderId="3" xfId="0" applyNumberFormat="1" applyFont="1" applyBorder="1" applyAlignment="1" applyProtection="1">
      <alignment horizontal="left" vertical="center"/>
      <protection hidden="1"/>
    </xf>
    <xf numFmtId="0" fontId="42" fillId="0" borderId="20" xfId="0" applyFont="1" applyBorder="1" applyAlignment="1" applyProtection="1">
      <alignment horizontal="center" vertical="center"/>
      <protection hidden="1"/>
    </xf>
    <xf numFmtId="0" fontId="31" fillId="0" borderId="20" xfId="0" applyFont="1" applyBorder="1" applyAlignment="1" applyProtection="1">
      <alignment horizontal="center" vertical="center"/>
      <protection hidden="1"/>
    </xf>
    <xf numFmtId="0" fontId="31" fillId="0" borderId="24" xfId="0" applyFont="1" applyBorder="1" applyAlignment="1" applyProtection="1">
      <alignment horizontal="center" vertical="center"/>
      <protection hidden="1"/>
    </xf>
    <xf numFmtId="0" fontId="31" fillId="0" borderId="22" xfId="0" applyFont="1" applyBorder="1" applyAlignment="1" applyProtection="1">
      <alignment horizontal="center" vertical="center"/>
      <protection hidden="1"/>
    </xf>
    <xf numFmtId="0" fontId="31" fillId="0" borderId="5" xfId="0" applyFont="1" applyBorder="1" applyAlignment="1" applyProtection="1">
      <alignment horizontal="center" vertical="center"/>
      <protection hidden="1"/>
    </xf>
    <xf numFmtId="0" fontId="56" fillId="0" borderId="27" xfId="0" applyFont="1" applyBorder="1" applyAlignment="1" applyProtection="1">
      <alignment horizontal="center" vertical="center"/>
      <protection hidden="1"/>
    </xf>
    <xf numFmtId="0" fontId="31" fillId="0" borderId="6" xfId="0" applyFont="1" applyBorder="1" applyAlignment="1" applyProtection="1">
      <alignment horizontal="center" vertical="center"/>
      <protection hidden="1"/>
    </xf>
    <xf numFmtId="0" fontId="56" fillId="0" borderId="6" xfId="0" applyFont="1" applyBorder="1" applyAlignment="1" applyProtection="1">
      <alignment horizontal="center" vertical="center"/>
      <protection hidden="1"/>
    </xf>
    <xf numFmtId="0" fontId="34" fillId="0" borderId="0" xfId="0" applyFont="1" applyBorder="1" applyAlignment="1" applyProtection="1">
      <alignment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51" fillId="0" borderId="0" xfId="0" applyFont="1" applyBorder="1" applyAlignment="1" applyProtection="1">
      <alignment vertical="center"/>
      <protection hidden="1"/>
    </xf>
    <xf numFmtId="0" fontId="77" fillId="0" borderId="0" xfId="0" applyFont="1" applyBorder="1" applyAlignment="1" applyProtection="1">
      <alignment vertical="center"/>
      <protection hidden="1"/>
    </xf>
    <xf numFmtId="0" fontId="59" fillId="9" borderId="1" xfId="0" applyFont="1" applyFill="1" applyBorder="1" applyAlignment="1">
      <alignment horizontal="center" vertical="center" wrapText="1"/>
    </xf>
    <xf numFmtId="14" fontId="33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0" fillId="0" borderId="0" xfId="0" applyFont="1" applyBorder="1" applyAlignment="1" applyProtection="1">
      <alignment horizontal="center" vertical="center"/>
      <protection hidden="1"/>
    </xf>
    <xf numFmtId="0" fontId="51" fillId="9" borderId="1" xfId="0" applyFont="1" applyFill="1" applyBorder="1" applyAlignment="1">
      <alignment horizontal="center" vertical="center"/>
    </xf>
    <xf numFmtId="14" fontId="79" fillId="0" borderId="0" xfId="0" applyNumberFormat="1" applyFont="1" applyBorder="1" applyAlignment="1" applyProtection="1">
      <alignment horizontal="center" vertical="center"/>
      <protection hidden="1"/>
    </xf>
    <xf numFmtId="0" fontId="42" fillId="7" borderId="13" xfId="0" applyFont="1" applyFill="1" applyBorder="1" applyAlignment="1" applyProtection="1">
      <alignment horizontal="center" vertical="center"/>
      <protection hidden="1"/>
    </xf>
    <xf numFmtId="0" fontId="42" fillId="5" borderId="19" xfId="0" applyFont="1" applyFill="1" applyBorder="1" applyAlignment="1" applyProtection="1">
      <alignment horizontal="center" vertical="center"/>
      <protection hidden="1"/>
    </xf>
    <xf numFmtId="14" fontId="42" fillId="0" borderId="2" xfId="9" applyNumberFormat="1" applyFont="1"/>
    <xf numFmtId="0" fontId="42" fillId="4" borderId="8" xfId="0" applyFont="1" applyFill="1" applyBorder="1" applyProtection="1">
      <protection hidden="1"/>
    </xf>
    <xf numFmtId="0" fontId="31" fillId="0" borderId="0" xfId="0" applyFont="1" applyBorder="1" applyAlignment="1">
      <alignment vertical="center"/>
    </xf>
    <xf numFmtId="0" fontId="31" fillId="0" borderId="0" xfId="0" applyFont="1" applyBorder="1" applyAlignment="1">
      <alignment horizontal="center" vertical="center"/>
    </xf>
    <xf numFmtId="0" fontId="58" fillId="0" borderId="2" xfId="0" applyFont="1" applyAlignment="1">
      <alignment horizontal="center" vertical="center"/>
    </xf>
    <xf numFmtId="0" fontId="82" fillId="7" borderId="2" xfId="0" applyFont="1" applyFill="1" applyAlignment="1" applyProtection="1">
      <alignment horizontal="center" vertical="center"/>
      <protection hidden="1"/>
    </xf>
    <xf numFmtId="0" fontId="42" fillId="4" borderId="9" xfId="0" applyFont="1" applyFill="1" applyBorder="1" applyAlignment="1" applyProtection="1">
      <alignment horizontal="right" vertical="center"/>
      <protection hidden="1"/>
    </xf>
    <xf numFmtId="0" fontId="42" fillId="4" borderId="16" xfId="0" applyFont="1" applyFill="1" applyBorder="1" applyAlignment="1" applyProtection="1">
      <alignment horizontal="right" vertical="center"/>
      <protection hidden="1"/>
    </xf>
    <xf numFmtId="0" fontId="80" fillId="0" borderId="0" xfId="0" applyFont="1" applyBorder="1" applyAlignment="1">
      <alignment horizontal="center" vertical="center"/>
    </xf>
    <xf numFmtId="0" fontId="44" fillId="23" borderId="6" xfId="19" applyFont="1" applyFill="1" applyBorder="1" applyAlignment="1">
      <alignment horizontal="center" vertical="center"/>
    </xf>
    <xf numFmtId="0" fontId="24" fillId="0" borderId="2" xfId="15" applyFont="1" applyAlignment="1">
      <alignment vertical="center"/>
    </xf>
    <xf numFmtId="0" fontId="24" fillId="0" borderId="6" xfId="19" applyFont="1" applyBorder="1" applyAlignment="1">
      <alignment horizontal="center" vertical="center"/>
    </xf>
    <xf numFmtId="0" fontId="24" fillId="0" borderId="6" xfId="19" applyFont="1" applyBorder="1" applyAlignment="1">
      <alignment horizontal="left" vertical="center"/>
    </xf>
    <xf numFmtId="0" fontId="24" fillId="0" borderId="6" xfId="19" applyFont="1" applyBorder="1" applyAlignment="1">
      <alignment vertical="center"/>
    </xf>
    <xf numFmtId="0" fontId="24" fillId="0" borderId="6" xfId="15" applyFont="1" applyBorder="1" applyAlignment="1">
      <alignment vertical="center"/>
    </xf>
    <xf numFmtId="0" fontId="24" fillId="0" borderId="6" xfId="15" applyFont="1" applyBorder="1" applyAlignment="1">
      <alignment horizontal="center" vertical="center"/>
    </xf>
    <xf numFmtId="0" fontId="24" fillId="0" borderId="6" xfId="19" quotePrefix="1" applyFont="1" applyBorder="1" applyAlignment="1">
      <alignment horizontal="left" vertical="center"/>
    </xf>
    <xf numFmtId="0" fontId="24" fillId="0" borderId="2" xfId="19" applyFont="1" applyAlignment="1">
      <alignment horizontal="center" vertical="center"/>
    </xf>
    <xf numFmtId="0" fontId="24" fillId="0" borderId="2" xfId="19" applyFont="1" applyAlignment="1">
      <alignment horizontal="left" vertical="center"/>
    </xf>
    <xf numFmtId="0" fontId="85" fillId="0" borderId="6" xfId="0" applyFont="1" applyBorder="1" applyAlignment="1" applyProtection="1">
      <alignment horizontal="center" vertical="center"/>
      <protection hidden="1"/>
    </xf>
    <xf numFmtId="0" fontId="86" fillId="0" borderId="0" xfId="0" applyFont="1" applyBorder="1" applyAlignment="1" applyProtection="1">
      <alignment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77" fillId="9" borderId="1" xfId="0" applyFont="1" applyFill="1" applyBorder="1" applyAlignment="1">
      <alignment horizontal="center" vertical="center"/>
    </xf>
    <xf numFmtId="0" fontId="88" fillId="0" borderId="30" xfId="0" applyFont="1" applyBorder="1" applyAlignment="1">
      <alignment horizontal="left" vertical="center" wrapText="1"/>
    </xf>
    <xf numFmtId="0" fontId="77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3" fillId="7" borderId="2" xfId="0" applyFont="1" applyFill="1" applyAlignment="1" applyProtection="1">
      <alignment horizontal="center" vertical="center"/>
      <protection hidden="1"/>
    </xf>
    <xf numFmtId="0" fontId="84" fillId="4" borderId="2" xfId="0" applyFont="1" applyFill="1" applyAlignment="1">
      <alignment horizontal="center" vertical="center"/>
    </xf>
    <xf numFmtId="0" fontId="55" fillId="12" borderId="6" xfId="0" applyFont="1" applyFill="1" applyBorder="1" applyAlignment="1" applyProtection="1">
      <alignment horizontal="center" vertical="center"/>
      <protection hidden="1"/>
    </xf>
    <xf numFmtId="0" fontId="31" fillId="0" borderId="18" xfId="0" applyFont="1" applyBorder="1" applyAlignment="1" applyProtection="1">
      <alignment horizontal="center" vertical="center"/>
      <protection hidden="1"/>
    </xf>
    <xf numFmtId="0" fontId="42" fillId="0" borderId="5" xfId="0" applyFont="1" applyBorder="1" applyAlignment="1" applyProtection="1">
      <alignment horizontal="center" vertical="center"/>
      <protection hidden="1"/>
    </xf>
    <xf numFmtId="0" fontId="56" fillId="0" borderId="18" xfId="0" applyFont="1" applyBorder="1" applyAlignment="1" applyProtection="1">
      <alignment horizontal="center" vertical="center"/>
      <protection hidden="1"/>
    </xf>
    <xf numFmtId="20" fontId="31" fillId="0" borderId="33" xfId="0" applyNumberFormat="1" applyFont="1" applyBorder="1" applyAlignment="1" applyProtection="1">
      <alignment horizontal="left" vertical="center"/>
      <protection hidden="1"/>
    </xf>
    <xf numFmtId="0" fontId="42" fillId="0" borderId="6" xfId="0" applyFont="1" applyBorder="1" applyAlignment="1" applyProtection="1">
      <alignment horizontal="center" vertical="center"/>
      <protection hidden="1"/>
    </xf>
    <xf numFmtId="14" fontId="23" fillId="0" borderId="2" xfId="24" applyNumberFormat="1" applyFont="1" applyAlignment="1">
      <alignment horizontal="center" vertical="center"/>
    </xf>
    <xf numFmtId="0" fontId="36" fillId="19" borderId="8" xfId="0" applyFont="1" applyFill="1" applyBorder="1" applyAlignment="1" applyProtection="1">
      <alignment horizontal="center" vertical="center"/>
      <protection hidden="1"/>
    </xf>
    <xf numFmtId="0" fontId="42" fillId="4" borderId="19" xfId="0" applyFont="1" applyFill="1" applyBorder="1" applyProtection="1">
      <protection hidden="1"/>
    </xf>
    <xf numFmtId="0" fontId="44" fillId="25" borderId="18" xfId="0" applyFont="1" applyFill="1" applyBorder="1" applyAlignment="1" applyProtection="1">
      <alignment horizontal="center" vertical="center" wrapText="1"/>
      <protection hidden="1"/>
    </xf>
    <xf numFmtId="0" fontId="56" fillId="7" borderId="18" xfId="0" applyFont="1" applyFill="1" applyBorder="1" applyAlignment="1">
      <alignment horizontal="center" vertical="center"/>
    </xf>
    <xf numFmtId="0" fontId="56" fillId="7" borderId="11" xfId="0" applyFont="1" applyFill="1" applyBorder="1" applyAlignment="1">
      <alignment horizontal="center" vertical="center"/>
    </xf>
    <xf numFmtId="0" fontId="49" fillId="7" borderId="19" xfId="0" applyFont="1" applyFill="1" applyBorder="1" applyAlignment="1" applyProtection="1">
      <alignment horizontal="center" vertical="center"/>
      <protection hidden="1"/>
    </xf>
    <xf numFmtId="0" fontId="42" fillId="0" borderId="18" xfId="0" applyFont="1" applyBorder="1" applyAlignment="1" applyProtection="1">
      <alignment horizontal="center" vertical="center"/>
      <protection hidden="1"/>
    </xf>
    <xf numFmtId="0" fontId="22" fillId="0" borderId="0" xfId="0" applyFont="1" applyBorder="1" applyAlignment="1">
      <alignment horizontal="center" vertical="center"/>
    </xf>
    <xf numFmtId="0" fontId="22" fillId="0" borderId="0" xfId="0" applyFont="1" applyBorder="1" applyAlignment="1">
      <alignment horizontal="right" vertical="center"/>
    </xf>
    <xf numFmtId="0" fontId="52" fillId="0" borderId="0" xfId="0" applyFont="1" applyBorder="1" applyAlignment="1">
      <alignment horizontal="center" vertical="center"/>
    </xf>
    <xf numFmtId="0" fontId="22" fillId="0" borderId="6" xfId="0" applyFont="1" applyBorder="1" applyAlignment="1" applyProtection="1">
      <alignment horizontal="center" vertical="center"/>
      <protection hidden="1"/>
    </xf>
    <xf numFmtId="0" fontId="58" fillId="0" borderId="6" xfId="14" applyNumberFormat="1" applyFont="1" applyBorder="1" applyAlignment="1" applyProtection="1">
      <alignment horizontal="center" vertical="center"/>
      <protection hidden="1"/>
    </xf>
    <xf numFmtId="0" fontId="22" fillId="0" borderId="6" xfId="0" applyFont="1" applyBorder="1" applyAlignment="1">
      <alignment horizontal="center" vertical="center"/>
    </xf>
    <xf numFmtId="0" fontId="90" fillId="0" borderId="6" xfId="0" applyFont="1" applyBorder="1" applyAlignment="1">
      <alignment horizontal="center" vertical="center"/>
    </xf>
    <xf numFmtId="0" fontId="91" fillId="12" borderId="6" xfId="15" applyFont="1" applyFill="1" applyBorder="1" applyAlignment="1" applyProtection="1">
      <alignment horizontal="center" vertical="center"/>
      <protection hidden="1"/>
    </xf>
    <xf numFmtId="0" fontId="52" fillId="0" borderId="2" xfId="0" applyFont="1" applyAlignment="1">
      <alignment horizontal="center" vertical="center"/>
    </xf>
    <xf numFmtId="14" fontId="81" fillId="26" borderId="18" xfId="0" applyNumberFormat="1" applyFont="1" applyFill="1" applyBorder="1" applyAlignment="1" applyProtection="1">
      <alignment horizontal="center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4" fillId="27" borderId="18" xfId="0" applyFont="1" applyFill="1" applyBorder="1" applyAlignment="1" applyProtection="1">
      <alignment horizontal="center" vertical="center" wrapText="1"/>
      <protection hidden="1"/>
    </xf>
    <xf numFmtId="0" fontId="21" fillId="0" borderId="0" xfId="0" applyFont="1" applyBorder="1" applyAlignment="1">
      <alignment horizontal="center" vertical="center"/>
    </xf>
    <xf numFmtId="0" fontId="21" fillId="12" borderId="6" xfId="0" applyFont="1" applyFill="1" applyBorder="1" applyAlignment="1">
      <alignment horizontal="center" vertical="center"/>
    </xf>
    <xf numFmtId="0" fontId="34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4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1" fillId="0" borderId="10" xfId="0" applyNumberFormat="1" applyFont="1" applyBorder="1" applyAlignment="1" applyProtection="1">
      <alignment horizontal="left" vertical="center"/>
      <protection hidden="1"/>
    </xf>
    <xf numFmtId="0" fontId="20" fillId="0" borderId="0" xfId="0" applyFont="1" applyBorder="1" applyAlignment="1">
      <alignment horizontal="center" vertical="center"/>
    </xf>
    <xf numFmtId="0" fontId="19" fillId="0" borderId="2" xfId="15" applyFont="1" applyAlignment="1">
      <alignment vertical="center"/>
    </xf>
    <xf numFmtId="14" fontId="81" fillId="26" borderId="23" xfId="0" applyNumberFormat="1" applyFont="1" applyFill="1" applyBorder="1" applyAlignment="1" applyProtection="1">
      <alignment horizontal="center" vertical="center"/>
      <protection hidden="1"/>
    </xf>
    <xf numFmtId="0" fontId="92" fillId="0" borderId="2" xfId="9" applyFont="1"/>
    <xf numFmtId="0" fontId="93" fillId="0" borderId="2" xfId="9" applyFont="1"/>
    <xf numFmtId="0" fontId="49" fillId="7" borderId="18" xfId="0" applyFont="1" applyFill="1" applyBorder="1" applyAlignment="1" applyProtection="1">
      <alignment horizontal="center" vertical="center"/>
      <protection hidden="1"/>
    </xf>
    <xf numFmtId="0" fontId="31" fillId="0" borderId="2" xfId="0" applyFont="1" applyAlignment="1" applyProtection="1">
      <alignment vertical="center"/>
      <protection hidden="1"/>
    </xf>
    <xf numFmtId="0" fontId="42" fillId="22" borderId="8" xfId="0" applyFont="1" applyFill="1" applyBorder="1" applyAlignment="1" applyProtection="1">
      <alignment horizontal="center" vertical="center"/>
      <protection hidden="1"/>
    </xf>
    <xf numFmtId="0" fontId="55" fillId="12" borderId="9" xfId="0" applyFont="1" applyFill="1" applyBorder="1" applyAlignment="1" applyProtection="1">
      <alignment horizontal="right" vertical="center"/>
      <protection hidden="1"/>
    </xf>
    <xf numFmtId="0" fontId="42" fillId="12" borderId="16" xfId="0" applyFont="1" applyFill="1" applyBorder="1" applyAlignment="1" applyProtection="1">
      <alignment horizontal="right" vertical="center"/>
      <protection hidden="1"/>
    </xf>
    <xf numFmtId="0" fontId="91" fillId="12" borderId="23" xfId="15" applyFont="1" applyFill="1" applyBorder="1" applyAlignment="1" applyProtection="1">
      <alignment horizontal="right" vertical="center"/>
      <protection hidden="1"/>
    </xf>
    <xf numFmtId="0" fontId="55" fillId="7" borderId="23" xfId="0" applyFont="1" applyFill="1" applyBorder="1" applyAlignment="1" applyProtection="1">
      <alignment horizontal="center" vertical="center"/>
      <protection hidden="1"/>
    </xf>
    <xf numFmtId="0" fontId="42" fillId="0" borderId="2" xfId="0" applyFont="1" applyAlignment="1" applyProtection="1">
      <alignment horizontal="center" vertical="center"/>
      <protection hidden="1"/>
    </xf>
    <xf numFmtId="0" fontId="44" fillId="2" borderId="6" xfId="0" applyFont="1" applyFill="1" applyBorder="1" applyAlignment="1" applyProtection="1">
      <alignment horizontal="center" vertical="center"/>
      <protection hidden="1"/>
    </xf>
    <xf numFmtId="0" fontId="42" fillId="0" borderId="12" xfId="0" applyFont="1" applyBorder="1" applyAlignment="1" applyProtection="1">
      <alignment horizontal="center" vertical="center"/>
      <protection hidden="1"/>
    </xf>
    <xf numFmtId="0" fontId="31" fillId="0" borderId="12" xfId="0" applyFont="1" applyBorder="1" applyAlignment="1" applyProtection="1">
      <alignment horizontal="center" vertical="center"/>
      <protection hidden="1"/>
    </xf>
    <xf numFmtId="20" fontId="31" fillId="0" borderId="12" xfId="0" applyNumberFormat="1" applyFont="1" applyBorder="1" applyAlignment="1" applyProtection="1">
      <alignment horizontal="center" vertical="center"/>
      <protection hidden="1"/>
    </xf>
    <xf numFmtId="0" fontId="56" fillId="0" borderId="12" xfId="0" applyFont="1" applyBorder="1" applyAlignment="1" applyProtection="1">
      <alignment horizontal="center" vertical="center"/>
      <protection hidden="1"/>
    </xf>
    <xf numFmtId="0" fontId="42" fillId="0" borderId="0" xfId="0" applyFont="1" applyBorder="1" applyAlignment="1" applyProtection="1">
      <alignment horizontal="center" vertical="center"/>
      <protection hidden="1"/>
    </xf>
    <xf numFmtId="0" fontId="31" fillId="0" borderId="2" xfId="0" applyFont="1" applyAlignment="1" applyProtection="1">
      <alignment horizontal="center" vertical="center"/>
      <protection hidden="1"/>
    </xf>
    <xf numFmtId="0" fontId="18" fillId="0" borderId="2" xfId="0" applyFont="1" applyAlignment="1">
      <alignment vertical="center"/>
    </xf>
    <xf numFmtId="0" fontId="42" fillId="0" borderId="21" xfId="0" applyFont="1" applyBorder="1" applyAlignment="1" applyProtection="1">
      <alignment horizontal="center" vertical="center"/>
      <protection hidden="1"/>
    </xf>
    <xf numFmtId="0" fontId="56" fillId="0" borderId="35" xfId="0" applyFont="1" applyBorder="1" applyAlignment="1" applyProtection="1">
      <alignment horizontal="center" vertical="center"/>
      <protection hidden="1"/>
    </xf>
    <xf numFmtId="20" fontId="31" fillId="0" borderId="7" xfId="0" applyNumberFormat="1" applyFont="1" applyBorder="1" applyAlignment="1" applyProtection="1">
      <alignment horizontal="left" vertical="center"/>
      <protection hidden="1"/>
    </xf>
    <xf numFmtId="0" fontId="42" fillId="5" borderId="8" xfId="0" applyFont="1" applyFill="1" applyBorder="1" applyAlignment="1" applyProtection="1">
      <alignment horizontal="center" vertical="center"/>
      <protection hidden="1"/>
    </xf>
    <xf numFmtId="0" fontId="91" fillId="12" borderId="18" xfId="15" applyFont="1" applyFill="1" applyBorder="1" applyAlignment="1" applyProtection="1">
      <alignment horizontal="right" vertical="center"/>
      <protection hidden="1"/>
    </xf>
    <xf numFmtId="0" fontId="42" fillId="12" borderId="12" xfId="0" applyFont="1" applyFill="1" applyBorder="1" applyAlignment="1" applyProtection="1">
      <alignment horizontal="right" vertical="center"/>
      <protection hidden="1"/>
    </xf>
    <xf numFmtId="20" fontId="31" fillId="0" borderId="16" xfId="0" applyNumberFormat="1" applyFont="1" applyBorder="1" applyAlignment="1" applyProtection="1">
      <alignment horizontal="left" vertical="center"/>
      <protection hidden="1"/>
    </xf>
    <xf numFmtId="0" fontId="42" fillId="4" borderId="13" xfId="0" applyFont="1" applyFill="1" applyBorder="1" applyProtection="1">
      <protection hidden="1"/>
    </xf>
    <xf numFmtId="0" fontId="56" fillId="7" borderId="6" xfId="0" applyFont="1" applyFill="1" applyBorder="1" applyAlignment="1" applyProtection="1">
      <alignment horizontal="center" vertical="center"/>
      <protection hidden="1"/>
    </xf>
    <xf numFmtId="14" fontId="81" fillId="26" borderId="6" xfId="0" applyNumberFormat="1" applyFont="1" applyFill="1" applyBorder="1" applyAlignment="1" applyProtection="1">
      <alignment horizontal="center" vertical="center"/>
      <protection hidden="1"/>
    </xf>
    <xf numFmtId="0" fontId="49" fillId="7" borderId="6" xfId="0" applyFont="1" applyFill="1" applyBorder="1" applyAlignment="1" applyProtection="1">
      <alignment horizontal="center" vertical="center"/>
      <protection hidden="1"/>
    </xf>
    <xf numFmtId="14" fontId="81" fillId="26" borderId="19" xfId="0" applyNumberFormat="1" applyFont="1" applyFill="1" applyBorder="1" applyAlignment="1" applyProtection="1">
      <alignment horizontal="center" vertical="center"/>
      <protection hidden="1"/>
    </xf>
    <xf numFmtId="0" fontId="17" fillId="0" borderId="0" xfId="0" applyFont="1" applyBorder="1" applyAlignment="1">
      <alignment horizontal="center" vertical="center"/>
    </xf>
    <xf numFmtId="2" fontId="22" fillId="0" borderId="0" xfId="0" applyNumberFormat="1" applyFont="1" applyBorder="1" applyAlignment="1">
      <alignment horizontal="center" vertical="center"/>
    </xf>
    <xf numFmtId="0" fontId="55" fillId="7" borderId="2" xfId="0" applyFont="1" applyFill="1" applyAlignment="1">
      <alignment horizontal="center" vertical="center"/>
    </xf>
    <xf numFmtId="0" fontId="42" fillId="5" borderId="2" xfId="0" applyFont="1" applyFill="1" applyAlignment="1">
      <alignment horizontal="center" vertical="center"/>
    </xf>
    <xf numFmtId="0" fontId="42" fillId="0" borderId="2" xfId="0" applyFont="1" applyAlignment="1">
      <alignment vertical="center"/>
    </xf>
    <xf numFmtId="0" fontId="42" fillId="0" borderId="2" xfId="0" applyFont="1" applyAlignment="1">
      <alignment horizontal="center" vertical="center"/>
    </xf>
    <xf numFmtId="0" fontId="55" fillId="0" borderId="2" xfId="0" applyFont="1" applyAlignment="1">
      <alignment horizontal="center" vertical="center"/>
    </xf>
    <xf numFmtId="14" fontId="42" fillId="0" borderId="2" xfId="0" applyNumberFormat="1" applyFont="1" applyAlignment="1">
      <alignment horizontal="left" vertical="center"/>
    </xf>
    <xf numFmtId="0" fontId="91" fillId="5" borderId="2" xfId="0" applyFont="1" applyFill="1" applyAlignment="1">
      <alignment horizontal="left" vertical="center"/>
    </xf>
    <xf numFmtId="49" fontId="42" fillId="4" borderId="2" xfId="0" applyNumberFormat="1" applyFont="1" applyFill="1" applyAlignment="1">
      <alignment horizontal="center" vertical="center"/>
    </xf>
    <xf numFmtId="49" fontId="94" fillId="4" borderId="2" xfId="0" applyNumberFormat="1" applyFont="1" applyFill="1" applyAlignment="1">
      <alignment horizontal="center" vertical="center"/>
    </xf>
    <xf numFmtId="0" fontId="95" fillId="4" borderId="2" xfId="0" applyFont="1" applyFill="1" applyAlignment="1">
      <alignment horizontal="center" vertical="center"/>
    </xf>
    <xf numFmtId="0" fontId="42" fillId="4" borderId="2" xfId="0" applyFont="1" applyFill="1" applyAlignment="1">
      <alignment horizontal="center" vertical="center"/>
    </xf>
    <xf numFmtId="0" fontId="95" fillId="0" borderId="2" xfId="0" applyFont="1" applyAlignment="1">
      <alignment horizontal="center" vertical="center"/>
    </xf>
    <xf numFmtId="9" fontId="42" fillId="0" borderId="2" xfId="14" applyFont="1" applyAlignment="1">
      <alignment horizontal="center" vertical="center"/>
    </xf>
    <xf numFmtId="14" fontId="22" fillId="0" borderId="0" xfId="0" applyNumberFormat="1" applyFont="1" applyBorder="1" applyAlignment="1">
      <alignment horizontal="center" vertical="center"/>
    </xf>
    <xf numFmtId="0" fontId="42" fillId="28" borderId="2" xfId="0" applyFont="1" applyFill="1" applyAlignment="1">
      <alignment horizontal="center" vertical="center"/>
    </xf>
    <xf numFmtId="0" fontId="42" fillId="29" borderId="2" xfId="0" applyFont="1" applyFill="1" applyAlignment="1">
      <alignment horizontal="center" vertical="center"/>
    </xf>
    <xf numFmtId="0" fontId="42" fillId="30" borderId="2" xfId="0" applyFont="1" applyFill="1" applyAlignment="1">
      <alignment horizontal="center" vertical="center"/>
    </xf>
    <xf numFmtId="0" fontId="53" fillId="8" borderId="1" xfId="24" applyFont="1" applyFill="1" applyBorder="1" applyAlignment="1">
      <alignment horizontal="center" vertical="center" wrapText="1"/>
    </xf>
    <xf numFmtId="14" fontId="53" fillId="8" borderId="1" xfId="24" applyNumberFormat="1" applyFont="1" applyFill="1" applyBorder="1" applyAlignment="1">
      <alignment horizontal="center" vertical="center" wrapText="1"/>
    </xf>
    <xf numFmtId="0" fontId="16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1" fillId="0" borderId="1" xfId="0" applyFont="1" applyBorder="1" applyAlignment="1">
      <alignment horizontal="left" vertical="center" wrapText="1"/>
    </xf>
    <xf numFmtId="14" fontId="31" fillId="0" borderId="2" xfId="0" applyNumberFormat="1" applyFont="1" applyAlignment="1">
      <alignment horizontal="center" vertical="center"/>
    </xf>
    <xf numFmtId="14" fontId="42" fillId="7" borderId="2" xfId="0" applyNumberFormat="1" applyFont="1" applyFill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14" fillId="12" borderId="6" xfId="0" applyFont="1" applyFill="1" applyBorder="1" applyAlignment="1">
      <alignment horizontal="center" vertical="center"/>
    </xf>
    <xf numFmtId="0" fontId="46" fillId="0" borderId="2" xfId="4" applyFont="1" applyAlignment="1">
      <alignment horizontal="center" vertical="center"/>
    </xf>
    <xf numFmtId="0" fontId="46" fillId="0" borderId="2" xfId="3" applyFont="1" applyAlignment="1">
      <alignment horizontal="center" vertical="center"/>
    </xf>
    <xf numFmtId="0" fontId="46" fillId="0" borderId="2" xfId="3" applyFont="1" applyAlignment="1">
      <alignment horizontal="left" vertical="center"/>
    </xf>
    <xf numFmtId="0" fontId="46" fillId="7" borderId="9" xfId="1" applyFont="1" applyFill="1" applyBorder="1" applyAlignment="1">
      <alignment horizontal="center" vertical="center"/>
    </xf>
    <xf numFmtId="0" fontId="46" fillId="7" borderId="2" xfId="1" applyFont="1" applyFill="1" applyAlignment="1">
      <alignment horizontal="center" vertical="center"/>
    </xf>
    <xf numFmtId="0" fontId="46" fillId="0" borderId="9" xfId="1" applyFont="1" applyBorder="1" applyAlignment="1">
      <alignment vertical="center"/>
    </xf>
    <xf numFmtId="0" fontId="97" fillId="0" borderId="2" xfId="6" applyFont="1" applyAlignment="1">
      <alignment vertical="center"/>
    </xf>
    <xf numFmtId="0" fontId="96" fillId="10" borderId="6" xfId="3" applyFont="1" applyFill="1" applyBorder="1" applyAlignment="1">
      <alignment horizontal="center" vertical="center"/>
    </xf>
    <xf numFmtId="0" fontId="13" fillId="24" borderId="6" xfId="0" applyFont="1" applyFill="1" applyBorder="1" applyAlignment="1">
      <alignment horizontal="center" vertical="center"/>
    </xf>
    <xf numFmtId="0" fontId="98" fillId="4" borderId="6" xfId="3" applyFont="1" applyFill="1" applyBorder="1" applyAlignment="1">
      <alignment horizontal="center" vertical="center"/>
    </xf>
    <xf numFmtId="14" fontId="46" fillId="0" borderId="2" xfId="3" applyNumberFormat="1" applyFont="1" applyAlignment="1">
      <alignment horizontal="center" vertical="center" wrapText="1"/>
    </xf>
    <xf numFmtId="0" fontId="96" fillId="12" borderId="6" xfId="3" applyFont="1" applyFill="1" applyBorder="1" applyAlignment="1">
      <alignment horizontal="center" vertical="center"/>
    </xf>
    <xf numFmtId="14" fontId="42" fillId="0" borderId="2" xfId="0" applyNumberFormat="1" applyFont="1" applyAlignment="1">
      <alignment vertical="center"/>
    </xf>
    <xf numFmtId="0" fontId="42" fillId="0" borderId="26" xfId="0" applyFont="1" applyBorder="1" applyAlignment="1" applyProtection="1">
      <alignment horizontal="center" vertical="center"/>
      <protection hidden="1"/>
    </xf>
    <xf numFmtId="0" fontId="56" fillId="7" borderId="12" xfId="0" applyFont="1" applyFill="1" applyBorder="1" applyAlignment="1">
      <alignment horizontal="center" vertical="center"/>
    </xf>
    <xf numFmtId="0" fontId="12" fillId="0" borderId="2" xfId="25" applyFont="1" applyAlignment="1">
      <alignment vertical="center"/>
    </xf>
    <xf numFmtId="0" fontId="12" fillId="0" borderId="2" xfId="25" applyFont="1" applyAlignment="1">
      <alignment horizontal="left" vertical="center"/>
    </xf>
    <xf numFmtId="0" fontId="12" fillId="0" borderId="2" xfId="25" quotePrefix="1" applyFont="1" applyAlignment="1">
      <alignment horizontal="left" vertical="center"/>
    </xf>
    <xf numFmtId="0" fontId="12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99" fillId="12" borderId="36" xfId="0" applyNumberFormat="1" applyFont="1" applyFill="1" applyBorder="1" applyAlignment="1">
      <alignment horizontal="center" vertical="center"/>
    </xf>
    <xf numFmtId="0" fontId="99" fillId="12" borderId="36" xfId="0" applyFont="1" applyFill="1" applyBorder="1" applyAlignment="1">
      <alignment horizontal="center" vertical="center"/>
    </xf>
    <xf numFmtId="49" fontId="99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2" fillId="22" borderId="19" xfId="0" applyFont="1" applyFill="1" applyBorder="1" applyAlignment="1" applyProtection="1">
      <alignment horizontal="center" vertical="center"/>
      <protection hidden="1"/>
    </xf>
    <xf numFmtId="0" fontId="31" fillId="0" borderId="2" xfId="0" applyFont="1" applyAlignment="1">
      <alignment horizontal="center" vertical="center"/>
    </xf>
    <xf numFmtId="0" fontId="52" fillId="31" borderId="0" xfId="0" applyFont="1" applyFill="1" applyBorder="1" applyAlignment="1">
      <alignment horizontal="center" vertical="center"/>
    </xf>
    <xf numFmtId="0" fontId="44" fillId="25" borderId="36" xfId="0" applyFont="1" applyFill="1" applyBorder="1" applyAlignment="1" applyProtection="1">
      <alignment horizontal="center" vertical="center" wrapText="1"/>
      <protection hidden="1"/>
    </xf>
    <xf numFmtId="0" fontId="11" fillId="0" borderId="2" xfId="25" applyFont="1" applyAlignment="1">
      <alignment horizontal="left" vertical="center"/>
    </xf>
    <xf numFmtId="0" fontId="51" fillId="0" borderId="0" xfId="0" applyFont="1" applyBorder="1" applyAlignment="1">
      <alignment vertical="center"/>
    </xf>
    <xf numFmtId="0" fontId="11" fillId="0" borderId="2" xfId="25" applyFont="1" applyAlignment="1">
      <alignment vertical="center"/>
    </xf>
    <xf numFmtId="0" fontId="51" fillId="0" borderId="2" xfId="0" applyFont="1" applyAlignment="1">
      <alignment horizontal="center" vertical="center"/>
    </xf>
    <xf numFmtId="14" fontId="73" fillId="4" borderId="36" xfId="0" applyNumberFormat="1" applyFont="1" applyFill="1" applyBorder="1" applyAlignment="1" applyProtection="1">
      <alignment horizontal="center" vertical="center"/>
      <protection hidden="1"/>
    </xf>
    <xf numFmtId="14" fontId="54" fillId="10" borderId="36" xfId="0" applyNumberFormat="1" applyFont="1" applyFill="1" applyBorder="1" applyAlignment="1" applyProtection="1">
      <alignment horizontal="center" vertical="center"/>
      <protection hidden="1"/>
    </xf>
    <xf numFmtId="0" fontId="42" fillId="4" borderId="36" xfId="0" applyFont="1" applyFill="1" applyBorder="1" applyAlignment="1" applyProtection="1">
      <alignment horizontal="center" vertical="center"/>
      <protection hidden="1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0" fontId="56" fillId="4" borderId="36" xfId="0" applyFont="1" applyFill="1" applyBorder="1" applyAlignment="1">
      <alignment horizontal="center" vertical="center"/>
    </xf>
    <xf numFmtId="0" fontId="31" fillId="4" borderId="36" xfId="0" applyFont="1" applyFill="1" applyBorder="1" applyAlignment="1" applyProtection="1">
      <alignment horizontal="center" vertical="center"/>
      <protection hidden="1"/>
    </xf>
    <xf numFmtId="0" fontId="96" fillId="10" borderId="6" xfId="3" quotePrefix="1" applyFont="1" applyFill="1" applyBorder="1" applyAlignment="1">
      <alignment horizontal="center" vertical="center"/>
    </xf>
    <xf numFmtId="0" fontId="10" fillId="0" borderId="6" xfId="0" quotePrefix="1" applyFont="1" applyBorder="1" applyAlignment="1">
      <alignment horizontal="center" vertical="center"/>
    </xf>
    <xf numFmtId="0" fontId="52" fillId="12" borderId="6" xfId="0" applyFont="1" applyFill="1" applyBorder="1" applyAlignment="1">
      <alignment horizontal="center" vertical="center"/>
    </xf>
    <xf numFmtId="0" fontId="52" fillId="12" borderId="6" xfId="0" applyFont="1" applyFill="1" applyBorder="1" applyAlignment="1">
      <alignment horizontal="right" vertical="center"/>
    </xf>
    <xf numFmtId="0" fontId="32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5" fillId="0" borderId="6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46" fillId="0" borderId="2" xfId="3" applyFont="1" applyAlignment="1">
      <alignment vertical="center"/>
    </xf>
    <xf numFmtId="0" fontId="46" fillId="4" borderId="6" xfId="3" applyFont="1" applyFill="1" applyBorder="1" applyAlignment="1">
      <alignment horizontal="center" vertical="center"/>
    </xf>
    <xf numFmtId="0" fontId="46" fillId="0" borderId="9" xfId="3" applyFont="1" applyBorder="1" applyAlignment="1">
      <alignment vertical="center"/>
    </xf>
    <xf numFmtId="14" fontId="90" fillId="0" borderId="2" xfId="0" applyNumberFormat="1" applyFont="1" applyAlignment="1">
      <alignment horizontal="center" vertical="center"/>
    </xf>
    <xf numFmtId="0" fontId="52" fillId="18" borderId="6" xfId="0" applyFont="1" applyFill="1" applyBorder="1" applyAlignment="1" applyProtection="1">
      <alignment horizontal="center" vertical="center"/>
      <protection hidden="1"/>
    </xf>
    <xf numFmtId="0" fontId="52" fillId="4" borderId="6" xfId="0" applyFont="1" applyFill="1" applyBorder="1" applyAlignment="1" applyProtection="1">
      <alignment vertical="center"/>
      <protection hidden="1"/>
    </xf>
    <xf numFmtId="0" fontId="52" fillId="4" borderId="0" xfId="0" applyFont="1" applyFill="1" applyBorder="1" applyAlignment="1" applyProtection="1">
      <alignment horizontal="center" vertical="center"/>
      <protection hidden="1"/>
    </xf>
    <xf numFmtId="0" fontId="52" fillId="18" borderId="6" xfId="0" applyFont="1" applyFill="1" applyBorder="1" applyAlignment="1" applyProtection="1">
      <alignment horizontal="right" vertical="center"/>
      <protection hidden="1"/>
    </xf>
    <xf numFmtId="0" fontId="58" fillId="18" borderId="6" xfId="0" applyFont="1" applyFill="1" applyBorder="1" applyAlignment="1" applyProtection="1">
      <alignment horizontal="center" vertical="center"/>
      <protection hidden="1"/>
    </xf>
    <xf numFmtId="0" fontId="58" fillId="4" borderId="6" xfId="0" applyFont="1" applyFill="1" applyBorder="1" applyAlignment="1" applyProtection="1">
      <alignment horizontal="center" vertical="center"/>
      <protection hidden="1"/>
    </xf>
    <xf numFmtId="0" fontId="58" fillId="6" borderId="6" xfId="14" applyNumberFormat="1" applyFont="1" applyFill="1" applyBorder="1" applyAlignment="1" applyProtection="1">
      <alignment horizontal="center" vertical="center"/>
      <protection hidden="1"/>
    </xf>
    <xf numFmtId="0" fontId="9" fillId="4" borderId="8" xfId="0" applyFont="1" applyFill="1" applyBorder="1" applyAlignment="1" applyProtection="1">
      <alignment horizontal="right" vertical="center"/>
      <protection hidden="1"/>
    </xf>
    <xf numFmtId="0" fontId="52" fillId="4" borderId="8" xfId="0" applyFont="1" applyFill="1" applyBorder="1" applyAlignment="1" applyProtection="1">
      <alignment horizontal="center" vertical="center"/>
      <protection hidden="1"/>
    </xf>
    <xf numFmtId="9" fontId="52" fillId="4" borderId="8" xfId="14" applyFont="1" applyFill="1" applyBorder="1" applyAlignment="1" applyProtection="1">
      <alignment horizontal="center" vertical="center"/>
      <protection hidden="1"/>
    </xf>
    <xf numFmtId="0" fontId="8" fillId="0" borderId="2" xfId="25" applyFont="1" applyAlignment="1">
      <alignment horizontal="left" vertical="center"/>
    </xf>
    <xf numFmtId="0" fontId="46" fillId="4" borderId="2" xfId="1" applyFont="1" applyFill="1" applyAlignment="1">
      <alignment horizontal="center" vertical="center"/>
    </xf>
    <xf numFmtId="0" fontId="46" fillId="4" borderId="2" xfId="1" applyFont="1" applyFill="1" applyAlignment="1">
      <alignment horizontal="left" vertical="center"/>
    </xf>
    <xf numFmtId="0" fontId="31" fillId="3" borderId="10" xfId="0" applyFont="1" applyFill="1" applyBorder="1" applyAlignment="1" applyProtection="1">
      <alignment horizontal="center" vertical="center"/>
      <protection hidden="1"/>
    </xf>
    <xf numFmtId="0" fontId="31" fillId="3" borderId="13" xfId="0" applyFont="1" applyFill="1" applyBorder="1" applyAlignment="1" applyProtection="1">
      <alignment horizontal="center" vertical="center"/>
      <protection hidden="1"/>
    </xf>
    <xf numFmtId="0" fontId="52" fillId="11" borderId="10" xfId="0" applyFont="1" applyFill="1" applyBorder="1" applyAlignment="1" applyProtection="1">
      <alignment horizontal="center" vertical="center"/>
      <protection hidden="1"/>
    </xf>
    <xf numFmtId="0" fontId="31" fillId="7" borderId="23" xfId="0" applyFont="1" applyFill="1" applyBorder="1" applyAlignment="1" applyProtection="1">
      <alignment horizontal="center" vertical="center"/>
      <protection hidden="1"/>
    </xf>
    <xf numFmtId="0" fontId="31" fillId="12" borderId="9" xfId="0" applyFont="1" applyFill="1" applyBorder="1" applyAlignment="1" applyProtection="1">
      <alignment horizontal="center" vertical="center"/>
      <protection hidden="1"/>
    </xf>
    <xf numFmtId="0" fontId="31" fillId="12" borderId="16" xfId="0" applyFont="1" applyFill="1" applyBorder="1" applyAlignment="1" applyProtection="1">
      <alignment horizontal="center" vertical="center"/>
      <protection hidden="1"/>
    </xf>
    <xf numFmtId="0" fontId="31" fillId="4" borderId="9" xfId="0" applyFont="1" applyFill="1" applyBorder="1" applyAlignment="1" applyProtection="1">
      <alignment horizontal="center" vertical="center"/>
      <protection hidden="1"/>
    </xf>
    <xf numFmtId="0" fontId="31" fillId="4" borderId="16" xfId="0" applyFont="1" applyFill="1" applyBorder="1" applyAlignment="1" applyProtection="1">
      <alignment horizontal="center" vertical="center"/>
      <protection hidden="1"/>
    </xf>
    <xf numFmtId="0" fontId="44" fillId="2" borderId="12" xfId="0" applyFont="1" applyFill="1" applyBorder="1" applyAlignment="1" applyProtection="1">
      <alignment horizontal="center" vertical="center"/>
      <protection hidden="1"/>
    </xf>
    <xf numFmtId="0" fontId="44" fillId="2" borderId="11" xfId="0" applyFont="1" applyFill="1" applyBorder="1" applyAlignment="1" applyProtection="1">
      <alignment horizontal="center" vertical="center" wrapText="1"/>
      <protection hidden="1"/>
    </xf>
    <xf numFmtId="0" fontId="44" fillId="13" borderId="11" xfId="0" applyFont="1" applyFill="1" applyBorder="1" applyAlignment="1" applyProtection="1">
      <alignment horizontal="center" vertical="center"/>
      <protection hidden="1"/>
    </xf>
    <xf numFmtId="0" fontId="44" fillId="2" borderId="11" xfId="0" applyFont="1" applyFill="1" applyBorder="1" applyAlignment="1" applyProtection="1">
      <alignment horizontal="center" vertical="center"/>
      <protection hidden="1"/>
    </xf>
    <xf numFmtId="0" fontId="42" fillId="7" borderId="10" xfId="0" applyFont="1" applyFill="1" applyBorder="1" applyAlignment="1" applyProtection="1">
      <alignment horizontal="center" vertical="center"/>
      <protection hidden="1"/>
    </xf>
    <xf numFmtId="9" fontId="57" fillId="20" borderId="10" xfId="14" applyFont="1" applyFill="1" applyBorder="1" applyAlignment="1" applyProtection="1">
      <alignment horizontal="center" vertical="center"/>
      <protection hidden="1"/>
    </xf>
    <xf numFmtId="9" fontId="57" fillId="20" borderId="13" xfId="14" applyFont="1" applyFill="1" applyBorder="1" applyAlignment="1" applyProtection="1">
      <alignment horizontal="center" vertical="center"/>
      <protection hidden="1"/>
    </xf>
    <xf numFmtId="0" fontId="42" fillId="5" borderId="23" xfId="0" applyFont="1" applyFill="1" applyBorder="1" applyAlignment="1" applyProtection="1">
      <alignment horizontal="center" vertical="center"/>
      <protection hidden="1"/>
    </xf>
    <xf numFmtId="0" fontId="42" fillId="5" borderId="16" xfId="0" applyFont="1" applyFill="1" applyBorder="1" applyAlignment="1" applyProtection="1">
      <alignment horizontal="center" vertical="center"/>
      <protection hidden="1"/>
    </xf>
    <xf numFmtId="0" fontId="42" fillId="22" borderId="23" xfId="0" applyFont="1" applyFill="1" applyBorder="1" applyAlignment="1" applyProtection="1">
      <alignment horizontal="center" vertical="center"/>
      <protection hidden="1"/>
    </xf>
    <xf numFmtId="0" fontId="42" fillId="22" borderId="9" xfId="0" applyFont="1" applyFill="1" applyBorder="1" applyAlignment="1" applyProtection="1">
      <alignment horizontal="center" vertical="center"/>
      <protection hidden="1"/>
    </xf>
    <xf numFmtId="0" fontId="42" fillId="22" borderId="16" xfId="0" applyFont="1" applyFill="1" applyBorder="1" applyAlignment="1" applyProtection="1">
      <alignment horizontal="center" vertical="center"/>
      <protection hidden="1"/>
    </xf>
    <xf numFmtId="0" fontId="42" fillId="22" borderId="2" xfId="0" applyFont="1" applyFill="1" applyAlignment="1" applyProtection="1">
      <alignment horizontal="center" vertical="center"/>
      <protection hidden="1"/>
    </xf>
    <xf numFmtId="0" fontId="31" fillId="3" borderId="19" xfId="0" applyFont="1" applyFill="1" applyBorder="1" applyAlignment="1" applyProtection="1">
      <alignment horizontal="center" vertical="center"/>
      <protection hidden="1"/>
    </xf>
    <xf numFmtId="0" fontId="42" fillId="7" borderId="19" xfId="0" applyFont="1" applyFill="1" applyBorder="1" applyAlignment="1" applyProtection="1">
      <alignment horizontal="center" vertical="center"/>
      <protection hidden="1"/>
    </xf>
    <xf numFmtId="9" fontId="57" fillId="20" borderId="19" xfId="14" applyFont="1" applyFill="1" applyBorder="1" applyAlignment="1" applyProtection="1">
      <alignment horizontal="center" vertical="center"/>
      <protection hidden="1"/>
    </xf>
    <xf numFmtId="0" fontId="44" fillId="2" borderId="36" xfId="0" applyFont="1" applyFill="1" applyBorder="1" applyAlignment="1" applyProtection="1">
      <alignment horizontal="center" vertical="center" wrapText="1"/>
      <protection hidden="1"/>
    </xf>
    <xf numFmtId="0" fontId="22" fillId="12" borderId="36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36" fillId="33" borderId="2" xfId="0" applyFont="1" applyFill="1" applyAlignment="1" applyProtection="1">
      <alignment horizontal="center" vertical="center"/>
      <protection hidden="1"/>
    </xf>
    <xf numFmtId="0" fontId="5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90" fillId="0" borderId="0" xfId="0" applyFont="1" applyBorder="1" applyAlignment="1">
      <alignment horizontal="center" vertical="center"/>
    </xf>
    <xf numFmtId="0" fontId="22" fillId="12" borderId="18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22" fillId="4" borderId="19" xfId="0" applyFont="1" applyFill="1" applyBorder="1" applyAlignment="1">
      <alignment horizontal="center" vertical="center"/>
    </xf>
    <xf numFmtId="0" fontId="22" fillId="4" borderId="37" xfId="0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horizontal="center" vertical="center"/>
    </xf>
    <xf numFmtId="0" fontId="22" fillId="4" borderId="8" xfId="0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22" fillId="5" borderId="19" xfId="0" applyFont="1" applyFill="1" applyBorder="1" applyAlignment="1">
      <alignment horizontal="center" vertical="center"/>
    </xf>
    <xf numFmtId="0" fontId="22" fillId="5" borderId="37" xfId="0" applyFont="1" applyFill="1" applyBorder="1" applyAlignment="1">
      <alignment horizontal="center" vertical="center"/>
    </xf>
    <xf numFmtId="0" fontId="22" fillId="5" borderId="16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5" borderId="17" xfId="0" applyFont="1" applyFill="1" applyBorder="1" applyAlignment="1">
      <alignment horizontal="center" vertical="center"/>
    </xf>
    <xf numFmtId="0" fontId="22" fillId="5" borderId="23" xfId="0" applyFont="1" applyFill="1" applyBorder="1" applyAlignment="1">
      <alignment horizontal="center" vertical="center"/>
    </xf>
    <xf numFmtId="0" fontId="22" fillId="4" borderId="23" xfId="0" applyFont="1" applyFill="1" applyBorder="1" applyAlignment="1">
      <alignment horizontal="center" vertical="center"/>
    </xf>
    <xf numFmtId="0" fontId="22" fillId="5" borderId="2" xfId="0" applyFont="1" applyFill="1" applyAlignment="1">
      <alignment horizontal="center" vertical="center"/>
    </xf>
    <xf numFmtId="0" fontId="22" fillId="4" borderId="2" xfId="0" applyFont="1" applyFill="1" applyAlignment="1">
      <alignment horizontal="center" vertical="center"/>
    </xf>
    <xf numFmtId="0" fontId="22" fillId="5" borderId="9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6" fillId="5" borderId="2" xfId="1" applyFont="1" applyFill="1" applyAlignment="1">
      <alignment horizontal="center" vertical="center"/>
    </xf>
    <xf numFmtId="0" fontId="46" fillId="5" borderId="2" xfId="1" applyFont="1" applyFill="1" applyAlignment="1">
      <alignment horizontal="left" vertical="center"/>
    </xf>
    <xf numFmtId="0" fontId="4" fillId="32" borderId="13" xfId="0" applyFont="1" applyFill="1" applyBorder="1" applyAlignment="1" applyProtection="1">
      <alignment horizontal="center" vertical="center"/>
      <protection hidden="1"/>
    </xf>
    <xf numFmtId="0" fontId="42" fillId="7" borderId="37" xfId="0" applyFont="1" applyFill="1" applyBorder="1" applyAlignment="1" applyProtection="1">
      <alignment horizontal="center" vertical="center"/>
      <protection hidden="1"/>
    </xf>
    <xf numFmtId="9" fontId="57" fillId="20" borderId="37" xfId="14" applyFont="1" applyFill="1" applyBorder="1" applyAlignment="1" applyProtection="1">
      <alignment horizontal="center" vertical="center"/>
      <protection hidden="1"/>
    </xf>
    <xf numFmtId="0" fontId="42" fillId="5" borderId="37" xfId="0" applyFont="1" applyFill="1" applyBorder="1" applyAlignment="1" applyProtection="1">
      <alignment horizontal="center" vertical="center"/>
      <protection hidden="1"/>
    </xf>
    <xf numFmtId="0" fontId="42" fillId="5" borderId="38" xfId="0" applyFont="1" applyFill="1" applyBorder="1" applyAlignment="1" applyProtection="1">
      <alignment horizontal="center" vertical="center"/>
      <protection hidden="1"/>
    </xf>
    <xf numFmtId="0" fontId="42" fillId="22" borderId="37" xfId="0" applyFont="1" applyFill="1" applyBorder="1" applyAlignment="1" applyProtection="1">
      <alignment horizontal="center" vertical="center"/>
      <protection hidden="1"/>
    </xf>
    <xf numFmtId="0" fontId="42" fillId="22" borderId="38" xfId="0" applyFont="1" applyFill="1" applyBorder="1" applyAlignment="1" applyProtection="1">
      <alignment horizontal="center" vertical="center"/>
      <protection hidden="1"/>
    </xf>
    <xf numFmtId="0" fontId="42" fillId="22" borderId="17" xfId="0" applyFont="1" applyFill="1" applyBorder="1" applyAlignment="1" applyProtection="1">
      <alignment horizontal="center" vertical="center"/>
      <protection hidden="1"/>
    </xf>
    <xf numFmtId="0" fontId="4" fillId="34" borderId="19" xfId="0" applyFont="1" applyFill="1" applyBorder="1" applyAlignment="1" applyProtection="1">
      <alignment horizontal="center" vertical="center"/>
      <protection hidden="1"/>
    </xf>
    <xf numFmtId="0" fontId="4" fillId="34" borderId="37" xfId="0" applyFont="1" applyFill="1" applyBorder="1" applyAlignment="1" applyProtection="1">
      <alignment horizontal="center" vertical="center"/>
      <protection hidden="1"/>
    </xf>
    <xf numFmtId="0" fontId="4" fillId="0" borderId="0" xfId="9" applyFont="1" applyBorder="1"/>
    <xf numFmtId="0" fontId="33" fillId="0" borderId="2" xfId="0" applyFont="1" applyAlignment="1">
      <alignment vertical="center"/>
    </xf>
    <xf numFmtId="0" fontId="4" fillId="0" borderId="2" xfId="9" applyFont="1"/>
    <xf numFmtId="0" fontId="3" fillId="0" borderId="6" xfId="0" quotePrefix="1" applyFont="1" applyBorder="1" applyAlignment="1">
      <alignment horizontal="center" vertical="center"/>
    </xf>
    <xf numFmtId="0" fontId="42" fillId="5" borderId="9" xfId="0" applyFont="1" applyFill="1" applyBorder="1" applyAlignment="1" applyProtection="1">
      <alignment horizontal="center" vertical="center"/>
      <protection hidden="1"/>
    </xf>
    <xf numFmtId="0" fontId="42" fillId="5" borderId="2" xfId="0" applyFont="1" applyFill="1" applyAlignment="1" applyProtection="1">
      <alignment horizontal="center" vertical="center"/>
      <protection hidden="1"/>
    </xf>
    <xf numFmtId="0" fontId="42" fillId="7" borderId="15" xfId="0" applyFont="1" applyFill="1" applyBorder="1" applyAlignment="1" applyProtection="1">
      <alignment horizontal="center" vertical="center"/>
      <protection hidden="1"/>
    </xf>
    <xf numFmtId="9" fontId="57" fillId="20" borderId="15" xfId="14" applyFont="1" applyFill="1" applyBorder="1" applyAlignment="1" applyProtection="1">
      <alignment horizontal="center" vertical="center"/>
      <protection hidden="1"/>
    </xf>
    <xf numFmtId="0" fontId="42" fillId="5" borderId="17" xfId="0" applyFont="1" applyFill="1" applyBorder="1" applyAlignment="1" applyProtection="1">
      <alignment horizontal="center" vertical="center"/>
      <protection hidden="1"/>
    </xf>
    <xf numFmtId="0" fontId="3" fillId="12" borderId="36" xfId="0" applyFont="1" applyFill="1" applyBorder="1" applyAlignment="1">
      <alignment horizontal="center" vertical="center"/>
    </xf>
    <xf numFmtId="0" fontId="42" fillId="35" borderId="2" xfId="0" applyFont="1" applyFill="1" applyAlignment="1">
      <alignment horizontal="center" vertical="center"/>
    </xf>
    <xf numFmtId="0" fontId="22" fillId="0" borderId="2" xfId="0" applyFont="1" applyAlignment="1">
      <alignment horizontal="center" vertical="center"/>
    </xf>
    <xf numFmtId="0" fontId="4" fillId="0" borderId="2" xfId="0" applyFont="1" applyAlignment="1">
      <alignment horizontal="center" vertical="center"/>
    </xf>
    <xf numFmtId="0" fontId="2" fillId="12" borderId="36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2" fillId="4" borderId="12" xfId="0" applyFont="1" applyFill="1" applyBorder="1" applyAlignment="1">
      <alignment horizontal="center" vertical="center"/>
    </xf>
    <xf numFmtId="0" fontId="22" fillId="5" borderId="18" xfId="0" applyFont="1" applyFill="1" applyBorder="1" applyAlignment="1">
      <alignment horizontal="center" vertical="center"/>
    </xf>
    <xf numFmtId="0" fontId="22" fillId="5" borderId="12" xfId="0" applyFont="1" applyFill="1" applyBorder="1" applyAlignment="1">
      <alignment horizontal="center" vertical="center"/>
    </xf>
    <xf numFmtId="0" fontId="30" fillId="0" borderId="25" xfId="0" applyFont="1" applyBorder="1" applyAlignment="1" applyProtection="1">
      <alignment horizontal="center" vertical="center"/>
      <protection hidden="1"/>
    </xf>
    <xf numFmtId="0" fontId="42" fillId="4" borderId="2" xfId="0" applyFont="1" applyFill="1" applyProtection="1">
      <protection hidden="1"/>
    </xf>
    <xf numFmtId="14" fontId="81" fillId="26" borderId="2" xfId="0" applyNumberFormat="1" applyFont="1" applyFill="1" applyAlignment="1" applyProtection="1">
      <alignment horizontal="center" vertical="center"/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14" fontId="1" fillId="0" borderId="2" xfId="0" applyNumberFormat="1" applyFont="1" applyAlignment="1">
      <alignment horizontal="center" vertical="center"/>
    </xf>
    <xf numFmtId="0" fontId="90" fillId="0" borderId="2" xfId="0" applyFont="1" applyAlignment="1">
      <alignment vertical="center"/>
    </xf>
    <xf numFmtId="14" fontId="63" fillId="0" borderId="2" xfId="0" applyNumberFormat="1" applyFont="1" applyAlignment="1">
      <alignment horizontal="center" vertical="center"/>
    </xf>
    <xf numFmtId="49" fontId="90" fillId="0" borderId="2" xfId="0" applyNumberFormat="1" applyFont="1" applyAlignment="1">
      <alignment vertical="center"/>
    </xf>
    <xf numFmtId="176" fontId="58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6" fillId="0" borderId="2" xfId="3" applyNumberFormat="1" applyFont="1" applyAlignment="1">
      <alignment horizontal="center" vertical="center"/>
    </xf>
    <xf numFmtId="0" fontId="89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0" fillId="0" borderId="8" xfId="9" applyFont="1" applyBorder="1" applyAlignment="1">
      <alignment horizontal="center" vertical="center"/>
    </xf>
    <xf numFmtId="0" fontId="0" fillId="0" borderId="8" xfId="0" applyBorder="1"/>
    <xf numFmtId="0" fontId="60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12</c:v>
                </c:pt>
                <c:pt idx="5">
                  <c:v>3</c:v>
                </c:pt>
                <c:pt idx="6">
                  <c:v>3</c:v>
                </c:pt>
                <c:pt idx="7">
                  <c:v>7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C7-40E0-A00B-B66659384EA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4</c:v>
                </c:pt>
                <c:pt idx="1">
                  <c:v>16</c:v>
                </c:pt>
                <c:pt idx="2">
                  <c:v>13</c:v>
                </c:pt>
                <c:pt idx="3">
                  <c:v>14</c:v>
                </c:pt>
                <c:pt idx="4">
                  <c:v>10</c:v>
                </c:pt>
                <c:pt idx="5">
                  <c:v>12</c:v>
                </c:pt>
                <c:pt idx="6">
                  <c:v>16</c:v>
                </c:pt>
                <c:pt idx="7">
                  <c:v>19</c:v>
                </c:pt>
                <c:pt idx="8">
                  <c:v>6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C7-40E0-A00B-B66659384EA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11</c:v>
                </c:pt>
                <c:pt idx="2">
                  <c:v>9</c:v>
                </c:pt>
                <c:pt idx="3">
                  <c:v>17</c:v>
                </c:pt>
                <c:pt idx="4">
                  <c:v>17</c:v>
                </c:pt>
                <c:pt idx="5">
                  <c:v>22</c:v>
                </c:pt>
                <c:pt idx="6">
                  <c:v>28</c:v>
                </c:pt>
                <c:pt idx="7">
                  <c:v>16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C7-40E0-A00B-B66659384EA2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C7-40E0-A00B-B66659384EA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zoomScale="90" zoomScaleNormal="90" workbookViewId="0">
      <pane ySplit="22" topLeftCell="A23" activePane="bottomLeft" state="frozen"/>
      <selection activeCell="Z18" sqref="Z18"/>
      <selection pane="bottomLeft" activeCell="J23" sqref="J23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29" width="11.19921875" style="146" customWidth="1"/>
    <col min="130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39">
        <f>B5/B3</f>
        <v>0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0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0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0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307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30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39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39">
        <f>IF(A11&lt;&gt;"--",B13/B11,"")</f>
        <v>0.28762541806020064</v>
      </c>
      <c r="C12" s="350">
        <f t="shared" ref="C12:R12" si="7">C13/C11</f>
        <v>0</v>
      </c>
      <c r="D12" s="351">
        <f t="shared" si="7"/>
        <v>0</v>
      </c>
      <c r="E12" s="351">
        <f t="shared" si="7"/>
        <v>0.5625</v>
      </c>
      <c r="F12" s="351">
        <f t="shared" si="7"/>
        <v>0</v>
      </c>
      <c r="G12" s="351">
        <f t="shared" si="7"/>
        <v>0</v>
      </c>
      <c r="H12" s="351">
        <f t="shared" si="7"/>
        <v>0</v>
      </c>
      <c r="I12" s="351">
        <f t="shared" si="7"/>
        <v>0.51388888888888884</v>
      </c>
      <c r="J12" s="351">
        <f t="shared" si="7"/>
        <v>0</v>
      </c>
      <c r="K12" s="351">
        <f t="shared" si="7"/>
        <v>0</v>
      </c>
      <c r="L12" s="351">
        <f t="shared" si="7"/>
        <v>0.16666666666666666</v>
      </c>
      <c r="M12" s="351">
        <f t="shared" si="7"/>
        <v>0.2857142857142857</v>
      </c>
      <c r="N12" s="351">
        <f t="shared" si="7"/>
        <v>0</v>
      </c>
      <c r="O12" s="351">
        <f t="shared" si="7"/>
        <v>0.45454545454545453</v>
      </c>
      <c r="P12" s="351">
        <f t="shared" si="7"/>
        <v>0.7142857142857143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86</v>
      </c>
      <c r="C13" s="352">
        <f t="shared" ref="C13:R13" si="8">COUNTIFS($D$23:$D$292,C2,$S$23:$S$292,$E$1)</f>
        <v>0</v>
      </c>
      <c r="D13" s="143">
        <f t="shared" si="8"/>
        <v>0</v>
      </c>
      <c r="E13" s="143">
        <f t="shared" si="8"/>
        <v>9</v>
      </c>
      <c r="F13" s="143">
        <f t="shared" si="8"/>
        <v>0</v>
      </c>
      <c r="G13" s="143">
        <f t="shared" si="8"/>
        <v>0</v>
      </c>
      <c r="H13" s="143">
        <f t="shared" si="8"/>
        <v>0</v>
      </c>
      <c r="I13" s="143">
        <f t="shared" si="8"/>
        <v>37</v>
      </c>
      <c r="J13" s="143">
        <f t="shared" si="8"/>
        <v>0</v>
      </c>
      <c r="K13" s="143">
        <f t="shared" si="8"/>
        <v>0</v>
      </c>
      <c r="L13" s="143">
        <f t="shared" si="8"/>
        <v>2</v>
      </c>
      <c r="M13" s="143">
        <f t="shared" si="8"/>
        <v>8</v>
      </c>
      <c r="N13" s="143">
        <f t="shared" si="8"/>
        <v>0</v>
      </c>
      <c r="O13" s="143">
        <f t="shared" si="8"/>
        <v>5</v>
      </c>
      <c r="P13" s="143">
        <f t="shared" si="8"/>
        <v>25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213</v>
      </c>
      <c r="C14" s="353">
        <f t="shared" ref="C14:R14" si="9">C11-C13</f>
        <v>1</v>
      </c>
      <c r="D14" s="233">
        <f t="shared" si="9"/>
        <v>3</v>
      </c>
      <c r="E14" s="233">
        <f t="shared" si="9"/>
        <v>7</v>
      </c>
      <c r="F14" s="233">
        <f t="shared" si="9"/>
        <v>2</v>
      </c>
      <c r="G14" s="233">
        <f t="shared" si="9"/>
        <v>8</v>
      </c>
      <c r="H14" s="233">
        <f t="shared" si="9"/>
        <v>17</v>
      </c>
      <c r="I14" s="233">
        <f t="shared" si="9"/>
        <v>35</v>
      </c>
      <c r="J14" s="233">
        <f t="shared" si="9"/>
        <v>25</v>
      </c>
      <c r="K14" s="233">
        <f t="shared" si="9"/>
        <v>33</v>
      </c>
      <c r="L14" s="233">
        <f t="shared" si="9"/>
        <v>10</v>
      </c>
      <c r="M14" s="233">
        <f t="shared" si="9"/>
        <v>20</v>
      </c>
      <c r="N14" s="233">
        <f t="shared" si="9"/>
        <v>3</v>
      </c>
      <c r="O14" s="233">
        <f t="shared" si="9"/>
        <v>6</v>
      </c>
      <c r="P14" s="233">
        <f t="shared" si="9"/>
        <v>10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39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3052</v>
      </c>
      <c r="B23" s="223" t="str">
        <f>VLOOKUP(A23,'0919門市清單主檔'!B:C,2,FALSE)</f>
        <v>北縣莊玲店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-3052-北縣莊玲店(定保)</v>
      </c>
      <c r="I23" s="304" t="str">
        <f t="array" ref="I23">IF(AND(SUMPRODUCT((IM!$F$2:$F$522=A23)*(ISNUMBER(SEARCH($C$1, IM!$AC$2:$AC$522))))&gt;0), $C$1, "")</f>
        <v/>
      </c>
      <c r="J23" s="305" t="str">
        <f t="array" ref="J23">IFERROR(INDEX(IM!$AM$2:$AM$522, MATCH(1, (IM!$F$2:$F$522=A23) * (ISNUMBER(SEARCH($C$1, IM!$AC$2:$AC$522))), 0)), "")</f>
        <v/>
      </c>
      <c r="K23" s="306">
        <f t="array" ref="K23">SUMPRODUCT((IM!$F$2:$F$522=A23)*(IM!$AD$2:$AD$522="O")*(ISNUMBER(SEARCH($C$1, IM!$AC$2:$AC$522))))</f>
        <v>0</v>
      </c>
      <c r="L23" s="307" t="str">
        <f t="array" ref="L23">IF(K23&gt;0,IFERROR(HYPERLINK("#'IM'!AC"&amp;MATCH(1,(IM!$F$1:$F$522=A23)*(ISNUMBER(SEARCH($C$1,IM!$AC$1:$AC$522))),0),"檢核"),"未登錄"),"")</f>
        <v/>
      </c>
      <c r="M23" s="308" t="str">
        <f>Q23&amp;IF(AND(S23&lt;&gt;"",AND(Q23&lt;&gt;"")),#REF!,"")&amp;S23&amp;IF(U23&lt;&gt;"",#REF!,"")&amp;U23</f>
        <v/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未完工</v>
      </c>
      <c r="P23" s="431" t="str">
        <f t="shared" ref="P23:P86" si="17">(TEXT(I23,"yyyymmdd"))&amp;$V$2&amp;A23&amp;$V$2&amp;B23&amp;$S$2</f>
        <v>-3052-北縣莊玲店(定保)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/>
      </c>
      <c r="T23" s="239" t="str">
        <f t="array" ref="T23">IFERROR(INDEX(IM!$AM$2:$AM$522, MATCH(1, (IM!$F$2:$F$522=A23) * (ISNUMBER(SEARCH($E$1, IM!$AC$2:$AC$522))), 0)), "")</f>
        <v/>
      </c>
      <c r="U23" s="240" t="str">
        <f t="array" ref="U23">IF(AND(SUMPRODUCT((IM!$F$2:$F$522=A23)*(ISNUMBER(SEARCH($F$1, IM!$AC$2:$AC$522))))&gt;0), $F$1, "")</f>
        <v/>
      </c>
      <c r="V23" s="432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4084</v>
      </c>
      <c r="B24" s="178" t="str">
        <f>VLOOKUP(A24,'0919門市清單主檔'!B:C,2,FALSE)</f>
        <v>三重昌隆店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-4084-三重昌隆店(定保)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>+L90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-4084-三重昌隆店(定保)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46002</v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 t="s">
        <v>46</v>
      </c>
      <c r="B25" s="116" t="str">
        <f>VLOOKUP(A25,'0919門市清單主檔'!B:C,2,FALSE)</f>
        <v>三重重新店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-D070-三重重新店(定保)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/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-D070-三重重新店(定保)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/>
      </c>
      <c r="T25" s="211" t="str">
        <f t="array" ref="T25">IFERROR(INDEX(IM!$AM$2:$AM$522, MATCH(1, (IM!$F$2:$F$522=A25) * (ISNUMBER(SEARCH($E$1, IM!$AC$2:$AC$522))), 0)), "")</f>
        <v/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3627</v>
      </c>
      <c r="B26" s="116" t="str">
        <f>VLOOKUP(A26,'0919門市清單主檔'!B:C,2,FALSE)</f>
        <v>三重重新橋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-3627-三重重新橋(定保)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>+L90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31" t="str">
        <f t="shared" si="17"/>
        <v>-3627-三重重新橋(定保)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46002</v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4260</v>
      </c>
      <c r="B27" s="116" t="str">
        <f>VLOOKUP(A27,'0919門市清單主檔'!B:C,2,FALSE)</f>
        <v>三重高中店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-4260-三重高中店(定保)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1" t="str">
        <f t="shared" si="17"/>
        <v>-4260-三重高中店(定保)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3890</v>
      </c>
      <c r="B28" s="116" t="str">
        <f>VLOOKUP(A28,'0919門市清單主檔'!B:C,2,FALSE)</f>
        <v>三重美堤店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-3890-三重美堤店(定保)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1" t="str">
        <f t="shared" si="17"/>
        <v>-3890-三重美堤店(定保)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46010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 t="s">
        <v>47</v>
      </c>
      <c r="B29" s="116" t="str">
        <f>VLOOKUP(A29,'0919門市清單主檔'!B:C,2,FALSE)</f>
        <v>三重大有店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-D390-三重大有店(定保)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1" t="str">
        <f t="shared" si="17"/>
        <v>-D390-三重大有店(定保)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45993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4352</v>
      </c>
      <c r="B30" s="116" t="str">
        <f>VLOOKUP(A30,'0919門市清單主檔'!B:C,2,FALSE)</f>
        <v>三重公園店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-4352-三重公園店(定保)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1" t="str">
        <f t="shared" si="17"/>
        <v>-4352-三重公園店(定保)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46002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4397</v>
      </c>
      <c r="B31" s="116" t="str">
        <f>VLOOKUP(A31,'0919門市清單主檔'!B:C,2,FALSE)</f>
        <v>三重仁旺店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-4397-三重仁旺店(定保)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1" t="str">
        <f t="shared" si="17"/>
        <v>-4397-三重仁旺店(定保)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4241</v>
      </c>
      <c r="B32" s="116" t="str">
        <f>VLOOKUP(A32,'0919門市清單主檔'!B:C,2,FALSE)</f>
        <v>三重仁義店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-4241-三重仁義店(定保)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1" t="str">
        <f t="shared" si="17"/>
        <v>-4241-三重仁義店(定保)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4586</v>
      </c>
      <c r="B33" s="116" t="str">
        <f>VLOOKUP(A33,'0919門市清單主檔'!B:C,2,FALSE)</f>
        <v>三重三文店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-4586-三重三文店(定保)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1" t="str">
        <f t="shared" si="17"/>
        <v>-4586-三重三文店(定保)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3840</v>
      </c>
      <c r="B34" s="116" t="str">
        <f>VLOOKUP(A34,'0919門市清單主檔'!B:C,2,FALSE)</f>
        <v>北縣天龍店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-3840-北縣天龍店(定保)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1" t="str">
        <f t="shared" si="17"/>
        <v>-3840-北縣天龍店(定保)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4679</v>
      </c>
      <c r="B35" s="116" t="str">
        <f>VLOOKUP(A35,'0919門市清單主檔'!B:C,2,FALSE)</f>
        <v>新莊幸運店</v>
      </c>
      <c r="C35" s="117" t="str">
        <f>VLOOKUP($A35,'0919門市清單主檔'!B:V,20,FALSE)</f>
        <v>新北市</v>
      </c>
      <c r="D35" s="118" t="str">
        <f>VLOOKUP($A35,'0919門市清單主檔'!B:V,21,FALSE)</f>
        <v>新莊區</v>
      </c>
      <c r="E35" s="225" t="str">
        <f>VLOOKUP(D35,門市狀態!G:H,2,FALSE)</f>
        <v>湯家瑋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-4679-新莊幸運店(定保)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/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1" t="str">
        <f t="shared" si="17"/>
        <v>-4679-新莊幸運店(定保)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/>
      </c>
      <c r="T35" s="211" t="str">
        <f t="array" ref="T35">IFERROR(INDEX(IM!$AM$2:$AM$522, MATCH(1, (IM!$F$2:$F$522=A35) * (ISNUMBER(SEARCH($E$1, IM!$AC$2:$AC$522))), 0)), "")</f>
        <v/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2259</v>
      </c>
      <c r="B36" s="116" t="str">
        <f>VLOOKUP(A36,'0919門市清單主檔'!B:C,2,FALSE)</f>
        <v>三重興華店</v>
      </c>
      <c r="C36" s="117" t="str">
        <f>VLOOKUP($A36,'0919門市清單主檔'!B:V,20,FALSE)</f>
        <v>新北市</v>
      </c>
      <c r="D36" s="118" t="str">
        <f>VLOOKUP($A36,'0919門市清單主檔'!B:V,21,FALSE)</f>
        <v>三重區</v>
      </c>
      <c r="E36" s="225" t="str">
        <f>VLOOKUP(D36,門市狀態!G:H,2,FALSE)</f>
        <v>劉柏均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-2259-三重興華店(定保)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1" t="str">
        <f t="shared" si="17"/>
        <v>-2259-三重興華店(定保)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2837</v>
      </c>
      <c r="B37" s="116" t="str">
        <f>VLOOKUP(A37,'0919門市清單主檔'!B:C,2,FALSE)</f>
        <v>三重洛陽店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-2837-三重洛陽店(定保)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>+L90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1" t="str">
        <f t="shared" si="17"/>
        <v>-2837-三重洛陽店(定保)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46010</v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 t="s">
        <v>48</v>
      </c>
      <c r="B38" s="116" t="str">
        <f>VLOOKUP(A38,'0919門市清單主檔'!B:C,2,FALSE)</f>
        <v>三重三民店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-D024-三重三民店(定保)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1" t="str">
        <f t="shared" si="17"/>
        <v>-D024-三重三民店(定保)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3676</v>
      </c>
      <c r="B39" s="116" t="str">
        <f>VLOOKUP(A39,'0919門市清單主檔'!B:C,2,FALSE)</f>
        <v>三重田心店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-3676-三重田心店(定保)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1" t="str">
        <f t="shared" si="17"/>
        <v>-3676-三重田心店(定保)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2014</v>
      </c>
      <c r="B40" s="116" t="str">
        <f>VLOOKUP(A40,'0919門市清單主檔'!B:C,2,FALSE)</f>
        <v>三重果菜市場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-2014-三重果菜市場(定保)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1" t="str">
        <f t="shared" si="17"/>
        <v>-2014-三重果菜市場(定保)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3623</v>
      </c>
      <c r="B41" s="116" t="str">
        <f>VLOOKUP(A41,'0919門市清單主檔'!B:C,2,FALSE)</f>
        <v>三重自強店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-3623-三重自強店(定保)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/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1" t="str">
        <f t="shared" si="17"/>
        <v>-3623-三重自強店(定保)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/>
      </c>
      <c r="T41" s="211" t="str">
        <f t="array" ref="T41">IFERROR(INDEX(IM!$AM$2:$AM$522, MATCH(1, (IM!$F$2:$F$522=A41) * (ISNUMBER(SEARCH($E$1, IM!$AC$2:$AC$522))), 0)), "")</f>
        <v/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5245</v>
      </c>
      <c r="B42" s="116" t="str">
        <f>VLOOKUP(A42,'0919門市清單主檔'!B:C,2,FALSE)</f>
        <v>三重護山店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-5245-三重護山店(定保)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>+L90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1" t="str">
        <f t="shared" si="17"/>
        <v>-5245-三重護山店(定保)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46010</v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2399</v>
      </c>
      <c r="B43" s="116" t="str">
        <f>VLOOKUP(A43,'0919門市清單主檔'!B:C,2,FALSE)</f>
        <v>三重三陽店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-2399-三重三陽店(定保)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1" t="str">
        <f t="shared" si="17"/>
        <v>-2399-三重三陽店(定保)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4680</v>
      </c>
      <c r="B44" s="116" t="str">
        <f>VLOOKUP(A44,'0919門市清單主檔'!B:C,2,FALSE)</f>
        <v>板橋江寧店</v>
      </c>
      <c r="C44" s="117" t="str">
        <f>VLOOKUP($A44,'0919門市清單主檔'!B:V,20,FALSE)</f>
        <v>新北市</v>
      </c>
      <c r="D44" s="118" t="str">
        <f>VLOOKUP($A44,'0919門市清單主檔'!B:V,21,FALSE)</f>
        <v>板橋區</v>
      </c>
      <c r="E44" s="225" t="str">
        <f>VLOOKUP(D44,門市狀態!G:H,2,FALSE)</f>
        <v>狄澤洋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-4680-板橋江寧店(定保)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/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1" t="str">
        <f t="shared" si="17"/>
        <v>-4680-板橋江寧店(定保)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/>
      </c>
      <c r="T44" s="211" t="str">
        <f t="array" ref="T44">IFERROR(INDEX(IM!$AM$2:$AM$522, MATCH(1, (IM!$F$2:$F$522=A44) * (ISNUMBER(SEARCH($E$1, IM!$AC$2:$AC$522))), 0)), "")</f>
        <v/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4155</v>
      </c>
      <c r="B45" s="116" t="str">
        <f>VLOOKUP(A45,'0919門市清單主檔'!B:C,2,FALSE)</f>
        <v>三重穀保店</v>
      </c>
      <c r="C45" s="117" t="str">
        <f>VLOOKUP($A45,'0919門市清單主檔'!B:V,20,FALSE)</f>
        <v>新北市</v>
      </c>
      <c r="D45" s="118" t="str">
        <f>VLOOKUP($A45,'0919門市清單主檔'!B:V,21,FALSE)</f>
        <v>三重區</v>
      </c>
      <c r="E45" s="225" t="str">
        <f>VLOOKUP(D45,門市狀態!G:H,2,FALSE)</f>
        <v>劉柏均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-4155-三重穀保店(定保)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1" t="str">
        <f t="shared" si="17"/>
        <v>-4155-三重穀保店(定保)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4652</v>
      </c>
      <c r="B46" s="116" t="str">
        <f>VLOOKUP(A46,'0919門市清單主檔'!B:C,2,FALSE)</f>
        <v>三重商工店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-4652-三重商工店(定保)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>+L90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1" t="str">
        <f t="shared" si="17"/>
        <v>-4652-三重商工店(定保)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46010</v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4388</v>
      </c>
      <c r="B47" s="116" t="str">
        <f>VLOOKUP(A47,'0919門市清單主檔'!B:C,2,FALSE)</f>
        <v>三重薔薇店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-4388-三重薔薇店(定保)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/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1" t="str">
        <f t="shared" si="17"/>
        <v>-4388-三重薔薇店(定保)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/>
      </c>
      <c r="T47" s="211" t="str">
        <f t="array" ref="T47">IFERROR(INDEX(IM!$AM$2:$AM$522, MATCH(1, (IM!$F$2:$F$522=A47) * (ISNUMBER(SEARCH($E$1, IM!$AC$2:$AC$522))), 0)), "")</f>
        <v/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4968</v>
      </c>
      <c r="B48" s="116" t="str">
        <f>VLOOKUP(A48,'0919門市清單主檔'!B:C,2,FALSE)</f>
        <v>三重太璞宮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-4968-三重太璞宮(定保)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>+L90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1" t="str">
        <f t="shared" si="17"/>
        <v>-4968-三重太璞宮(定保)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46010</v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3785</v>
      </c>
      <c r="B49" s="116" t="str">
        <f>VLOOKUP(A49,'0919門市清單主檔'!B:C,2,FALSE)</f>
        <v>北縣莊榮店</v>
      </c>
      <c r="C49" s="117" t="str">
        <f>VLOOKUP($A49,'0919門市清單主檔'!B:V,20,FALSE)</f>
        <v>新北市</v>
      </c>
      <c r="D49" s="118" t="str">
        <f>VLOOKUP($A49,'0919門市清單主檔'!B:V,21,FALSE)</f>
        <v>新莊區</v>
      </c>
      <c r="E49" s="225" t="str">
        <f>VLOOKUP(D49,門市狀態!G:H,2,FALSE)</f>
        <v>湯家瑋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-3785-北縣莊榮店(定保)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/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1" t="str">
        <f t="shared" si="17"/>
        <v>-3785-北縣莊榮店(定保)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3770</v>
      </c>
      <c r="B50" s="116" t="str">
        <f>VLOOKUP(A50,'0919門市清單主檔'!B:C,2,FALSE)</f>
        <v>北縣西雲店</v>
      </c>
      <c r="C50" s="117" t="str">
        <f>VLOOKUP($A50,'0919門市清單主檔'!B:V,20,FALSE)</f>
        <v>新北市</v>
      </c>
      <c r="D50" s="118" t="str">
        <f>VLOOKUP($A50,'0919門市清單主檔'!B:V,21,FALSE)</f>
        <v>五股區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-3770-北縣西雲店(定保)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1" t="str">
        <f t="shared" si="17"/>
        <v>-3770-北縣西雲店(定保)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2325</v>
      </c>
      <c r="B51" s="116" t="str">
        <f>VLOOKUP(A51,'0919門市清單主檔'!B:C,2,FALSE)</f>
        <v>北縣五泰店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-2325-北縣五泰店(定保)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1" t="str">
        <f t="shared" si="17"/>
        <v>-2325-北縣五泰店(定保)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4819</v>
      </c>
      <c r="B52" s="116" t="str">
        <f>VLOOKUP(A52,'0919門市清單主檔'!B:C,2,FALSE)</f>
        <v>五股凌雲店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-4819-五股凌雲店(定保)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1" t="str">
        <f t="shared" si="17"/>
        <v>-4819-五股凌雲店(定保)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4801</v>
      </c>
      <c r="B53" s="116" t="str">
        <f>VLOOKUP(A53,'0919門市清單主檔'!B:C,2,FALSE)</f>
        <v>五股成州店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-4801-五股成州店(定保)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1" t="str">
        <f t="shared" si="17"/>
        <v>-4801-五股成州店(定保)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3983</v>
      </c>
      <c r="B54" s="116" t="str">
        <f>VLOOKUP(A54,'0919門市清單主檔'!B:C,2,FALSE)</f>
        <v>三重星光店</v>
      </c>
      <c r="C54" s="117" t="str">
        <f>VLOOKUP($A54,'0919門市清單主檔'!B:V,20,FALSE)</f>
        <v>新北市</v>
      </c>
      <c r="D54" s="118" t="str">
        <f>VLOOKUP($A54,'0919門市清單主檔'!B:V,21,FALSE)</f>
        <v>三重區</v>
      </c>
      <c r="E54" s="225" t="str">
        <f>VLOOKUP(D54,門市狀態!G:H,2,FALSE)</f>
        <v>劉柏均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-3983-三重星光店(定保)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>+L90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1" t="str">
        <f t="shared" si="17"/>
        <v>-3983-三重星光店(定保)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46002</v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 t="s">
        <v>49</v>
      </c>
      <c r="B55" s="116" t="str">
        <f>VLOOKUP(A55,'0919門市清單主檔'!B:C,2,FALSE)</f>
        <v>三重中興北二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-D138-三重中興北二(定保)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/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1" t="str">
        <f t="shared" si="17"/>
        <v>-D138-三重中興北二(定保)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/>
      </c>
      <c r="T55" s="211" t="str">
        <f t="array" ref="T55">IFERROR(INDEX(IM!$AM$2:$AM$522, MATCH(1, (IM!$F$2:$F$522=A55) * (ISNUMBER(SEARCH($E$1, IM!$AC$2:$AC$522))), 0)), "")</f>
        <v/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>
        <v>4196</v>
      </c>
      <c r="B56" s="116" t="str">
        <f>VLOOKUP(A56,'0919門市清單主檔'!B:C,2,FALSE)</f>
        <v>三重蝶愛店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-4196-三重蝶愛店(定保)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>+L90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1" t="str">
        <f t="shared" si="17"/>
        <v>-4196-三重蝶愛店(定保)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>+L90</v>
      </c>
      <c r="T56" s="211">
        <f t="array" ref="T56">IFERROR(INDEX(IM!$AM$2:$AM$522, MATCH(1, (IM!$F$2:$F$522=A56) * (ISNUMBER(SEARCH($E$1, IM!$AC$2:$AC$522))), 0)), "")</f>
        <v>46014</v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4191</v>
      </c>
      <c r="B57" s="116" t="str">
        <f>VLOOKUP(A57,'0919門市清單主檔'!B:C,2,FALSE)</f>
        <v>三重溪美店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-4191-三重溪美店(定保)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1" t="str">
        <f t="shared" si="17"/>
        <v>-4191-三重溪美店(定保)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46010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50</v>
      </c>
      <c r="B58" s="116" t="str">
        <f>VLOOKUP(A58,'0919門市清單主檔'!B:C,2,FALSE)</f>
        <v>北縣五華三店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-D194-北縣五華三店(定保)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1" t="str">
        <f t="shared" si="17"/>
        <v>-D194-北縣五華三店(定保)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3741</v>
      </c>
      <c r="B59" s="116" t="str">
        <f>VLOOKUP(A59,'0919門市清單主檔'!B:C,2,FALSE)</f>
        <v>三重重新三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-3741-三重重新三(定保)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1" t="str">
        <f t="shared" si="17"/>
        <v>-3741-三重重新三(定保)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46002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2321</v>
      </c>
      <c r="B60" s="116" t="str">
        <f>VLOOKUP(A60,'0919門市清單主檔'!B:C,2,FALSE)</f>
        <v>三重同安店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-2321-三重同安店(定保)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1" t="str">
        <f t="shared" si="17"/>
        <v>-2321-三重同安店(定保)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4134</v>
      </c>
      <c r="B61" s="116" t="str">
        <f>VLOOKUP(A61,'0919門市清單主檔'!B:C,2,FALSE)</f>
        <v>三重大同南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-4134-三重大同南(定保)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1" t="str">
        <f t="shared" si="17"/>
        <v>-4134-三重大同南(定保)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2302</v>
      </c>
      <c r="B62" s="116" t="str">
        <f>VLOOKUP(A62,'0919門市清單主檔'!B:C,2,FALSE)</f>
        <v>三重重安店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-2302-三重重安店(定保)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1" t="str">
        <f t="shared" si="17"/>
        <v>-2302-三重重安店(定保)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4802</v>
      </c>
      <c r="B63" s="116" t="str">
        <f>VLOOKUP(A63,'0919門市清單主檔'!B:C,2,FALSE)</f>
        <v>淡水沙崙店</v>
      </c>
      <c r="C63" s="117" t="str">
        <f>VLOOKUP($A63,'0919門市清單主檔'!B:V,20,FALSE)</f>
        <v>新北市</v>
      </c>
      <c r="D63" s="118" t="str">
        <f>VLOOKUP($A63,'0919門市清單主檔'!B:V,21,FALSE)</f>
        <v>淡水區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-4802-淡水沙崙店(定保)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1" t="str">
        <f t="shared" si="17"/>
        <v>-4802-淡水沙崙店(定保)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46000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5057</v>
      </c>
      <c r="B64" s="116" t="str">
        <f>VLOOKUP(A64,'0919門市清單主檔'!B:C,2,FALSE)</f>
        <v>新莊中港店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-5057-新莊中港店(定保)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/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1" t="str">
        <f t="shared" si="17"/>
        <v>-5057-新莊中港店(定保)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/>
      </c>
      <c r="T64" s="211" t="str">
        <f t="array" ref="T64">IFERROR(INDEX(IM!$AM$2:$AM$522, MATCH(1, (IM!$F$2:$F$522=A64) * (ISNUMBER(SEARCH($E$1, IM!$AC$2:$AC$522))), 0)), "")</f>
        <v/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4046</v>
      </c>
      <c r="B65" s="116" t="str">
        <f>VLOOKUP(A65,'0919門市清單主檔'!B:C,2,FALSE)</f>
        <v>板橋福康店</v>
      </c>
      <c r="C65" s="117" t="str">
        <f>VLOOKUP($A65,'0919門市清單主檔'!B:V,20,FALSE)</f>
        <v>新北市</v>
      </c>
      <c r="D65" s="118" t="str">
        <f>VLOOKUP($A65,'0919門市清單主檔'!B:V,21,FALSE)</f>
        <v>板橋區</v>
      </c>
      <c r="E65" s="225" t="str">
        <f>VLOOKUP(D65,門市狀態!G:H,2,FALSE)</f>
        <v>狄澤洋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-4046-板橋福康店(定保)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1" t="str">
        <f t="shared" si="17"/>
        <v>-4046-板橋福康店(定保)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5080</v>
      </c>
      <c r="B66" s="116" t="str">
        <f>VLOOKUP(A66,'0919門市清單主檔'!B:C,2,FALSE)</f>
        <v>三芝楓愛林</v>
      </c>
      <c r="C66" s="117" t="str">
        <f>VLOOKUP($A66,'0919門市清單主檔'!B:V,20,FALSE)</f>
        <v>新北市</v>
      </c>
      <c r="D66" s="118" t="str">
        <f>VLOOKUP($A66,'0919門市清單主檔'!B:V,21,FALSE)</f>
        <v>三芝區</v>
      </c>
      <c r="E66" s="225" t="str">
        <f>VLOOKUP(D66,門市狀態!G:H,2,FALSE)</f>
        <v>吳宗鴻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-5080-三芝楓愛林(定保)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1" t="str">
        <f t="shared" si="17"/>
        <v>-5080-三芝楓愛林(定保)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4856</v>
      </c>
      <c r="B67" s="116" t="str">
        <f>VLOOKUP(A67,'0919門市清單主檔'!B:C,2,FALSE)</f>
        <v>新莊小胖店</v>
      </c>
      <c r="C67" s="117" t="str">
        <f>VLOOKUP($A67,'0919門市清單主檔'!B:V,20,FALSE)</f>
        <v>新北市</v>
      </c>
      <c r="D67" s="118" t="str">
        <f>VLOOKUP($A67,'0919門市清單主檔'!B:V,21,FALSE)</f>
        <v>新莊區</v>
      </c>
      <c r="E67" s="225" t="str">
        <f>VLOOKUP(D67,門市狀態!G:H,2,FALSE)</f>
        <v>湯家瑋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-4856-新莊小胖店(定保)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/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1" t="str">
        <f t="shared" si="17"/>
        <v>-4856-新莊小胖店(定保)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/>
      </c>
      <c r="T67" s="211" t="str">
        <f t="array" ref="T67">IFERROR(INDEX(IM!$AM$2:$AM$522, MATCH(1, (IM!$F$2:$F$522=A67) * (ISNUMBER(SEARCH($E$1, IM!$AC$2:$AC$522))), 0)), "")</f>
        <v/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2237</v>
      </c>
      <c r="B68" s="116" t="str">
        <f>VLOOKUP(A68,'0919門市清單主檔'!B:C,2,FALSE)</f>
        <v>三芝芝蘭店</v>
      </c>
      <c r="C68" s="117" t="str">
        <f>VLOOKUP($A68,'0919門市清單主檔'!B:V,20,FALSE)</f>
        <v>新北市</v>
      </c>
      <c r="D68" s="118" t="str">
        <f>VLOOKUP($A68,'0919門市清單主檔'!B:V,21,FALSE)</f>
        <v>三芝區</v>
      </c>
      <c r="E68" s="225" t="str">
        <f>VLOOKUP(D68,門市狀態!G:H,2,FALSE)</f>
        <v>吳宗鴻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-2237-三芝芝蘭店(定保)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1" t="str">
        <f t="shared" si="17"/>
        <v>-2237-三芝芝蘭店(定保)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2390</v>
      </c>
      <c r="B69" s="116" t="str">
        <f>VLOOKUP(A69,'0919門市清單主檔'!B:C,2,FALSE)</f>
        <v>五股產業園區</v>
      </c>
      <c r="C69" s="117" t="str">
        <f>VLOOKUP($A69,'0919門市清單主檔'!B:V,20,FALSE)</f>
        <v>新北市</v>
      </c>
      <c r="D69" s="118" t="str">
        <f>VLOOKUP($A69,'0919門市清單主檔'!B:V,21,FALSE)</f>
        <v>五股區</v>
      </c>
      <c r="E69" s="225" t="str">
        <f>VLOOKUP(D69,門市狀態!G:H,2,FALSE)</f>
        <v>湯家瑋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-2390-五股產業園區(定保)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/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1" t="str">
        <f t="shared" si="17"/>
        <v>-2390-五股產業園區(定保)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/>
      </c>
      <c r="T69" s="211" t="str">
        <f t="array" ref="T69">IFERROR(INDEX(IM!$AM$2:$AM$522, MATCH(1, (IM!$F$2:$F$522=A69) * (ISNUMBER(SEARCH($E$1, IM!$AC$2:$AC$522))), 0)), "")</f>
        <v/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4552</v>
      </c>
      <c r="B70" s="116" t="str">
        <f>VLOOKUP(A70,'0919門市清單主檔'!B:C,2,FALSE)</f>
        <v>新莊福慧店</v>
      </c>
      <c r="C70" s="117" t="str">
        <f>VLOOKUP($A70,'0919門市清單主檔'!B:V,20,FALSE)</f>
        <v>新北市</v>
      </c>
      <c r="D70" s="118" t="str">
        <f>VLOOKUP($A70,'0919門市清單主檔'!B:V,21,FALSE)</f>
        <v>新莊區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-4552-新莊福慧店(定保)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1" t="str">
        <f t="shared" si="17"/>
        <v>-4552-新莊福慧店(定保)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4144</v>
      </c>
      <c r="B71" s="116" t="str">
        <f>VLOOKUP(A71,'0919門市清單主檔'!B:C,2,FALSE)</f>
        <v>新莊頭前店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-4144-新莊頭前店(定保)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1" t="str">
        <f t="shared" si="17"/>
        <v>-4144-新莊頭前店(定保)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4656</v>
      </c>
      <c r="B72" s="116" t="str">
        <f>VLOOKUP(A72,'0919門市清單主檔'!B:C,2,FALSE)</f>
        <v>泰山新民店</v>
      </c>
      <c r="C72" s="117" t="str">
        <f>VLOOKUP($A72,'0919門市清單主檔'!B:V,20,FALSE)</f>
        <v>新北市</v>
      </c>
      <c r="D72" s="118" t="str">
        <f>VLOOKUP($A72,'0919門市清單主檔'!B:V,21,FALSE)</f>
        <v>泰山區</v>
      </c>
      <c r="E72" s="225" t="str">
        <f>VLOOKUP(D72,門市狀態!G:H,2,FALSE)</f>
        <v>吳宗鴻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-4656-泰山新民店(定保)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1" t="str">
        <f t="shared" si="17"/>
        <v>-4656-泰山新民店(定保)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3606</v>
      </c>
      <c r="B73" s="116" t="str">
        <f>VLOOKUP(A73,'0919門市清單主檔'!B:C,2,FALSE)</f>
        <v>北縣泰富店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-3606-北縣泰富店(定保)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/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1" t="str">
        <f t="shared" si="17"/>
        <v>-3606-北縣泰富店(定保)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/>
      </c>
      <c r="T73" s="211" t="str">
        <f t="array" ref="T73">IFERROR(INDEX(IM!$AM$2:$AM$522, MATCH(1, (IM!$F$2:$F$522=A73) * (ISNUMBER(SEARCH($E$1, IM!$AC$2:$AC$522))), 0)), "")</f>
        <v/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4715</v>
      </c>
      <c r="B74" s="116" t="str">
        <f>VLOOKUP(A74,'0919門市清單主檔'!B:C,2,FALSE)</f>
        <v>林口捷韻店</v>
      </c>
      <c r="C74" s="117" t="str">
        <f>VLOOKUP($A74,'0919門市清單主檔'!B:V,20,FALSE)</f>
        <v>新北市</v>
      </c>
      <c r="D74" s="118" t="str">
        <f>VLOOKUP($A74,'0919門市清單主檔'!B:V,21,FALSE)</f>
        <v>林口區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-4715-林口捷韻店(定保)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1" t="str">
        <f t="shared" si="17"/>
        <v>-4715-林口捷韻店(定保)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5364</v>
      </c>
      <c r="B75" s="116" t="str">
        <f>VLOOKUP(A75,'0919門市清單主檔'!B:C,2,FALSE)</f>
        <v>林口舊街店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-5364-林口舊街店(定保)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/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1" t="str">
        <f t="shared" si="17"/>
        <v>-5364-林口舊街店(定保)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/>
      </c>
      <c r="T75" s="211" t="str">
        <f t="array" ref="T75">IFERROR(INDEX(IM!$AM$2:$AM$522, MATCH(1, (IM!$F$2:$F$522=A75) * (ISNUMBER(SEARCH($E$1, IM!$AC$2:$AC$522))), 0)), "")</f>
        <v/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 t="s">
        <v>51</v>
      </c>
      <c r="B76" s="116" t="str">
        <f>VLOOKUP(A76,'0919門市清單主檔'!B:C,2,FALSE)</f>
        <v>板橋成都店</v>
      </c>
      <c r="C76" s="117" t="str">
        <f>VLOOKUP($A76,'0919門市清單主檔'!B:V,20,FALSE)</f>
        <v>新北市</v>
      </c>
      <c r="D76" s="118" t="str">
        <f>VLOOKUP($A76,'0919門市清單主檔'!B:V,21,FALSE)</f>
        <v>板橋區</v>
      </c>
      <c r="E76" s="225" t="str">
        <f>VLOOKUP(D76,門市狀態!G:H,2,FALSE)</f>
        <v>狄澤洋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-D349-板橋成都店(定保)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1" t="str">
        <f t="shared" si="17"/>
        <v>-D349-板橋成都店(定保)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三重正義北店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-D028-三重正義北店(定保)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/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1" t="str">
        <f t="shared" si="17"/>
        <v>-D028-三重正義北店(定保)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/>
      </c>
      <c r="T77" s="211" t="str">
        <f t="array" ref="T77">IFERROR(INDEX(IM!$AM$2:$AM$522, MATCH(1, (IM!$F$2:$F$522=A77) * (ISNUMBER(SEARCH($E$1, IM!$AC$2:$AC$522))), 0)), "")</f>
        <v/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53</v>
      </c>
      <c r="B78" s="116" t="str">
        <f>VLOOKUP(A78,'0919門市清單主檔'!B:C,2,FALSE)</f>
        <v>三重運動公園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-D649-三重運動公園(定保)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/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1" t="str">
        <f t="shared" si="17"/>
        <v>-D649-三重運動公園(定保)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/>
      </c>
      <c r="T78" s="211" t="str">
        <f t="array" ref="T78">IFERROR(INDEX(IM!$AM$2:$AM$522, MATCH(1, (IM!$F$2:$F$522=A78) * (ISNUMBER(SEARCH($E$1, IM!$AC$2:$AC$522))), 0)), "")</f>
        <v/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4560</v>
      </c>
      <c r="B79" s="116" t="str">
        <f>VLOOKUP(A79,'0919門市清單主檔'!B:C,2,FALSE)</f>
        <v>三重大院店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-4560-三重大院店(定保)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/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1" t="str">
        <f t="shared" si="17"/>
        <v>-4560-三重大院店(定保)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/>
      </c>
      <c r="T79" s="211" t="str">
        <f t="array" ref="T79">IFERROR(INDEX(IM!$AM$2:$AM$522, MATCH(1, (IM!$F$2:$F$522=A79) * (ISNUMBER(SEARCH($E$1, IM!$AC$2:$AC$522))), 0)), "")</f>
        <v/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2042</v>
      </c>
      <c r="B80" s="116" t="str">
        <f>VLOOKUP(A80,'0919門市清單主檔'!B:C,2,FALSE)</f>
        <v>三重中央北店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-2042-三重中央北店(定保)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1" t="str">
        <f t="shared" si="17"/>
        <v>-2042-三重中央北店(定保)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2303</v>
      </c>
      <c r="B81" s="116" t="str">
        <f>VLOOKUP(A81,'0919門市清單主檔'!B:C,2,FALSE)</f>
        <v>三重三和夜市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-2303-三重三和夜市(定保)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/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1" t="str">
        <f t="shared" si="17"/>
        <v>-2303-三重三和夜市(定保)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/>
      </c>
      <c r="T81" s="211" t="str">
        <f t="array" ref="T81">IFERROR(INDEX(IM!$AM$2:$AM$522, MATCH(1, (IM!$F$2:$F$522=A81) * (ISNUMBER(SEARCH($E$1, IM!$AC$2:$AC$522))), 0)), "")</f>
        <v/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2935</v>
      </c>
      <c r="B82" s="116" t="str">
        <f>VLOOKUP(A82,'0919門市清單主檔'!B:C,2,FALSE)</f>
        <v>三重夜市口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-2935-三重夜市口(定保)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1" t="str">
        <f t="shared" si="17"/>
        <v>-2935-三重夜市口(定保)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3380</v>
      </c>
      <c r="B83" s="116" t="str">
        <f>VLOOKUP(A83,'0919門市清單主檔'!B:C,2,FALSE)</f>
        <v>北縣莊勝店</v>
      </c>
      <c r="C83" s="117" t="str">
        <f>VLOOKUP($A83,'0919門市清單主檔'!B:V,20,FALSE)</f>
        <v>新北市</v>
      </c>
      <c r="D83" s="118" t="str">
        <f>VLOOKUP($A83,'0919門市清單主檔'!B:V,21,FALSE)</f>
        <v>新莊區</v>
      </c>
      <c r="E83" s="225" t="str">
        <f>VLOOKUP(D83,門市狀態!G:H,2,FALSE)</f>
        <v>湯家瑋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-3380-北縣莊勝店(定保)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/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1" t="str">
        <f t="shared" si="17"/>
        <v>-3380-北縣莊勝店(定保)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/>
      </c>
      <c r="T83" s="211" t="str">
        <f t="array" ref="T83">IFERROR(INDEX(IM!$AM$2:$AM$522, MATCH(1, (IM!$F$2:$F$522=A83) * (ISNUMBER(SEARCH($E$1, IM!$AC$2:$AC$522))), 0)), "")</f>
        <v/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4282</v>
      </c>
      <c r="B84" s="116" t="str">
        <f>VLOOKUP(A84,'0919門市清單主檔'!B:C,2,FALSE)</f>
        <v>林口建林店</v>
      </c>
      <c r="C84" s="117" t="str">
        <f>VLOOKUP($A84,'0919門市清單主檔'!B:V,20,FALSE)</f>
        <v>新北市</v>
      </c>
      <c r="D84" s="118" t="str">
        <f>VLOOKUP($A84,'0919門市清單主檔'!B:V,21,FALSE)</f>
        <v>林口區</v>
      </c>
      <c r="E84" s="225" t="str">
        <f>VLOOKUP(D84,門市狀態!G:H,2,FALSE)</f>
        <v>吳宗鴻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-4282-林口建林店(定保)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/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1" t="str">
        <f t="shared" si="17"/>
        <v>-4282-林口建林店(定保)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/>
      </c>
      <c r="T84" s="211" t="str">
        <f t="array" ref="T84">IFERROR(INDEX(IM!$AM$2:$AM$522, MATCH(1, (IM!$F$2:$F$522=A84) * (ISNUMBER(SEARCH($E$1, IM!$AC$2:$AC$522))), 0)), "")</f>
        <v/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2362</v>
      </c>
      <c r="B85" s="116" t="str">
        <f>VLOOKUP(A85,'0919門市清單主檔'!B:C,2,FALSE)</f>
        <v>新莊化成店</v>
      </c>
      <c r="C85" s="117" t="str">
        <f>VLOOKUP($A85,'0919門市清單主檔'!B:V,20,FALSE)</f>
        <v>新北市</v>
      </c>
      <c r="D85" s="118" t="str">
        <f>VLOOKUP($A85,'0919門市清單主檔'!B:V,21,FALSE)</f>
        <v>新莊區</v>
      </c>
      <c r="E85" s="225" t="str">
        <f>VLOOKUP(D85,門市狀態!G:H,2,FALSE)</f>
        <v>湯家瑋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-2362-新莊化成店(定保)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/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1" t="str">
        <f t="shared" si="17"/>
        <v>-2362-新莊化成店(定保)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/>
      </c>
      <c r="T85" s="211" t="str">
        <f t="array" ref="T85">IFERROR(INDEX(IM!$AM$2:$AM$522, MATCH(1, (IM!$F$2:$F$522=A85) * (ISNUMBER(SEARCH($E$1, IM!$AC$2:$AC$522))), 0)), "")</f>
        <v/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4541</v>
      </c>
      <c r="B86" s="116" t="str">
        <f>VLOOKUP(A86,'0919門市清單主檔'!B:C,2,FALSE)</f>
        <v>淡水海天店</v>
      </c>
      <c r="C86" s="117" t="str">
        <f>VLOOKUP($A86,'0919門市清單主檔'!B:V,20,FALSE)</f>
        <v>新北市</v>
      </c>
      <c r="D86" s="118" t="str">
        <f>VLOOKUP($A86,'0919門市清單主檔'!B:V,21,FALSE)</f>
        <v>淡水區</v>
      </c>
      <c r="E86" s="225" t="str">
        <f>VLOOKUP(D86,門市狀態!G:H,2,FALSE)</f>
        <v>吳宗鴻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-4541-淡水海天店(定保)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/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1" t="str">
        <f t="shared" si="17"/>
        <v>-4541-淡水海天店(定保)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/>
      </c>
      <c r="T86" s="211" t="str">
        <f t="array" ref="T86">IFERROR(INDEX(IM!$AM$2:$AM$522, MATCH(1, (IM!$F$2:$F$522=A86) * (ISNUMBER(SEARCH($E$1, IM!$AC$2:$AC$522))), 0)), "")</f>
        <v/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3921</v>
      </c>
      <c r="B87" s="116" t="str">
        <f>VLOOKUP(A87,'0919門市清單主檔'!B:C,2,FALSE)</f>
        <v>五股福鑫店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-3921-五股福鑫店(定保)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1" t="str">
        <f t="shared" ref="P87:P150" si="19">(TEXT(I87,"yyyymmdd"))&amp;$V$2&amp;A87&amp;$V$2&amp;B87&amp;$S$2</f>
        <v>-3921-五股福鑫店(定保)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4316</v>
      </c>
      <c r="B88" s="116" t="str">
        <f>VLOOKUP(A88,'0919門市清單主檔'!B:C,2,FALSE)</f>
        <v>五股工商店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-4316-五股工商店(定保)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1" t="str">
        <f t="shared" si="19"/>
        <v>-4316-五股工商店(定保)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 t="s">
        <v>54</v>
      </c>
      <c r="B89" s="116" t="str">
        <f>VLOOKUP(A89,'0919門市清單主檔'!B:C,2,FALSE)</f>
        <v>三重車路頭</v>
      </c>
      <c r="C89" s="117" t="str">
        <f>VLOOKUP($A89,'0919門市清單主檔'!B:V,20,FALSE)</f>
        <v>新北市</v>
      </c>
      <c r="D89" s="118" t="str">
        <f>VLOOKUP($A89,'0919門市清單主檔'!B:V,21,FALSE)</f>
        <v>三重區</v>
      </c>
      <c r="E89" s="225" t="str">
        <f>VLOOKUP(D89,門市狀態!G:H,2,FALSE)</f>
        <v>劉柏均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-D195-三重車路頭(定保)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1" t="str">
        <f t="shared" si="19"/>
        <v>-D195-三重車路頭(定保)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4528</v>
      </c>
      <c r="B90" s="116" t="str">
        <f>VLOOKUP(A90,'0919門市清單主檔'!B:C,2,FALSE)</f>
        <v>八里鐵塔店</v>
      </c>
      <c r="C90" s="117" t="str">
        <f>VLOOKUP($A90,'0919門市清單主檔'!B:V,20,FALSE)</f>
        <v>新北市</v>
      </c>
      <c r="D90" s="118" t="str">
        <f>VLOOKUP($A90,'0919門市清單主檔'!B:V,21,FALSE)</f>
        <v>八里區</v>
      </c>
      <c r="E90" s="225" t="str">
        <f>VLOOKUP(D90,門市狀態!G:H,2,FALSE)</f>
        <v>吳宗鴻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-4528-八里鐵塔店(定保)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1" t="str">
        <f t="shared" si="19"/>
        <v>-4528-八里鐵塔店(定保)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4259</v>
      </c>
      <c r="B91" s="116" t="str">
        <f>VLOOKUP(A91,'0919門市清單主檔'!B:C,2,FALSE)</f>
        <v>八里水灣店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-4259-八里水灣店(定保)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/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1" t="str">
        <f t="shared" si="19"/>
        <v>-4259-八里水灣店(定保)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/>
      </c>
      <c r="T91" s="211" t="str">
        <f t="array" ref="T91">IFERROR(INDEX(IM!$AM$2:$AM$522, MATCH(1, (IM!$F$2:$F$522=A91) * (ISNUMBER(SEARCH($E$1, IM!$AC$2:$AC$522))), 0)), "")</f>
        <v/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2306</v>
      </c>
      <c r="B92" s="116" t="str">
        <f>VLOOKUP(A92,'0919門市清單主檔'!B:C,2,FALSE)</f>
        <v>八里凱旋門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-2306-八里凱旋門(定保)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/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1" t="str">
        <f t="shared" si="19"/>
        <v>-2306-八里凱旋門(定保)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/>
      </c>
      <c r="T92" s="211" t="str">
        <f t="array" ref="T92">IFERROR(INDEX(IM!$AM$2:$AM$522, MATCH(1, (IM!$F$2:$F$522=A92) * (ISNUMBER(SEARCH($E$1, IM!$AC$2:$AC$522))), 0)), "")</f>
        <v/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4764</v>
      </c>
      <c r="B93" s="116" t="str">
        <f>VLOOKUP(A93,'0919門市清單主檔'!B:C,2,FALSE)</f>
        <v>八里大船店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-4764-八里大船店(定保)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1" t="str">
        <f t="shared" si="19"/>
        <v>-4764-八里大船店(定保)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5074</v>
      </c>
      <c r="B94" s="116" t="str">
        <f>VLOOKUP(A94,'0919門市清單主檔'!B:C,2,FALSE)</f>
        <v>八里福德新村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-5074-八里福德新村(定保)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/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1" t="str">
        <f t="shared" si="19"/>
        <v>-5074-八里福德新村(定保)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/>
      </c>
      <c r="T94" s="211" t="str">
        <f t="array" ref="T94">IFERROR(INDEX(IM!$AM$2:$AM$522, MATCH(1, (IM!$F$2:$F$522=A94) * (ISNUMBER(SEARCH($E$1, IM!$AC$2:$AC$522))), 0)), "")</f>
        <v/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3458</v>
      </c>
      <c r="B95" s="116" t="str">
        <f>VLOOKUP(A95,'0919門市清單主檔'!B:C,2,FALSE)</f>
        <v>八里龍米店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-3458-八里龍米店(定保)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1" t="str">
        <f t="shared" si="19"/>
        <v>-3458-八里龍米店(定保)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2442</v>
      </c>
      <c r="B96" s="116" t="str">
        <f>VLOOKUP(A96,'0919門市清單主檔'!B:C,2,FALSE)</f>
        <v>北縣商港店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-2442-北縣商港店(定保)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/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1" t="str">
        <f t="shared" si="19"/>
        <v>-2442-北縣商港店(定保)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/>
      </c>
      <c r="T96" s="211" t="str">
        <f t="array" ref="T96">IFERROR(INDEX(IM!$AM$2:$AM$522, MATCH(1, (IM!$F$2:$F$522=A96) * (ISNUMBER(SEARCH($E$1, IM!$AC$2:$AC$522))), 0)), "")</f>
        <v/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4243</v>
      </c>
      <c r="B97" s="116" t="str">
        <f>VLOOKUP(A97,'0919門市清單主檔'!B:C,2,FALSE)</f>
        <v>八里聖心店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-4243-八里聖心店(定保)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/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1" t="str">
        <f t="shared" si="19"/>
        <v>-4243-八里聖心店(定保)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/>
      </c>
      <c r="T97" s="211" t="str">
        <f t="array" ref="T97">IFERROR(INDEX(IM!$AM$2:$AM$522, MATCH(1, (IM!$F$2:$F$522=A97) * (ISNUMBER(SEARCH($E$1, IM!$AC$2:$AC$522))), 0)), "")</f>
        <v/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 t="s">
        <v>55</v>
      </c>
      <c r="B98" s="116" t="str">
        <f>VLOOKUP(A98,'0919門市清單主檔'!B:C,2,FALSE)</f>
        <v>三重福隆店</v>
      </c>
      <c r="C98" s="117" t="str">
        <f>VLOOKUP($A98,'0919門市清單主檔'!B:V,20,FALSE)</f>
        <v>新北市</v>
      </c>
      <c r="D98" s="118" t="str">
        <f>VLOOKUP($A98,'0919門市清單主檔'!B:V,21,FALSE)</f>
        <v>三重區</v>
      </c>
      <c r="E98" s="225" t="str">
        <f>VLOOKUP(D98,門市狀態!G:H,2,FALSE)</f>
        <v>劉柏均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-D620-三重福隆店(定保)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/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1" t="str">
        <f t="shared" si="19"/>
        <v>-D620-三重福隆店(定保)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/>
      </c>
      <c r="T98" s="211" t="str">
        <f t="array" ref="T98">IFERROR(INDEX(IM!$AM$2:$AM$522, MATCH(1, (IM!$F$2:$F$522=A98) * (ISNUMBER(SEARCH($E$1, IM!$AC$2:$AC$522))), 0)), "")</f>
        <v/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56</v>
      </c>
      <c r="B99" s="116" t="str">
        <f>VLOOKUP(A99,'0919門市清單主檔'!B:C,2,FALSE)</f>
        <v>三重中興北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-D087-三重中興北(定保)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1" t="str">
        <f t="shared" si="19"/>
        <v>-D087-三重中興北(定保)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4977</v>
      </c>
      <c r="B100" s="116" t="str">
        <f>VLOOKUP(A100,'0919門市清單主檔'!B:C,2,FALSE)</f>
        <v>三重初戀店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-4977-三重初戀店(定保)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1" t="str">
        <f t="shared" si="19"/>
        <v>-4977-三重初戀店(定保)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5316</v>
      </c>
      <c r="B101" s="116" t="str">
        <f>VLOOKUP(A101,'0919門市清單主檔'!B:C,2,FALSE)</f>
        <v>三重五常店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-5316-三重五常店(定保)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1" t="str">
        <f t="shared" si="19"/>
        <v>-5316-三重五常店(定保)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3359</v>
      </c>
      <c r="B102" s="116" t="str">
        <f>VLOOKUP(A102,'0919門市清單主檔'!B:C,2,FALSE)</f>
        <v>三重金陵店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 t="s">
        <v>57</v>
      </c>
      <c r="H102" s="121" t="str">
        <f t="shared" si="18"/>
        <v>-3359-三重金陵店(定保)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1" t="str">
        <f t="shared" si="19"/>
        <v>-3359-三重金陵店(定保)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4609</v>
      </c>
      <c r="B103" s="116" t="str">
        <f>VLOOKUP(A103,'0919門市清單主檔'!B:C,2,FALSE)</f>
        <v>蘆洲洲正店</v>
      </c>
      <c r="C103" s="117" t="str">
        <f>VLOOKUP($A103,'0919門市清單主檔'!B:V,20,FALSE)</f>
        <v>新北市</v>
      </c>
      <c r="D103" s="118" t="str">
        <f>VLOOKUP($A103,'0919門市清單主檔'!B:V,21,FALSE)</f>
        <v>蘆洲區</v>
      </c>
      <c r="E103" s="225" t="str">
        <f>VLOOKUP(D103,門市狀態!G:H,2,FALSE)</f>
        <v>湯家瑋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-4609-蘆洲洲正店(定保)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1" t="str">
        <f t="shared" si="19"/>
        <v>-4609-蘆洲洲正店(定保)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4125</v>
      </c>
      <c r="B104" s="116" t="str">
        <f>VLOOKUP(A104,'0919門市清單主檔'!B:C,2,FALSE)</f>
        <v>蘆洲長樂店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-4125-蘆洲長樂店(定保)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1" t="str">
        <f t="shared" si="19"/>
        <v>-4125-蘆洲長樂店(定保)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2958</v>
      </c>
      <c r="B105" s="116" t="str">
        <f>VLOOKUP(A105,'0919門市清單主檔'!B:C,2,FALSE)</f>
        <v>北縣蘆旺店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-2958-北縣蘆旺店(定保)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1" t="str">
        <f t="shared" si="19"/>
        <v>-2958-北縣蘆旺店(定保)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3929</v>
      </c>
      <c r="B106" s="116" t="str">
        <f>VLOOKUP(A106,'0919門市清單主檔'!B:C,2,FALSE)</f>
        <v>蘆洲中山一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-3929-蘆洲中山一(定保)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1" t="str">
        <f t="shared" si="19"/>
        <v>-3929-蘆洲中山一(定保)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3452</v>
      </c>
      <c r="B107" s="116" t="str">
        <f>VLOOKUP(A107,'0919門市清單主檔'!B:C,2,FALSE)</f>
        <v>蘆洲信義店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-3452-蘆洲信義店(定保)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/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1" t="str">
        <f t="shared" si="19"/>
        <v>-3452-蘆洲信義店(定保)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/>
      </c>
      <c r="T107" s="211" t="str">
        <f t="array" ref="T107">IFERROR(INDEX(IM!$AM$2:$AM$522, MATCH(1, (IM!$F$2:$F$522=A107) * (ISNUMBER(SEARCH($E$1, IM!$AC$2:$AC$522))), 0)), "")</f>
        <v/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5341</v>
      </c>
      <c r="B108" s="116" t="str">
        <f>VLOOKUP(A108,'0919門市清單主檔'!B:C,2,FALSE)</f>
        <v>蘆洲切仔麵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-5341-蘆洲切仔麵(定保)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/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1" t="str">
        <f t="shared" si="19"/>
        <v>-5341-蘆洲切仔麵(定保)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/>
      </c>
      <c r="T108" s="211" t="str">
        <f t="array" ref="T108">IFERROR(INDEX(IM!$AM$2:$AM$522, MATCH(1, (IM!$F$2:$F$522=A108) * (ISNUMBER(SEARCH($E$1, IM!$AC$2:$AC$522))), 0)), "")</f>
        <v/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5197</v>
      </c>
      <c r="B109" s="116" t="str">
        <f>VLOOKUP(A109,'0919門市清單主檔'!B:C,2,FALSE)</f>
        <v>蘆洲鴻悅店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-5197-蘆洲鴻悅店(定保)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/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1" t="str">
        <f t="shared" si="19"/>
        <v>-5197-蘆洲鴻悅店(定保)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/>
      </c>
      <c r="T109" s="211" t="str">
        <f t="array" ref="T109">IFERROR(INDEX(IM!$AM$2:$AM$522, MATCH(1, (IM!$F$2:$F$522=A109) * (ISNUMBER(SEARCH($E$1, IM!$AC$2:$AC$522))), 0)), "")</f>
        <v/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4218</v>
      </c>
      <c r="B110" s="116" t="str">
        <f>VLOOKUP(A110,'0919門市清單主檔'!B:C,2,FALSE)</f>
        <v>蘆洲湧蓮店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-4218-蘆洲湧蓮店(定保)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/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1" t="str">
        <f t="shared" si="19"/>
        <v>-4218-蘆洲湧蓮店(定保)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/>
      </c>
      <c r="T110" s="211" t="str">
        <f t="array" ref="T110">IFERROR(INDEX(IM!$AM$2:$AM$522, MATCH(1, (IM!$F$2:$F$522=A110) * (ISNUMBER(SEARCH($E$1, IM!$AC$2:$AC$522))), 0)), "")</f>
        <v/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 t="s">
        <v>58</v>
      </c>
      <c r="B111" s="116" t="str">
        <f>VLOOKUP(A111,'0919門市清單主檔'!B:C,2,FALSE)</f>
        <v>新莊福營店</v>
      </c>
      <c r="C111" s="117" t="str">
        <f>VLOOKUP($A111,'0919門市清單主檔'!B:V,20,FALSE)</f>
        <v>新北市</v>
      </c>
      <c r="D111" s="118" t="str">
        <f>VLOOKUP($A111,'0919門市清單主檔'!B:V,21,FALSE)</f>
        <v>新莊區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>撤店</v>
      </c>
      <c r="G111" s="120"/>
      <c r="H111" s="121" t="str">
        <f t="shared" si="18"/>
        <v>-D148-新莊福營店(定保)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1" t="str">
        <f t="shared" si="19"/>
        <v>-D148-新莊福營店(定保)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4539</v>
      </c>
      <c r="B112" s="116" t="str">
        <f>VLOOKUP(A112,'0919門市清單主檔'!B:C,2,FALSE)</f>
        <v>三重自信店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-4539-三重自信店(定保)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1" t="str">
        <f t="shared" si="19"/>
        <v>-4539-三重自信店(定保)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4184</v>
      </c>
      <c r="B113" s="116" t="str">
        <f>VLOOKUP(A113,'0919門市清單主檔'!B:C,2,FALSE)</f>
        <v>三重今大店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-4184-三重今大店(定保)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/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1" t="str">
        <f t="shared" si="19"/>
        <v>-4184-三重今大店(定保)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/>
      </c>
      <c r="T113" s="211" t="str">
        <f t="array" ref="T113">IFERROR(INDEX(IM!$AM$2:$AM$522, MATCH(1, (IM!$F$2:$F$522=A113) * (ISNUMBER(SEARCH($E$1, IM!$AC$2:$AC$522))), 0)), "")</f>
        <v/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2543</v>
      </c>
      <c r="B114" s="116" t="str">
        <f>VLOOKUP(A114,'0919門市清單主檔'!B:C,2,FALSE)</f>
        <v>三重大仁店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-2543-三重大仁店(定保)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1" t="str">
        <f t="shared" si="19"/>
        <v>-2543-三重大仁店(定保)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4804</v>
      </c>
      <c r="B115" s="116" t="str">
        <f>VLOOKUP(A115,'0919門市清單主檔'!B:C,2,FALSE)</f>
        <v>三重國隆店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-4804-三重國隆店(定保)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/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1" t="str">
        <f t="shared" si="19"/>
        <v>-4804-三重國隆店(定保)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/>
      </c>
      <c r="T115" s="211" t="str">
        <f t="array" ref="T115">IFERROR(INDEX(IM!$AM$2:$AM$522, MATCH(1, (IM!$F$2:$F$522=A115) * (ISNUMBER(SEARCH($E$1, IM!$AC$2:$AC$522))), 0)), "")</f>
        <v/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4698</v>
      </c>
      <c r="B116" s="116" t="str">
        <f>VLOOKUP(A116,'0919門市清單主檔'!B:C,2,FALSE)</f>
        <v>三重頂崁店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-4698-三重頂崁店(定保)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1" t="str">
        <f t="shared" si="19"/>
        <v>-4698-三重頂崁店(定保)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3601</v>
      </c>
      <c r="B117" s="116" t="str">
        <f>VLOOKUP(A117,'0919門市清單主檔'!B:C,2,FALSE)</f>
        <v>三重重富店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-3601-三重重富店(定保)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1" t="str">
        <f t="shared" si="19"/>
        <v>-3601-三重重富店(定保)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4210</v>
      </c>
      <c r="B118" s="116" t="str">
        <f>VLOOKUP(A118,'0919門市清單主檔'!B:C,2,FALSE)</f>
        <v>三重福華店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-4210-三重福華店(定保)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1" t="str">
        <f t="shared" si="19"/>
        <v>-4210-三重福華店(定保)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59</v>
      </c>
      <c r="B119" s="116" t="str">
        <f>VLOOKUP(A119,'0919門市清單主檔'!B:C,2,FALSE)</f>
        <v>田倉新樹店</v>
      </c>
      <c r="C119" s="117" t="str">
        <f>VLOOKUP($A119,'0919門市清單主檔'!B:V,20,FALSE)</f>
        <v>新北市</v>
      </c>
      <c r="D119" s="118" t="str">
        <f>VLOOKUP($A119,'0919門市清單主檔'!B:V,21,FALSE)</f>
        <v>新莊區</v>
      </c>
      <c r="E119" s="225" t="str">
        <f>VLOOKUP(D119,門市狀態!G:H,2,FALSE)</f>
        <v>湯家瑋</v>
      </c>
      <c r="F119" s="119" t="str">
        <f>IFERROR(IF(VLOOKUP(A119,門市狀態!A:D,4,FALSE)=0,"",VLOOKUP(A119,門市狀態!A:D,4,FALSE)),"")</f>
        <v/>
      </c>
      <c r="G119" s="120" t="s">
        <v>60</v>
      </c>
      <c r="H119" s="121" t="str">
        <f t="shared" si="18"/>
        <v>-L535-田倉新樹店(定保)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/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1" t="str">
        <f t="shared" si="19"/>
        <v>-L535-田倉新樹店(定保)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/>
      </c>
      <c r="T119" s="211" t="str">
        <f t="array" ref="T119">IFERROR(INDEX(IM!$AM$2:$AM$522, MATCH(1, (IM!$F$2:$F$522=A119) * (ISNUMBER(SEARCH($E$1, IM!$AC$2:$AC$522))), 0)), "")</f>
        <v/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>
        <v>2109</v>
      </c>
      <c r="B120" s="116" t="str">
        <f>VLOOKUP(A120,'0919門市清單主檔'!B:C,2,FALSE)</f>
        <v>新莊瓊林南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-2109-新莊瓊林南(定保)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1" t="str">
        <f t="shared" si="19"/>
        <v>-2109-新莊瓊林南(定保)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/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1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/>
      </c>
      <c r="T121" s="211" t="str">
        <f t="array" ref="T121">IFERROR(INDEX(IM!$AM$2:$AM$522, MATCH(1, (IM!$F$2:$F$522=A121) * (ISNUMBER(SEARCH($E$1, IM!$AC$2:$AC$522))), 0)), "")</f>
        <v/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/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1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/>
      </c>
      <c r="T122" s="211" t="str">
        <f t="array" ref="T122">IFERROR(INDEX(IM!$AM$2:$AM$522, MATCH(1, (IM!$F$2:$F$522=A122) * (ISNUMBER(SEARCH($E$1, IM!$AC$2:$AC$522))), 0)), "")</f>
        <v/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/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1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/>
      </c>
      <c r="T123" s="211" t="str">
        <f t="array" ref="T123">IFERROR(INDEX(IM!$AM$2:$AM$522, MATCH(1, (IM!$F$2:$F$522=A123) * (ISNUMBER(SEARCH($E$1, IM!$AC$2:$AC$522))), 0)), "")</f>
        <v/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1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1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/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1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/>
      </c>
      <c r="T126" s="211" t="str">
        <f t="array" ref="T126">IFERROR(INDEX(IM!$AM$2:$AM$522, MATCH(1, (IM!$F$2:$F$522=A126) * (ISNUMBER(SEARCH($E$1, IM!$AC$2:$AC$522))), 0)), "")</f>
        <v/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/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1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/>
      </c>
      <c r="T127" s="211" t="str">
        <f t="array" ref="T127">IFERROR(INDEX(IM!$AM$2:$AM$522, MATCH(1, (IM!$F$2:$F$522=A127) * (ISNUMBER(SEARCH($E$1, IM!$AC$2:$AC$522))), 0)), "")</f>
        <v/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/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1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/>
      </c>
      <c r="T128" s="211" t="str">
        <f t="array" ref="T128">IFERROR(INDEX(IM!$AM$2:$AM$522, MATCH(1, (IM!$F$2:$F$522=A128) * (ISNUMBER(SEARCH($E$1, IM!$AC$2:$AC$522))), 0)), "")</f>
        <v/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/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1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/>
      </c>
      <c r="T129" s="211" t="str">
        <f t="array" ref="T129">IFERROR(INDEX(IM!$AM$2:$AM$522, MATCH(1, (IM!$F$2:$F$522=A129) * (ISNUMBER(SEARCH($E$1, IM!$AC$2:$AC$522))), 0)), "")</f>
        <v/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/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1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/>
      </c>
      <c r="T130" s="211" t="str">
        <f t="array" ref="T130">IFERROR(INDEX(IM!$AM$2:$AM$522, MATCH(1, (IM!$F$2:$F$522=A130) * (ISNUMBER(SEARCH($E$1, IM!$AC$2:$AC$522))), 0)), "")</f>
        <v/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/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1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/>
      </c>
      <c r="T131" s="211" t="str">
        <f t="array" ref="T131">IFERROR(INDEX(IM!$AM$2:$AM$522, MATCH(1, (IM!$F$2:$F$522=A131) * (ISNUMBER(SEARCH($E$1, IM!$AC$2:$AC$522))), 0)), "")</f>
        <v/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1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/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1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/>
      </c>
      <c r="T133" s="211" t="str">
        <f t="array" ref="T133">IFERROR(INDEX(IM!$AM$2:$AM$522, MATCH(1, (IM!$F$2:$F$522=A133) * (ISNUMBER(SEARCH($E$1, IM!$AC$2:$AC$522))), 0)), "")</f>
        <v/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/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1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/>
      </c>
      <c r="T134" s="211" t="str">
        <f t="array" ref="T134">IFERROR(INDEX(IM!$AM$2:$AM$522, MATCH(1, (IM!$F$2:$F$522=A134) * (ISNUMBER(SEARCH($E$1, IM!$AC$2:$AC$522))), 0)), "")</f>
        <v/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/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1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/>
      </c>
      <c r="T135" s="211" t="str">
        <f t="array" ref="T135">IFERROR(INDEX(IM!$AM$2:$AM$522, MATCH(1, (IM!$F$2:$F$522=A135) * (ISNUMBER(SEARCH($E$1, IM!$AC$2:$AC$522))), 0)), "")</f>
        <v/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1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/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1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/>
      </c>
      <c r="T137" s="211" t="str">
        <f t="array" ref="T137">IFERROR(INDEX(IM!$AM$2:$AM$522, MATCH(1, (IM!$F$2:$F$522=A137) * (ISNUMBER(SEARCH($E$1, IM!$AC$2:$AC$522))), 0)), "")</f>
        <v/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/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1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/>
      </c>
      <c r="T138" s="211" t="str">
        <f t="array" ref="T138">IFERROR(INDEX(IM!$AM$2:$AM$522, MATCH(1, (IM!$F$2:$F$522=A138) * (ISNUMBER(SEARCH($E$1, IM!$AC$2:$AC$522))), 0)), "")</f>
        <v/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/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1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/>
      </c>
      <c r="T139" s="211" t="str">
        <f t="array" ref="T139">IFERROR(INDEX(IM!$AM$2:$AM$522, MATCH(1, (IM!$F$2:$F$522=A139) * (ISNUMBER(SEARCH($E$1, IM!$AC$2:$AC$522))), 0)), "")</f>
        <v/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1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/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1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/>
      </c>
      <c r="T141" s="211" t="str">
        <f t="array" ref="T141">IFERROR(INDEX(IM!$AM$2:$AM$522, MATCH(1, (IM!$F$2:$F$522=A141) * (ISNUMBER(SEARCH($E$1, IM!$AC$2:$AC$522))), 0)), "")</f>
        <v/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/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1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/>
      </c>
      <c r="T142" s="211" t="str">
        <f t="array" ref="T142">IFERROR(INDEX(IM!$AM$2:$AM$522, MATCH(1, (IM!$F$2:$F$522=A142) * (ISNUMBER(SEARCH($E$1, IM!$AC$2:$AC$522))), 0)), "")</f>
        <v/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/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1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/>
      </c>
      <c r="T143" s="211" t="str">
        <f t="array" ref="T143">IFERROR(INDEX(IM!$AM$2:$AM$522, MATCH(1, (IM!$F$2:$F$522=A143) * (ISNUMBER(SEARCH($E$1, IM!$AC$2:$AC$522))), 0)), "")</f>
        <v/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/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1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/>
      </c>
      <c r="T144" s="211" t="str">
        <f t="array" ref="T144">IFERROR(INDEX(IM!$AM$2:$AM$522, MATCH(1, (IM!$F$2:$F$522=A144) * (ISNUMBER(SEARCH($E$1, IM!$AC$2:$AC$522))), 0)), "")</f>
        <v/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1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1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/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1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/>
      </c>
      <c r="T147" s="211" t="str">
        <f t="array" ref="T147">IFERROR(INDEX(IM!$AM$2:$AM$522, MATCH(1, (IM!$F$2:$F$522=A147) * (ISNUMBER(SEARCH($E$1, IM!$AC$2:$AC$522))), 0)), "")</f>
        <v/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/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1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/>
      </c>
      <c r="T148" s="211" t="str">
        <f t="array" ref="T148">IFERROR(INDEX(IM!$AM$2:$AM$522, MATCH(1, (IM!$F$2:$F$522=A148) * (ISNUMBER(SEARCH($E$1, IM!$AC$2:$AC$522))), 0)), "")</f>
        <v/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/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1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/>
      </c>
      <c r="T149" s="211" t="str">
        <f t="array" ref="T149">IFERROR(INDEX(IM!$AM$2:$AM$522, MATCH(1, (IM!$F$2:$F$522=A149) * (ISNUMBER(SEARCH($E$1, IM!$AC$2:$AC$522))), 0)), "")</f>
        <v/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1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/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1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/>
      </c>
      <c r="T151" s="211" t="str">
        <f t="array" ref="T151">IFERROR(INDEX(IM!$AM$2:$AM$522, MATCH(1, (IM!$F$2:$F$522=A151) * (ISNUMBER(SEARCH($E$1, IM!$AC$2:$AC$522))), 0)), "")</f>
        <v/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/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1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/>
      </c>
      <c r="T152" s="211" t="str">
        <f t="array" ref="T152">IFERROR(INDEX(IM!$AM$2:$AM$522, MATCH(1, (IM!$F$2:$F$522=A152) * (ISNUMBER(SEARCH($E$1, IM!$AC$2:$AC$522))), 0)), "")</f>
        <v/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/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1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/>
      </c>
      <c r="T153" s="211" t="str">
        <f t="array" ref="T153">IFERROR(INDEX(IM!$AM$2:$AM$522, MATCH(1, (IM!$F$2:$F$522=A153) * (ISNUMBER(SEARCH($E$1, IM!$AC$2:$AC$522))), 0)), "")</f>
        <v/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/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1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/>
      </c>
      <c r="T154" s="211" t="str">
        <f t="array" ref="T154">IFERROR(INDEX(IM!$AM$2:$AM$522, MATCH(1, (IM!$F$2:$F$522=A154) * (ISNUMBER(SEARCH($E$1, IM!$AC$2:$AC$522))), 0)), "")</f>
        <v/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/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1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/>
      </c>
      <c r="T155" s="211" t="str">
        <f t="array" ref="T155">IFERROR(INDEX(IM!$AM$2:$AM$522, MATCH(1, (IM!$F$2:$F$522=A155) * (ISNUMBER(SEARCH($E$1, IM!$AC$2:$AC$522))), 0)), "")</f>
        <v/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1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/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1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/>
      </c>
      <c r="T157" s="211" t="str">
        <f t="array" ref="T157">IFERROR(INDEX(IM!$AM$2:$AM$522, MATCH(1, (IM!$F$2:$F$522=A157) * (ISNUMBER(SEARCH($E$1, IM!$AC$2:$AC$522))), 0)), "")</f>
        <v/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1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1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/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1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/>
      </c>
      <c r="T160" s="211" t="str">
        <f t="array" ref="T160">IFERROR(INDEX(IM!$AM$2:$AM$522, MATCH(1, (IM!$F$2:$F$522=A160) * (ISNUMBER(SEARCH($E$1, IM!$AC$2:$AC$522))), 0)), "")</f>
        <v/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/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1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/>
      </c>
      <c r="T161" s="211" t="str">
        <f t="array" ref="T161">IFERROR(INDEX(IM!$AM$2:$AM$522, MATCH(1, (IM!$F$2:$F$522=A161) * (ISNUMBER(SEARCH($E$1, IM!$AC$2:$AC$522))), 0)), "")</f>
        <v/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/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1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/>
      </c>
      <c r="T162" s="211" t="str">
        <f t="array" ref="T162">IFERROR(INDEX(IM!$AM$2:$AM$522, MATCH(1, (IM!$F$2:$F$522=A162) * (ISNUMBER(SEARCH($E$1, IM!$AC$2:$AC$522))), 0)), "")</f>
        <v/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/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1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/>
      </c>
      <c r="T163" s="211" t="str">
        <f t="array" ref="T163">IFERROR(INDEX(IM!$AM$2:$AM$522, MATCH(1, (IM!$F$2:$F$522=A163) * (ISNUMBER(SEARCH($E$1, IM!$AC$2:$AC$522))), 0)), "")</f>
        <v/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/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1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/>
      </c>
      <c r="T164" s="211" t="str">
        <f t="array" ref="T164">IFERROR(INDEX(IM!$AM$2:$AM$522, MATCH(1, (IM!$F$2:$F$522=A164) * (ISNUMBER(SEARCH($E$1, IM!$AC$2:$AC$522))), 0)), "")</f>
        <v/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/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1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/>
      </c>
      <c r="T165" s="211" t="str">
        <f t="array" ref="T165">IFERROR(INDEX(IM!$AM$2:$AM$522, MATCH(1, (IM!$F$2:$F$522=A165) * (ISNUMBER(SEARCH($E$1, IM!$AC$2:$AC$522))), 0)), "")</f>
        <v/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/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1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/>
      </c>
      <c r="T166" s="211" t="str">
        <f t="array" ref="T166">IFERROR(INDEX(IM!$AM$2:$AM$522, MATCH(1, (IM!$F$2:$F$522=A166) * (ISNUMBER(SEARCH($E$1, IM!$AC$2:$AC$522))), 0)), "")</f>
        <v/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1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1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1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1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1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1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1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1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1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1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1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1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1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1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1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1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1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1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1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1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1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1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1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1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1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1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1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1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1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1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1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1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1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1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1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1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1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1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1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1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1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1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1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1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1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1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1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1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1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1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1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1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1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1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1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1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1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1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1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1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1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1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1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1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3" type="noConversion"/>
  <conditionalFormatting sqref="A25:A34 A36:A224 A226:A227 A230 A237:A337">
    <cfRule type="expression" dxfId="486" priority="133">
      <formula>F25="撤店"</formula>
    </cfRule>
  </conditionalFormatting>
  <conditionalFormatting sqref="M338:M1048576">
    <cfRule type="expression" dxfId="485" priority="124">
      <formula>VLOOKUP(A338,#REF!,9,FALSE)="異常"</formula>
    </cfRule>
  </conditionalFormatting>
  <conditionalFormatting sqref="A225">
    <cfRule type="expression" dxfId="484" priority="121">
      <formula>F225="撤店"</formula>
    </cfRule>
  </conditionalFormatting>
  <conditionalFormatting sqref="A35">
    <cfRule type="expression" dxfId="483" priority="113">
      <formula>F35="撤店"</formula>
    </cfRule>
  </conditionalFormatting>
  <conditionalFormatting sqref="A229">
    <cfRule type="expression" dxfId="482" priority="108">
      <formula>F229="撤店"</formula>
    </cfRule>
  </conditionalFormatting>
  <conditionalFormatting sqref="A228">
    <cfRule type="expression" dxfId="481" priority="99">
      <formula>F228="撤店"</formula>
    </cfRule>
  </conditionalFormatting>
  <conditionalFormatting sqref="R25:R230 R232 R237:R337 T25:T230 T232 T237:T337 V25:V230 V232 V237:V337">
    <cfRule type="expression" dxfId="480" priority="94">
      <formula>R25&lt;&gt;G25</formula>
    </cfRule>
  </conditionalFormatting>
  <conditionalFormatting sqref="B7">
    <cfRule type="expression" dxfId="479" priority="84">
      <formula>A7&lt;&gt;B7</formula>
    </cfRule>
  </conditionalFormatting>
  <conditionalFormatting sqref="A232">
    <cfRule type="expression" dxfId="478" priority="76">
      <formula>F232="撤店"</formula>
    </cfRule>
  </conditionalFormatting>
  <conditionalFormatting sqref="B11">
    <cfRule type="expression" dxfId="477" priority="41">
      <formula>A11&lt;&gt;B11</formula>
    </cfRule>
  </conditionalFormatting>
  <conditionalFormatting sqref="B15">
    <cfRule type="expression" dxfId="476" priority="40">
      <formula>A15&lt;&gt;B15</formula>
    </cfRule>
  </conditionalFormatting>
  <conditionalFormatting sqref="R233 T233 V233">
    <cfRule type="expression" dxfId="475" priority="27">
      <formula>R233&lt;&gt;G233</formula>
    </cfRule>
  </conditionalFormatting>
  <conditionalFormatting sqref="A233">
    <cfRule type="expression" dxfId="474" priority="23">
      <formula>F233="撤店"</formula>
    </cfRule>
  </conditionalFormatting>
  <conditionalFormatting sqref="R235 T235 V235">
    <cfRule type="expression" dxfId="473" priority="20">
      <formula>R235&lt;&gt;G235</formula>
    </cfRule>
  </conditionalFormatting>
  <conditionalFormatting sqref="A235">
    <cfRule type="expression" dxfId="472" priority="16">
      <formula>F235="撤店"</formula>
    </cfRule>
  </conditionalFormatting>
  <conditionalFormatting sqref="R236 T236 V236">
    <cfRule type="expression" dxfId="471" priority="8">
      <formula>R236&lt;&gt;G236</formula>
    </cfRule>
  </conditionalFormatting>
  <conditionalFormatting sqref="A236">
    <cfRule type="expression" dxfId="470" priority="7">
      <formula>F236="撤店"</formula>
    </cfRule>
  </conditionalFormatting>
  <conditionalFormatting sqref="R234 T234 V234">
    <cfRule type="expression" dxfId="469" priority="4">
      <formula>R234&lt;&gt;G234</formula>
    </cfRule>
  </conditionalFormatting>
  <conditionalFormatting sqref="A234">
    <cfRule type="expression" dxfId="468" priority="3">
      <formula>F234="撤店"</formula>
    </cfRule>
  </conditionalFormatting>
  <conditionalFormatting sqref="R231 T231 V231">
    <cfRule type="expression" dxfId="467" priority="2">
      <formula>R231&lt;&gt;G231</formula>
    </cfRule>
  </conditionalFormatting>
  <conditionalFormatting sqref="A231">
    <cfRule type="expression" dxfId="466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T65"/>
  <sheetViews>
    <sheetView zoomScale="85" zoomScaleNormal="85" workbookViewId="0">
      <selection activeCell="C10" sqref="C10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3" width="9.69921875" style="187" customWidth="1"/>
    <col min="284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3</v>
      </c>
      <c r="J8" s="243">
        <f>COUNTIFS(IM!S:S,H8,IM!AE:AE,"O")/J6</f>
        <v>1.3333333333333333</v>
      </c>
      <c r="K8" s="243">
        <f>COUNTIFS(IM!S:S,H8,IM!AJ:AJ,"O")/K6</f>
        <v>3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5</v>
      </c>
      <c r="J9" s="243">
        <f>COUNTIFS(IM!S:S,H9,IM!AE:AE,"O")/J6</f>
        <v>1.3333333333333333</v>
      </c>
      <c r="K9" s="243">
        <f>COUNTIFS(IM!S:S,H9,IM!AJ:AJ,"O")/K6</f>
        <v>4.5</v>
      </c>
      <c r="N9" s="243"/>
    </row>
    <row r="10" spans="1:14">
      <c r="A10" s="191" t="str">
        <f>ROUND(門市主檔!B4*100,1)&amp;"%"</f>
        <v>0%</v>
      </c>
      <c r="B10" s="190">
        <f>門市主檔!B5</f>
        <v>0</v>
      </c>
      <c r="C10" s="190">
        <f>門市主檔!B6</f>
        <v>307</v>
      </c>
      <c r="D10" s="191" t="e">
        <f>COUNTIFS(
門市主檔!N25:N300,"HUB",
IM!#REF!,"&gt;="&amp;I4,
IM!#REF!,"&lt;="&amp;J4
)</f>
        <v>#REF!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28.76%</v>
      </c>
      <c r="D15" s="190">
        <f>門市主檔!B13</f>
        <v>86</v>
      </c>
      <c r="E15" s="190">
        <f>IF(A15&lt;&gt;"--",B15-D15,"")</f>
        <v>213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1:20">
      <c r="C38" s="362" t="s">
        <v>1</v>
      </c>
      <c r="D38" s="362" t="s">
        <v>2</v>
      </c>
      <c r="E38" s="362" t="s">
        <v>3</v>
      </c>
      <c r="F38" s="362" t="s">
        <v>4</v>
      </c>
      <c r="G38" s="362" t="s">
        <v>5</v>
      </c>
      <c r="H38" s="362" t="s">
        <v>6</v>
      </c>
      <c r="I38" s="362" t="s">
        <v>7</v>
      </c>
      <c r="J38" s="362" t="s">
        <v>8</v>
      </c>
      <c r="K38" s="362" t="s">
        <v>9</v>
      </c>
      <c r="L38" s="362" t="s">
        <v>10</v>
      </c>
      <c r="M38" s="362" t="s">
        <v>11</v>
      </c>
      <c r="N38" s="362" t="s">
        <v>12</v>
      </c>
      <c r="O38" s="362" t="s">
        <v>13</v>
      </c>
      <c r="P38" s="362" t="s">
        <v>14</v>
      </c>
      <c r="Q38" s="368" t="s">
        <v>15</v>
      </c>
      <c r="R38" s="368" t="s">
        <v>16</v>
      </c>
      <c r="S38" s="368" t="s">
        <v>135</v>
      </c>
      <c r="T38" s="368" t="s">
        <v>136</v>
      </c>
    </row>
    <row r="39" spans="1:20">
      <c r="C39" s="187">
        <f>COUNTIFS('0919門市清單主檔'!$V:$V,C38)</f>
        <v>1</v>
      </c>
      <c r="D39" s="187">
        <f>COUNTIFS('0919門市清單主檔'!$V:$V,D38)</f>
        <v>3</v>
      </c>
      <c r="E39" s="187">
        <f>COUNTIFS('0919門市清單主檔'!$V:$V,E38)</f>
        <v>16</v>
      </c>
      <c r="F39" s="187">
        <f>COUNTIFS('0919門市清單主檔'!$V:$V,F38)</f>
        <v>2</v>
      </c>
      <c r="G39" s="187">
        <f>COUNTIFS('0919門市清單主檔'!$V:$V,G38)</f>
        <v>8</v>
      </c>
      <c r="H39" s="187">
        <f>COUNTIFS('0919門市清單主檔'!$V:$V,H38)</f>
        <v>18</v>
      </c>
      <c r="I39" s="187">
        <f>COUNTIFS('0919門市清單主檔'!$V:$V,I38)</f>
        <v>74</v>
      </c>
      <c r="J39" s="187">
        <f>COUNTIFS('0919門市清單主檔'!$V:$V,J38)</f>
        <v>25</v>
      </c>
      <c r="K39" s="187">
        <f>COUNTIFS('0919門市清單主檔'!$V:$V,K38)</f>
        <v>33</v>
      </c>
      <c r="L39" s="187">
        <f>COUNTIFS('0919門市清單主檔'!$V:$V,L38)</f>
        <v>12</v>
      </c>
      <c r="M39" s="187">
        <f>COUNTIFS('0919門市清單主檔'!$V:$V,M38)</f>
        <v>31</v>
      </c>
      <c r="N39" s="187">
        <f>COUNTIFS('0919門市清單主檔'!$V:$V,N38)</f>
        <v>3</v>
      </c>
      <c r="O39" s="187">
        <f>COUNTIFS('0919門市清單主檔'!$V:$V,O38)</f>
        <v>13</v>
      </c>
      <c r="P39" s="187">
        <f>COUNTIFS('0919門市清單主檔'!$V:$V,P38)</f>
        <v>36</v>
      </c>
      <c r="Q39" s="187">
        <v>27</v>
      </c>
      <c r="R39" s="187">
        <v>6</v>
      </c>
      <c r="S39" s="187">
        <v>0</v>
      </c>
      <c r="T39" s="187">
        <v>0</v>
      </c>
    </row>
    <row r="40" spans="1:20">
      <c r="C40" s="187">
        <v>0</v>
      </c>
      <c r="D40" s="187">
        <v>0</v>
      </c>
      <c r="E40" s="187">
        <v>10</v>
      </c>
      <c r="F40" s="187">
        <v>3</v>
      </c>
      <c r="G40" s="187">
        <v>0</v>
      </c>
      <c r="H40" s="187">
        <v>14</v>
      </c>
      <c r="I40" s="187">
        <v>40</v>
      </c>
      <c r="J40" s="187">
        <v>7</v>
      </c>
      <c r="K40" s="187">
        <v>2</v>
      </c>
      <c r="L40" s="187">
        <v>10</v>
      </c>
      <c r="M40" s="187">
        <v>24</v>
      </c>
      <c r="N40" s="187">
        <v>6</v>
      </c>
      <c r="O40" s="187">
        <v>4</v>
      </c>
      <c r="P40" s="187">
        <v>4</v>
      </c>
      <c r="Q40" s="187">
        <v>20</v>
      </c>
      <c r="R40" s="187">
        <v>3</v>
      </c>
      <c r="S40" s="187">
        <v>15</v>
      </c>
      <c r="T40" s="187">
        <v>3</v>
      </c>
    </row>
    <row r="41" spans="1:20">
      <c r="C41" s="369">
        <f t="shared" ref="C41:T41" si="0">SUM(C39:C40)</f>
        <v>1</v>
      </c>
      <c r="D41" s="369">
        <f t="shared" si="0"/>
        <v>3</v>
      </c>
      <c r="E41" s="369">
        <f t="shared" si="0"/>
        <v>26</v>
      </c>
      <c r="F41" s="369">
        <f t="shared" si="0"/>
        <v>5</v>
      </c>
      <c r="G41" s="369">
        <f t="shared" si="0"/>
        <v>8</v>
      </c>
      <c r="H41" s="369">
        <f t="shared" si="0"/>
        <v>32</v>
      </c>
      <c r="I41" s="369">
        <f t="shared" si="0"/>
        <v>114</v>
      </c>
      <c r="J41" s="369">
        <f t="shared" si="0"/>
        <v>32</v>
      </c>
      <c r="K41" s="369">
        <f t="shared" si="0"/>
        <v>35</v>
      </c>
      <c r="L41" s="369">
        <f t="shared" si="0"/>
        <v>22</v>
      </c>
      <c r="M41" s="369">
        <f t="shared" si="0"/>
        <v>55</v>
      </c>
      <c r="N41" s="369">
        <f t="shared" si="0"/>
        <v>9</v>
      </c>
      <c r="O41" s="369">
        <f t="shared" si="0"/>
        <v>17</v>
      </c>
      <c r="P41" s="369">
        <f t="shared" si="0"/>
        <v>40</v>
      </c>
      <c r="Q41" s="369">
        <f t="shared" si="0"/>
        <v>47</v>
      </c>
      <c r="R41" s="369">
        <f t="shared" si="0"/>
        <v>9</v>
      </c>
      <c r="S41" s="369">
        <f t="shared" si="0"/>
        <v>15</v>
      </c>
      <c r="T41" s="369">
        <f t="shared" si="0"/>
        <v>3</v>
      </c>
    </row>
    <row r="43" spans="1:20">
      <c r="A43" s="390" t="s">
        <v>30</v>
      </c>
      <c r="B43" s="368" t="s">
        <v>137</v>
      </c>
      <c r="C43" s="370" t="s">
        <v>1</v>
      </c>
      <c r="D43" s="370" t="s">
        <v>2</v>
      </c>
      <c r="E43" s="370" t="s">
        <v>3</v>
      </c>
      <c r="F43" s="370" t="s">
        <v>4</v>
      </c>
      <c r="G43" s="370" t="s">
        <v>5</v>
      </c>
      <c r="H43" s="370" t="s">
        <v>6</v>
      </c>
      <c r="I43" s="370" t="s">
        <v>7</v>
      </c>
      <c r="J43" s="370" t="s">
        <v>8</v>
      </c>
      <c r="K43" s="370" t="s">
        <v>9</v>
      </c>
      <c r="L43" s="370" t="s">
        <v>10</v>
      </c>
      <c r="M43" s="370" t="s">
        <v>11</v>
      </c>
      <c r="N43" s="370" t="s">
        <v>12</v>
      </c>
      <c r="O43" s="370" t="s">
        <v>13</v>
      </c>
      <c r="P43" s="370" t="s">
        <v>14</v>
      </c>
      <c r="Q43" s="371" t="s">
        <v>15</v>
      </c>
      <c r="R43" s="371" t="s">
        <v>16</v>
      </c>
      <c r="S43" s="371" t="s">
        <v>135</v>
      </c>
      <c r="T43" s="371" t="s">
        <v>136</v>
      </c>
    </row>
    <row r="44" spans="1:20">
      <c r="A44" s="378" t="s">
        <v>123</v>
      </c>
      <c r="B44" s="384">
        <f t="shared" ref="B44:B51" si="1">SUM(C44:T44)</f>
        <v>60</v>
      </c>
      <c r="C44" s="384"/>
      <c r="D44" s="379"/>
      <c r="E44" s="379"/>
      <c r="F44" s="379"/>
      <c r="G44" s="379"/>
      <c r="H44" s="379">
        <v>18</v>
      </c>
      <c r="I44" s="379"/>
      <c r="J44" s="379"/>
      <c r="K44" s="379"/>
      <c r="L44" s="379">
        <v>12</v>
      </c>
      <c r="M44" s="379">
        <v>30</v>
      </c>
      <c r="N44" s="379"/>
      <c r="O44" s="379"/>
      <c r="P44" s="379"/>
      <c r="Q44" s="379"/>
      <c r="R44" s="379"/>
      <c r="S44" s="379"/>
      <c r="T44" s="380"/>
    </row>
    <row r="45" spans="1:20">
      <c r="A45" s="386">
        <f>SUM(B44:B45)</f>
        <v>152</v>
      </c>
      <c r="B45" s="388">
        <f t="shared" si="1"/>
        <v>92</v>
      </c>
      <c r="C45" s="381"/>
      <c r="D45" s="382"/>
      <c r="E45" s="382"/>
      <c r="F45" s="382"/>
      <c r="G45" s="382"/>
      <c r="H45" s="382">
        <v>14</v>
      </c>
      <c r="I45" s="382">
        <v>40</v>
      </c>
      <c r="J45" s="382"/>
      <c r="K45" s="382"/>
      <c r="L45" s="382">
        <v>10</v>
      </c>
      <c r="M45" s="382">
        <v>24</v>
      </c>
      <c r="N45" s="382"/>
      <c r="O45" s="382"/>
      <c r="P45" s="382">
        <v>4</v>
      </c>
      <c r="Q45" s="382"/>
      <c r="R45" s="382"/>
      <c r="S45" s="382"/>
      <c r="T45" s="383"/>
    </row>
    <row r="46" spans="1:20">
      <c r="A46" s="372" t="s">
        <v>128</v>
      </c>
      <c r="B46" s="385">
        <f t="shared" si="1"/>
        <v>117</v>
      </c>
      <c r="C46" s="385">
        <v>1</v>
      </c>
      <c r="D46" s="373">
        <v>3</v>
      </c>
      <c r="E46" s="373">
        <v>17</v>
      </c>
      <c r="F46" s="373">
        <v>2</v>
      </c>
      <c r="G46" s="373">
        <v>8</v>
      </c>
      <c r="H46" s="373"/>
      <c r="I46" s="373"/>
      <c r="J46" s="373">
        <v>31</v>
      </c>
      <c r="K46" s="373">
        <v>38</v>
      </c>
      <c r="L46" s="373"/>
      <c r="M46" s="373"/>
      <c r="N46" s="373">
        <v>3</v>
      </c>
      <c r="O46" s="373">
        <v>14</v>
      </c>
      <c r="P46" s="373"/>
      <c r="Q46" s="373"/>
      <c r="R46" s="373"/>
      <c r="S46" s="373"/>
      <c r="T46" s="374"/>
    </row>
    <row r="47" spans="1:20">
      <c r="A47" s="387">
        <f>SUM(B46:B47)</f>
        <v>149</v>
      </c>
      <c r="B47" s="389">
        <f t="shared" si="1"/>
        <v>32</v>
      </c>
      <c r="C47" s="375">
        <v>0</v>
      </c>
      <c r="D47" s="376">
        <v>0</v>
      </c>
      <c r="E47" s="376">
        <v>10</v>
      </c>
      <c r="F47" s="376">
        <v>3</v>
      </c>
      <c r="G47" s="376">
        <v>0</v>
      </c>
      <c r="H47" s="376"/>
      <c r="I47" s="376"/>
      <c r="J47" s="376">
        <v>7</v>
      </c>
      <c r="K47" s="376">
        <v>2</v>
      </c>
      <c r="L47" s="376"/>
      <c r="M47" s="376"/>
      <c r="N47" s="376">
        <v>6</v>
      </c>
      <c r="O47" s="376">
        <v>4</v>
      </c>
      <c r="P47" s="376"/>
      <c r="Q47" s="376"/>
      <c r="R47" s="376"/>
      <c r="S47" s="376"/>
      <c r="T47" s="377"/>
    </row>
    <row r="48" spans="1:20">
      <c r="A48" s="378" t="s">
        <v>138</v>
      </c>
      <c r="B48" s="384">
        <f t="shared" si="1"/>
        <v>107</v>
      </c>
      <c r="C48" s="384"/>
      <c r="D48" s="379"/>
      <c r="E48" s="379"/>
      <c r="F48" s="379"/>
      <c r="G48" s="379"/>
      <c r="H48" s="379"/>
      <c r="I48" s="379">
        <v>74</v>
      </c>
      <c r="J48" s="379"/>
      <c r="K48" s="379"/>
      <c r="L48" s="379"/>
      <c r="M48" s="379"/>
      <c r="N48" s="379"/>
      <c r="O48" s="379"/>
      <c r="P48" s="379"/>
      <c r="Q48" s="379">
        <v>27</v>
      </c>
      <c r="R48" s="379">
        <v>6</v>
      </c>
      <c r="S48" s="379"/>
      <c r="T48" s="380"/>
    </row>
    <row r="49" spans="1:20">
      <c r="A49" s="382">
        <f>SUM(B48:B49)</f>
        <v>148</v>
      </c>
      <c r="B49" s="388">
        <f t="shared" si="1"/>
        <v>41</v>
      </c>
      <c r="C49" s="381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>
        <v>20</v>
      </c>
      <c r="R49" s="382">
        <v>3</v>
      </c>
      <c r="S49" s="382">
        <v>15</v>
      </c>
      <c r="T49" s="383">
        <v>3</v>
      </c>
    </row>
    <row r="50" spans="1:20">
      <c r="A50" s="372" t="s">
        <v>139</v>
      </c>
      <c r="B50" s="385">
        <f t="shared" si="1"/>
        <v>36</v>
      </c>
      <c r="C50" s="385"/>
      <c r="D50" s="373"/>
      <c r="E50" s="373"/>
      <c r="F50" s="373"/>
      <c r="G50" s="373"/>
      <c r="H50" s="373"/>
      <c r="I50" s="373"/>
      <c r="J50" s="373"/>
      <c r="K50" s="373"/>
      <c r="L50" s="373"/>
      <c r="M50" s="373"/>
      <c r="N50" s="373"/>
      <c r="O50" s="373"/>
      <c r="P50" s="373">
        <v>36</v>
      </c>
      <c r="Q50" s="373"/>
      <c r="R50" s="373"/>
      <c r="S50" s="373"/>
      <c r="T50" s="374"/>
    </row>
    <row r="51" spans="1:20">
      <c r="A51" s="376">
        <f>SUM(C50:T51)</f>
        <v>36</v>
      </c>
      <c r="B51" s="375">
        <f t="shared" si="1"/>
        <v>0</v>
      </c>
      <c r="C51" s="375"/>
      <c r="D51" s="376"/>
      <c r="E51" s="376"/>
      <c r="F51" s="376"/>
      <c r="G51" s="376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7"/>
    </row>
    <row r="55" spans="1:20">
      <c r="A55" s="416" t="s">
        <v>30</v>
      </c>
      <c r="B55" s="425" t="s">
        <v>140</v>
      </c>
      <c r="C55" s="425" t="s">
        <v>121</v>
      </c>
      <c r="D55" s="362" t="s">
        <v>6</v>
      </c>
      <c r="E55" s="362" t="s">
        <v>7</v>
      </c>
      <c r="F55" s="362" t="s">
        <v>10</v>
      </c>
      <c r="G55" s="362" t="s">
        <v>11</v>
      </c>
      <c r="H55" s="414"/>
      <c r="I55" s="414"/>
      <c r="J55" s="414"/>
      <c r="K55" s="414"/>
      <c r="L55" s="414"/>
      <c r="M55" s="414"/>
      <c r="N55" s="414"/>
      <c r="O55" s="414"/>
      <c r="P55" s="414"/>
      <c r="Q55" s="415"/>
      <c r="R55" s="415"/>
      <c r="S55" s="415"/>
      <c r="T55" s="415"/>
    </row>
    <row r="56" spans="1:20">
      <c r="A56" s="417" t="s">
        <v>123</v>
      </c>
      <c r="B56" s="418" t="s">
        <v>141</v>
      </c>
      <c r="C56" s="384">
        <f>SUM(D56:L56)</f>
        <v>60</v>
      </c>
      <c r="D56" s="384">
        <v>18</v>
      </c>
      <c r="E56" s="379">
        <v>0</v>
      </c>
      <c r="F56" s="379">
        <v>12</v>
      </c>
      <c r="G56" s="380">
        <v>30</v>
      </c>
      <c r="H56" s="414"/>
      <c r="I56" s="414"/>
      <c r="J56" s="414"/>
      <c r="K56" s="414"/>
      <c r="L56" s="414"/>
    </row>
    <row r="57" spans="1:20">
      <c r="A57" s="419">
        <f>C56+C57</f>
        <v>148</v>
      </c>
      <c r="B57" s="420" t="s">
        <v>119</v>
      </c>
      <c r="C57" s="381">
        <f>SUM(D57:L57)</f>
        <v>88</v>
      </c>
      <c r="D57" s="381">
        <v>14</v>
      </c>
      <c r="E57" s="382">
        <v>40</v>
      </c>
      <c r="F57" s="382">
        <v>10</v>
      </c>
      <c r="G57" s="383">
        <v>24</v>
      </c>
      <c r="H57" s="414"/>
      <c r="I57" s="414"/>
      <c r="J57" s="414"/>
      <c r="K57" s="414"/>
      <c r="L57" s="414"/>
    </row>
    <row r="58" spans="1:20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</row>
    <row r="59" spans="1:20">
      <c r="A59" s="416" t="s">
        <v>30</v>
      </c>
      <c r="B59" s="425" t="s">
        <v>140</v>
      </c>
      <c r="C59" s="416" t="s">
        <v>121</v>
      </c>
      <c r="D59" s="362" t="s">
        <v>1</v>
      </c>
      <c r="E59" s="362" t="s">
        <v>2</v>
      </c>
      <c r="F59" s="362" t="s">
        <v>3</v>
      </c>
      <c r="G59" s="362" t="s">
        <v>4</v>
      </c>
      <c r="H59" s="362" t="s">
        <v>5</v>
      </c>
      <c r="I59" s="362" t="s">
        <v>8</v>
      </c>
      <c r="J59" s="362" t="s">
        <v>9</v>
      </c>
      <c r="K59" s="362" t="s">
        <v>12</v>
      </c>
      <c r="L59" s="362" t="s">
        <v>13</v>
      </c>
      <c r="M59" s="414"/>
      <c r="N59" s="414"/>
      <c r="O59" s="414"/>
      <c r="P59" s="414"/>
      <c r="Q59" s="415"/>
      <c r="R59" s="415"/>
      <c r="S59" s="415"/>
      <c r="T59" s="415"/>
    </row>
    <row r="60" spans="1:20">
      <c r="A60" s="421" t="s">
        <v>128</v>
      </c>
      <c r="B60" s="422" t="s">
        <v>141</v>
      </c>
      <c r="C60" s="426">
        <f>SUM(D60:L60)</f>
        <v>117</v>
      </c>
      <c r="D60" s="385">
        <v>1</v>
      </c>
      <c r="E60" s="373">
        <v>3</v>
      </c>
      <c r="F60" s="373">
        <v>17</v>
      </c>
      <c r="G60" s="373">
        <v>2</v>
      </c>
      <c r="H60" s="373">
        <v>8</v>
      </c>
      <c r="I60" s="373">
        <v>31</v>
      </c>
      <c r="J60" s="373">
        <v>38</v>
      </c>
      <c r="K60" s="373">
        <v>3</v>
      </c>
      <c r="L60" s="374">
        <v>14</v>
      </c>
    </row>
    <row r="61" spans="1:20">
      <c r="A61" s="423">
        <f>C60+C61</f>
        <v>149</v>
      </c>
      <c r="B61" s="424" t="s">
        <v>119</v>
      </c>
      <c r="C61" s="427">
        <f>SUM(D61:L61)</f>
        <v>32</v>
      </c>
      <c r="D61" s="375">
        <v>0</v>
      </c>
      <c r="E61" s="376">
        <v>0</v>
      </c>
      <c r="F61" s="376">
        <v>10</v>
      </c>
      <c r="G61" s="376">
        <v>3</v>
      </c>
      <c r="H61" s="376">
        <v>0</v>
      </c>
      <c r="I61" s="376">
        <v>7</v>
      </c>
      <c r="J61" s="376">
        <v>2</v>
      </c>
      <c r="K61" s="376">
        <v>6</v>
      </c>
      <c r="L61" s="377">
        <v>4</v>
      </c>
    </row>
    <row r="62" spans="1:20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</row>
    <row r="63" spans="1:20">
      <c r="A63" s="416" t="s">
        <v>30</v>
      </c>
      <c r="B63" s="425" t="s">
        <v>140</v>
      </c>
      <c r="C63" s="416" t="s">
        <v>121</v>
      </c>
      <c r="D63" s="368" t="s">
        <v>15</v>
      </c>
      <c r="E63" s="368" t="s">
        <v>16</v>
      </c>
      <c r="F63" s="368" t="s">
        <v>135</v>
      </c>
      <c r="G63" s="368" t="s">
        <v>136</v>
      </c>
      <c r="H63" s="362" t="s">
        <v>7</v>
      </c>
      <c r="I63" s="414"/>
      <c r="J63" s="414"/>
      <c r="K63" s="414"/>
      <c r="L63" s="414"/>
      <c r="M63" s="414"/>
      <c r="N63" s="414"/>
      <c r="O63" s="414"/>
      <c r="P63" s="414"/>
    </row>
    <row r="64" spans="1:20">
      <c r="A64" s="417" t="s">
        <v>138</v>
      </c>
      <c r="B64" s="418" t="s">
        <v>141</v>
      </c>
      <c r="C64" s="428">
        <f>SUM(D64:L64)</f>
        <v>107</v>
      </c>
      <c r="D64" s="384">
        <v>27</v>
      </c>
      <c r="E64" s="379">
        <v>6</v>
      </c>
      <c r="F64" s="379">
        <v>0</v>
      </c>
      <c r="G64" s="379">
        <v>0</v>
      </c>
      <c r="H64" s="380">
        <v>74</v>
      </c>
      <c r="I64" s="414"/>
      <c r="J64" s="414"/>
      <c r="K64" s="414"/>
      <c r="L64" s="414"/>
    </row>
    <row r="65" spans="1:12">
      <c r="A65" s="419">
        <f>C64+C65</f>
        <v>148</v>
      </c>
      <c r="B65" s="420" t="s">
        <v>119</v>
      </c>
      <c r="C65" s="429">
        <f>SUM(D65:L65)</f>
        <v>41</v>
      </c>
      <c r="D65" s="381">
        <v>20</v>
      </c>
      <c r="E65" s="382">
        <v>3</v>
      </c>
      <c r="F65" s="382">
        <v>15</v>
      </c>
      <c r="G65" s="382">
        <v>3</v>
      </c>
      <c r="H65" s="383"/>
      <c r="I65" s="414"/>
      <c r="J65" s="414"/>
      <c r="K65" s="414"/>
      <c r="L65" s="414"/>
    </row>
  </sheetData>
  <phoneticPr fontId="43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I86"/>
  <sheetViews>
    <sheetView workbookViewId="0">
      <pane ySplit="1" topLeftCell="A2" activePane="bottomLeft" state="frozen"/>
      <selection pane="bottomLeft" activeCell="C12" sqref="C12"/>
    </sheetView>
  </sheetViews>
  <sheetFormatPr defaultRowHeight="15.6"/>
  <cols>
    <col min="1" max="1" width="12.796875" style="290" bestFit="1" customWidth="1"/>
    <col min="2" max="2" width="39.3984375" style="102" bestFit="1" customWidth="1"/>
    <col min="3" max="3" width="14.59765625" style="102" bestFit="1" customWidth="1"/>
    <col min="4" max="4" width="6.19921875" style="102" bestFit="1" customWidth="1"/>
    <col min="5" max="5" width="16.09765625" style="102" bestFit="1" customWidth="1"/>
    <col min="6" max="6" width="31.59765625" style="102" bestFit="1" customWidth="1"/>
    <col min="7" max="7" width="8.5" style="294" bestFit="1" customWidth="1"/>
    <col min="8" max="8" width="6.5" style="102" customWidth="1"/>
    <col min="9" max="9" width="9.3984375" style="77" bestFit="1" customWidth="1"/>
  </cols>
  <sheetData>
    <row r="1" spans="1:9" ht="23.4" customHeight="1">
      <c r="A1" s="291" t="s">
        <v>142</v>
      </c>
      <c r="B1" s="292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3" t="s">
        <v>148</v>
      </c>
      <c r="H1" s="292" t="s">
        <v>149</v>
      </c>
      <c r="I1" s="292" t="s">
        <v>150</v>
      </c>
    </row>
    <row r="2" spans="1:9">
      <c r="A2" s="323">
        <v>46058</v>
      </c>
      <c r="B2" s="433" t="str">
        <f t="shared" ref="B2:B33" si="0">D2&amp;IF(AND(E2&lt;&gt;"",D2&lt;&gt;""),$H$1,"")&amp;E2&amp;$H$1&amp;F2&amp;IF(AND(G2&lt;&gt;"",F2&lt;&gt;""),$H$1,"")&amp;G2</f>
        <v>2109_新莊瓊林南_回裝_11:00</v>
      </c>
      <c r="C2" s="433" t="s">
        <v>123</v>
      </c>
      <c r="D2" s="433">
        <v>2109</v>
      </c>
      <c r="E2" s="433" t="s">
        <v>151</v>
      </c>
      <c r="F2" s="433" t="s">
        <v>152</v>
      </c>
      <c r="G2" s="434" t="s">
        <v>153</v>
      </c>
      <c r="H2" s="433"/>
      <c r="I2" s="303"/>
    </row>
    <row r="3" spans="1:9">
      <c r="A3" s="323">
        <v>46041</v>
      </c>
      <c r="B3" s="433" t="str">
        <f t="shared" si="0"/>
        <v>2222_三重義天店_回裝_11:00</v>
      </c>
      <c r="C3" s="433" t="s">
        <v>138</v>
      </c>
      <c r="D3" s="433">
        <v>2222</v>
      </c>
      <c r="E3" s="433" t="s">
        <v>154</v>
      </c>
      <c r="F3" s="433" t="s">
        <v>152</v>
      </c>
      <c r="G3" s="434" t="s">
        <v>153</v>
      </c>
      <c r="H3" s="433"/>
      <c r="I3" s="303"/>
    </row>
    <row r="4" spans="1:9">
      <c r="A4" s="323">
        <v>46038</v>
      </c>
      <c r="B4" s="433" t="str">
        <f t="shared" si="0"/>
        <v>D148_新莊福營店_閉店_10:00</v>
      </c>
      <c r="C4" s="433" t="s">
        <v>123</v>
      </c>
      <c r="D4" s="433" t="s">
        <v>58</v>
      </c>
      <c r="E4" s="433" t="s">
        <v>155</v>
      </c>
      <c r="F4" s="433" t="s">
        <v>156</v>
      </c>
      <c r="G4" s="434" t="s">
        <v>157</v>
      </c>
      <c r="H4" s="433"/>
      <c r="I4" s="303"/>
    </row>
    <row r="5" spans="1:9">
      <c r="A5" s="323">
        <v>46037</v>
      </c>
      <c r="B5" s="433" t="str">
        <f t="shared" si="0"/>
        <v>5491_三重向日葵_新開_11:00</v>
      </c>
      <c r="C5" s="433" t="s">
        <v>138</v>
      </c>
      <c r="D5" s="433">
        <v>5491</v>
      </c>
      <c r="E5" s="433" t="s">
        <v>158</v>
      </c>
      <c r="F5" s="433" t="s">
        <v>24</v>
      </c>
      <c r="G5" s="434" t="s">
        <v>153</v>
      </c>
      <c r="H5" s="433"/>
      <c r="I5" s="303"/>
    </row>
    <row r="6" spans="1:9">
      <c r="A6" s="323">
        <v>46037</v>
      </c>
      <c r="B6" s="433" t="str">
        <f t="shared" si="0"/>
        <v>3627_三重重新橋_回裝_11:00</v>
      </c>
      <c r="C6" s="433" t="s">
        <v>123</v>
      </c>
      <c r="D6" s="433">
        <v>3627</v>
      </c>
      <c r="E6" s="433" t="s">
        <v>159</v>
      </c>
      <c r="F6" s="433" t="s">
        <v>152</v>
      </c>
      <c r="G6" s="434" t="s">
        <v>153</v>
      </c>
      <c r="H6" s="433"/>
      <c r="I6" s="303"/>
    </row>
    <row r="7" spans="1:9">
      <c r="A7" s="323">
        <v>46035</v>
      </c>
      <c r="B7" s="433" t="str">
        <f t="shared" si="0"/>
        <v>4511_淡水屯山店_閉店_10:00</v>
      </c>
      <c r="C7" s="433" t="s">
        <v>128</v>
      </c>
      <c r="D7" s="433">
        <v>4511</v>
      </c>
      <c r="E7" s="433" t="s">
        <v>160</v>
      </c>
      <c r="F7" s="433" t="s">
        <v>156</v>
      </c>
      <c r="G7" s="434" t="s">
        <v>157</v>
      </c>
      <c r="H7" s="433"/>
      <c r="I7" s="303"/>
    </row>
    <row r="8" spans="1:9">
      <c r="A8" s="323">
        <v>46033</v>
      </c>
      <c r="B8" s="433" t="str">
        <f t="shared" si="0"/>
        <v>5574_桃縣桃高二店_撤機_18:00</v>
      </c>
      <c r="C8" s="433" t="s">
        <v>128</v>
      </c>
      <c r="D8" s="433">
        <v>5574</v>
      </c>
      <c r="E8" s="433" t="s">
        <v>161</v>
      </c>
      <c r="F8" s="433" t="s">
        <v>162</v>
      </c>
      <c r="G8" s="434" t="s">
        <v>163</v>
      </c>
      <c r="H8" s="433"/>
      <c r="I8" s="303"/>
    </row>
    <row r="9" spans="1:9">
      <c r="A9" s="323">
        <v>46031</v>
      </c>
      <c r="B9" s="433" t="str">
        <f t="shared" si="0"/>
        <v>5574_桃縣桃高二店_借機_14:00</v>
      </c>
      <c r="C9" s="433" t="s">
        <v>128</v>
      </c>
      <c r="D9" s="433">
        <v>5574</v>
      </c>
      <c r="E9" s="433" t="s">
        <v>161</v>
      </c>
      <c r="F9" s="433" t="s">
        <v>164</v>
      </c>
      <c r="G9" s="434" t="s">
        <v>165</v>
      </c>
      <c r="H9" s="433"/>
      <c r="I9" s="303"/>
    </row>
    <row r="10" spans="1:9">
      <c r="A10" s="323">
        <v>46030</v>
      </c>
      <c r="B10" s="433" t="str">
        <f t="shared" si="0"/>
        <v>2109_新莊瓊林南_裝潢撤店_15:00</v>
      </c>
      <c r="C10" s="433" t="s">
        <v>123</v>
      </c>
      <c r="D10" s="433">
        <v>2109</v>
      </c>
      <c r="E10" s="433" t="s">
        <v>151</v>
      </c>
      <c r="F10" s="433" t="s">
        <v>166</v>
      </c>
      <c r="G10" s="434" t="s">
        <v>167</v>
      </c>
      <c r="H10" s="433"/>
      <c r="I10" s="303"/>
    </row>
    <row r="11" spans="1:9">
      <c r="A11" s="435"/>
      <c r="B11" s="436" t="str">
        <f t="shared" si="0"/>
        <v>3623_三重自強店_回裝_11:00</v>
      </c>
      <c r="C11" s="436" t="s">
        <v>128</v>
      </c>
      <c r="D11" s="436">
        <v>3623</v>
      </c>
      <c r="E11" s="436" t="s">
        <v>168</v>
      </c>
      <c r="F11" s="436" t="s">
        <v>152</v>
      </c>
      <c r="G11" s="438" t="s">
        <v>153</v>
      </c>
      <c r="H11" s="433"/>
      <c r="I11" s="367"/>
    </row>
    <row r="12" spans="1:9">
      <c r="A12" s="435">
        <v>46027</v>
      </c>
      <c r="B12" s="433" t="str">
        <f t="shared" si="0"/>
        <v>5513_新莊A3站_新開_11:00</v>
      </c>
      <c r="C12" s="433" t="s">
        <v>123</v>
      </c>
      <c r="D12" s="433">
        <v>5513</v>
      </c>
      <c r="E12" s="433" t="s">
        <v>89</v>
      </c>
      <c r="F12" s="433" t="s">
        <v>24</v>
      </c>
      <c r="G12" s="434" t="s">
        <v>153</v>
      </c>
      <c r="H12" s="433"/>
      <c r="I12" s="367"/>
    </row>
    <row r="13" spans="1:9">
      <c r="A13" s="435">
        <v>46027</v>
      </c>
      <c r="B13" s="433" t="str">
        <f t="shared" si="0"/>
        <v>5496_板橋市民廣場_TM3撤機_11:00</v>
      </c>
      <c r="C13" s="433" t="s">
        <v>139</v>
      </c>
      <c r="D13" s="433">
        <v>5496</v>
      </c>
      <c r="E13" s="433" t="s">
        <v>169</v>
      </c>
      <c r="F13" s="433" t="s">
        <v>170</v>
      </c>
      <c r="G13" s="434" t="s">
        <v>153</v>
      </c>
      <c r="H13" s="433"/>
      <c r="I13" s="367"/>
    </row>
    <row r="14" spans="1:9">
      <c r="A14" s="323">
        <v>46024</v>
      </c>
      <c r="B14" s="433" t="str">
        <f t="shared" si="0"/>
        <v>5155_淡水魚市二_借機撤機_11:00</v>
      </c>
      <c r="C14" s="433" t="s">
        <v>128</v>
      </c>
      <c r="D14" s="433">
        <v>5155</v>
      </c>
      <c r="E14" s="433" t="s">
        <v>171</v>
      </c>
      <c r="F14" s="433" t="s">
        <v>172</v>
      </c>
      <c r="G14" s="434" t="s">
        <v>153</v>
      </c>
      <c r="H14" s="433"/>
      <c r="I14" s="367"/>
    </row>
    <row r="15" spans="1:9">
      <c r="A15" s="323">
        <v>46021</v>
      </c>
      <c r="B15" s="433" t="str">
        <f t="shared" si="0"/>
        <v>5155_淡水魚市二_借機_09:00</v>
      </c>
      <c r="C15" s="433" t="s">
        <v>128</v>
      </c>
      <c r="D15" s="433">
        <v>5155</v>
      </c>
      <c r="E15" s="433" t="s">
        <v>171</v>
      </c>
      <c r="F15" s="433" t="s">
        <v>164</v>
      </c>
      <c r="G15" s="434" t="s">
        <v>173</v>
      </c>
      <c r="H15" s="433"/>
      <c r="I15" s="367"/>
    </row>
    <row r="16" spans="1:9">
      <c r="A16" s="323">
        <v>46020</v>
      </c>
      <c r="B16" s="433" t="str">
        <f t="shared" si="0"/>
        <v>3052_北縣莊玲店_回裝_11:00</v>
      </c>
      <c r="C16" s="433" t="s">
        <v>123</v>
      </c>
      <c r="D16" s="433">
        <v>3052</v>
      </c>
      <c r="E16" s="433" t="s">
        <v>174</v>
      </c>
      <c r="F16" s="433" t="s">
        <v>152</v>
      </c>
      <c r="G16" s="434" t="s">
        <v>153</v>
      </c>
      <c r="H16" s="433"/>
      <c r="I16" s="367"/>
    </row>
    <row r="17" spans="1:9">
      <c r="A17" s="323">
        <v>46014</v>
      </c>
      <c r="B17" s="433" t="str">
        <f t="shared" si="0"/>
        <v>4196_三重蝶愛店_回裝_11:00</v>
      </c>
      <c r="C17" s="433" t="s">
        <v>128</v>
      </c>
      <c r="D17" s="433">
        <v>4196</v>
      </c>
      <c r="E17" s="433" t="s">
        <v>175</v>
      </c>
      <c r="F17" s="433" t="s">
        <v>152</v>
      </c>
      <c r="G17" s="434" t="s">
        <v>153</v>
      </c>
      <c r="H17" s="433"/>
      <c r="I17" s="367"/>
    </row>
    <row r="18" spans="1:9">
      <c r="A18" s="323">
        <v>46014</v>
      </c>
      <c r="B18" s="436" t="str">
        <f t="shared" si="0"/>
        <v>5451_板橋懷仁店_新開_15:00</v>
      </c>
      <c r="C18" s="433" t="s">
        <v>139</v>
      </c>
      <c r="D18" s="433">
        <v>5451</v>
      </c>
      <c r="E18" s="433" t="s">
        <v>176</v>
      </c>
      <c r="F18" s="433" t="s">
        <v>24</v>
      </c>
      <c r="G18" s="434" t="s">
        <v>167</v>
      </c>
      <c r="H18" s="433"/>
      <c r="I18" s="295"/>
    </row>
    <row r="19" spans="1:9">
      <c r="A19" s="323">
        <v>46008</v>
      </c>
      <c r="B19" s="433" t="str">
        <f t="shared" si="0"/>
        <v>3627_三重重新橋_裝潢撤店_15:00</v>
      </c>
      <c r="C19" s="433" t="s">
        <v>128</v>
      </c>
      <c r="D19" s="433">
        <v>3627</v>
      </c>
      <c r="E19" s="433" t="s">
        <v>159</v>
      </c>
      <c r="F19" s="433" t="s">
        <v>166</v>
      </c>
      <c r="G19" s="434" t="s">
        <v>167</v>
      </c>
      <c r="H19" s="433"/>
      <c r="I19" s="303"/>
    </row>
    <row r="20" spans="1:9">
      <c r="A20" s="323">
        <v>46006</v>
      </c>
      <c r="B20" s="433" t="str">
        <f t="shared" si="0"/>
        <v>2222_三重義天店_裝潢撤店_15:00</v>
      </c>
      <c r="C20" s="433" t="s">
        <v>128</v>
      </c>
      <c r="D20" s="433">
        <v>2222</v>
      </c>
      <c r="E20" s="433" t="s">
        <v>154</v>
      </c>
      <c r="F20" s="433" t="s">
        <v>166</v>
      </c>
      <c r="G20" s="434" t="s">
        <v>167</v>
      </c>
      <c r="H20" s="433"/>
      <c r="I20" s="303"/>
    </row>
    <row r="21" spans="1:9">
      <c r="A21" s="323">
        <v>46006</v>
      </c>
      <c r="B21" s="433" t="str">
        <f t="shared" si="0"/>
        <v>5430_蘆洲河上洲_新開_11:00</v>
      </c>
      <c r="C21" s="433" t="s">
        <v>123</v>
      </c>
      <c r="D21" s="433">
        <v>5430</v>
      </c>
      <c r="E21" s="433" t="s">
        <v>177</v>
      </c>
      <c r="F21" s="433" t="s">
        <v>24</v>
      </c>
      <c r="G21" s="434" t="s">
        <v>153</v>
      </c>
      <c r="H21" s="433"/>
      <c r="I21" s="303"/>
    </row>
    <row r="22" spans="1:9">
      <c r="A22" s="435">
        <v>46003</v>
      </c>
      <c r="B22" s="433" t="str">
        <f t="shared" si="0"/>
        <v>4154_林口麗園店_閉店_10:00</v>
      </c>
      <c r="C22" s="433" t="s">
        <v>123</v>
      </c>
      <c r="D22" s="433">
        <v>4154</v>
      </c>
      <c r="E22" s="433" t="s">
        <v>178</v>
      </c>
      <c r="F22" s="433" t="s">
        <v>156</v>
      </c>
      <c r="G22" s="434" t="s">
        <v>157</v>
      </c>
      <c r="H22" s="433"/>
      <c r="I22" s="367"/>
    </row>
    <row r="23" spans="1:9">
      <c r="A23" s="323">
        <v>46002</v>
      </c>
      <c r="B23" s="433" t="str">
        <f t="shared" si="0"/>
        <v>湯(特)_ALL</v>
      </c>
      <c r="C23" s="433" t="s">
        <v>123</v>
      </c>
      <c r="D23" s="433"/>
      <c r="E23" s="433" t="s">
        <v>179</v>
      </c>
      <c r="F23" s="433"/>
      <c r="G23" s="434" t="s">
        <v>180</v>
      </c>
      <c r="H23" s="433"/>
      <c r="I23" s="303"/>
    </row>
    <row r="24" spans="1:9">
      <c r="A24" s="323">
        <v>46001</v>
      </c>
      <c r="B24" s="433" t="str">
        <f t="shared" si="0"/>
        <v>湯(特)_ALL</v>
      </c>
      <c r="C24" s="433" t="s">
        <v>123</v>
      </c>
      <c r="D24" s="433"/>
      <c r="E24" s="433" t="s">
        <v>179</v>
      </c>
      <c r="F24" s="433"/>
      <c r="G24" s="434" t="s">
        <v>180</v>
      </c>
      <c r="H24" s="433"/>
      <c r="I24" s="303"/>
    </row>
    <row r="25" spans="1:9">
      <c r="A25" s="323">
        <v>46000</v>
      </c>
      <c r="B25" s="433" t="str">
        <f t="shared" si="0"/>
        <v>湯(特)_ALL</v>
      </c>
      <c r="C25" s="433" t="s">
        <v>123</v>
      </c>
      <c r="D25" s="433"/>
      <c r="E25" s="433" t="s">
        <v>179</v>
      </c>
      <c r="F25" s="433"/>
      <c r="G25" s="434" t="s">
        <v>180</v>
      </c>
      <c r="H25" s="433"/>
      <c r="I25" s="303"/>
    </row>
    <row r="26" spans="1:9">
      <c r="A26" s="323">
        <v>45999</v>
      </c>
      <c r="B26" s="433" t="str">
        <f t="shared" si="0"/>
        <v>湯(特)_ALL</v>
      </c>
      <c r="C26" s="433" t="s">
        <v>123</v>
      </c>
      <c r="D26" s="433"/>
      <c r="E26" s="433" t="s">
        <v>179</v>
      </c>
      <c r="F26" s="433"/>
      <c r="G26" s="434" t="s">
        <v>180</v>
      </c>
      <c r="H26" s="433"/>
      <c r="I26" s="303"/>
    </row>
    <row r="27" spans="1:9">
      <c r="A27" s="323">
        <v>45998</v>
      </c>
      <c r="B27" s="433" t="str">
        <f t="shared" si="0"/>
        <v>湯(特)_ALL</v>
      </c>
      <c r="C27" s="433" t="s">
        <v>123</v>
      </c>
      <c r="D27" s="433"/>
      <c r="E27" s="433" t="s">
        <v>179</v>
      </c>
      <c r="F27" s="433"/>
      <c r="G27" s="434" t="s">
        <v>180</v>
      </c>
      <c r="H27" s="433"/>
      <c r="I27" s="303"/>
    </row>
    <row r="28" spans="1:9">
      <c r="A28" s="437">
        <v>45995</v>
      </c>
      <c r="B28" s="433" t="str">
        <f t="shared" si="0"/>
        <v>4083_三重中央南_回裝+攜帶壁掛架 AW400_11:00</v>
      </c>
      <c r="C28" s="433" t="s">
        <v>181</v>
      </c>
      <c r="D28" s="433">
        <v>4083</v>
      </c>
      <c r="E28" s="433" t="s">
        <v>182</v>
      </c>
      <c r="F28" s="433" t="s">
        <v>183</v>
      </c>
      <c r="G28" s="434" t="s">
        <v>153</v>
      </c>
      <c r="H28" s="433"/>
      <c r="I28" s="303" t="s">
        <v>181</v>
      </c>
    </row>
    <row r="29" spans="1:9">
      <c r="A29" s="323">
        <v>45993</v>
      </c>
      <c r="B29" s="433" t="str">
        <f t="shared" si="0"/>
        <v>湯(特)_ALL</v>
      </c>
      <c r="C29" s="433" t="s">
        <v>123</v>
      </c>
      <c r="D29" s="433"/>
      <c r="E29" s="433" t="s">
        <v>179</v>
      </c>
      <c r="F29" s="433"/>
      <c r="G29" s="434" t="s">
        <v>180</v>
      </c>
      <c r="H29" s="433"/>
      <c r="I29" s="303"/>
    </row>
    <row r="30" spans="1:9">
      <c r="A30" s="437">
        <v>45993</v>
      </c>
      <c r="B30" s="433" t="str">
        <f t="shared" si="0"/>
        <v>5410_三重力行店_新開_11:00</v>
      </c>
      <c r="C30" s="433" t="s">
        <v>128</v>
      </c>
      <c r="D30" s="433">
        <v>5410</v>
      </c>
      <c r="E30" s="433" t="s">
        <v>184</v>
      </c>
      <c r="F30" s="433" t="s">
        <v>24</v>
      </c>
      <c r="G30" s="434" t="s">
        <v>153</v>
      </c>
      <c r="H30" s="433"/>
      <c r="I30" s="303"/>
    </row>
    <row r="31" spans="1:9">
      <c r="A31" s="435">
        <v>45989</v>
      </c>
      <c r="B31" s="433" t="str">
        <f t="shared" si="0"/>
        <v>3362_三重安慶店_閉店_15:00</v>
      </c>
      <c r="C31" s="433" t="s">
        <v>128</v>
      </c>
      <c r="D31" s="433">
        <v>3362</v>
      </c>
      <c r="E31" s="433" t="s">
        <v>185</v>
      </c>
      <c r="F31" s="433" t="s">
        <v>156</v>
      </c>
      <c r="G31" s="434" t="s">
        <v>167</v>
      </c>
      <c r="H31" s="433"/>
      <c r="I31" s="367"/>
    </row>
    <row r="32" spans="1:9">
      <c r="A32" s="435">
        <v>45986</v>
      </c>
      <c r="B32" s="433" t="str">
        <f t="shared" si="0"/>
        <v>3052_北縣莊玲店_裝潢撤店_15:00</v>
      </c>
      <c r="C32" s="433" t="s">
        <v>123</v>
      </c>
      <c r="D32" s="433">
        <v>3052</v>
      </c>
      <c r="E32" s="433" t="s">
        <v>174</v>
      </c>
      <c r="F32" s="433" t="s">
        <v>166</v>
      </c>
      <c r="G32" s="434" t="s">
        <v>167</v>
      </c>
      <c r="H32" s="433"/>
      <c r="I32" s="367"/>
    </row>
    <row r="33" spans="1:9">
      <c r="A33" s="435">
        <v>45985</v>
      </c>
      <c r="B33" s="433" t="str">
        <f t="shared" si="0"/>
        <v>3623_三重自強店_裝潢撤店_15:00</v>
      </c>
      <c r="C33" s="433" t="s">
        <v>128</v>
      </c>
      <c r="D33" s="433">
        <v>3623</v>
      </c>
      <c r="E33" s="433" t="s">
        <v>168</v>
      </c>
      <c r="F33" s="433" t="s">
        <v>166</v>
      </c>
      <c r="G33" s="434" t="s">
        <v>167</v>
      </c>
      <c r="H33" s="433"/>
      <c r="I33" s="367"/>
    </row>
    <row r="34" spans="1:9">
      <c r="A34" s="435">
        <v>45980</v>
      </c>
      <c r="B34" s="433" t="str">
        <f t="shared" ref="B34:B65" si="1">D34&amp;IF(AND(E34&lt;&gt;"",D34&lt;&gt;""),$H$1,"")&amp;E34&amp;$H$1&amp;F34&amp;IF(AND(G34&lt;&gt;"",F34&lt;&gt;""),$H$1,"")&amp;G34</f>
        <v>4917_板橋翠華店_閉店_15:00</v>
      </c>
      <c r="C34" s="433" t="s">
        <v>139</v>
      </c>
      <c r="D34" s="433">
        <v>4917</v>
      </c>
      <c r="E34" s="433" t="s">
        <v>186</v>
      </c>
      <c r="F34" s="433" t="s">
        <v>156</v>
      </c>
      <c r="G34" s="434" t="s">
        <v>167</v>
      </c>
      <c r="H34" s="433"/>
      <c r="I34" s="367"/>
    </row>
    <row r="35" spans="1:9">
      <c r="A35" s="435">
        <v>45980</v>
      </c>
      <c r="B35" s="433" t="str">
        <f t="shared" si="1"/>
        <v>5428_三重野球魂_新開_11:00</v>
      </c>
      <c r="C35" s="433" t="s">
        <v>128</v>
      </c>
      <c r="D35" s="433">
        <v>5428</v>
      </c>
      <c r="E35" s="433" t="s">
        <v>187</v>
      </c>
      <c r="F35" s="433" t="s">
        <v>24</v>
      </c>
      <c r="G35" s="434" t="s">
        <v>153</v>
      </c>
      <c r="H35" s="433"/>
      <c r="I35" s="367"/>
    </row>
    <row r="36" spans="1:9">
      <c r="A36" s="435">
        <v>45978</v>
      </c>
      <c r="B36" s="433" t="str">
        <f t="shared" si="1"/>
        <v>4196_三重蝶愛店_裝潢撤店_15:00</v>
      </c>
      <c r="C36" s="433" t="s">
        <v>128</v>
      </c>
      <c r="D36" s="433">
        <v>4196</v>
      </c>
      <c r="E36" s="433" t="s">
        <v>175</v>
      </c>
      <c r="F36" s="433" t="s">
        <v>166</v>
      </c>
      <c r="G36" s="434" t="s">
        <v>167</v>
      </c>
      <c r="H36" s="433"/>
      <c r="I36" s="367"/>
    </row>
    <row r="37" spans="1:9">
      <c r="A37" s="435">
        <v>45975</v>
      </c>
      <c r="B37" s="433" t="str">
        <f t="shared" si="1"/>
        <v>5496_板橋市民廣場_TM3新增_11:00</v>
      </c>
      <c r="C37" s="433" t="s">
        <v>139</v>
      </c>
      <c r="D37" s="433">
        <v>5496</v>
      </c>
      <c r="E37" s="433" t="s">
        <v>169</v>
      </c>
      <c r="F37" s="433" t="s">
        <v>188</v>
      </c>
      <c r="G37" s="434" t="s">
        <v>153</v>
      </c>
      <c r="H37" s="433"/>
      <c r="I37" s="367"/>
    </row>
    <row r="38" spans="1:9" s="295" customFormat="1">
      <c r="A38" s="435">
        <v>45974</v>
      </c>
      <c r="B38" s="433" t="str">
        <f t="shared" si="1"/>
        <v>5101_淡水小坪頂_裝潢撤店_15:00</v>
      </c>
      <c r="C38" s="433" t="s">
        <v>128</v>
      </c>
      <c r="D38" s="433">
        <v>5101</v>
      </c>
      <c r="E38" s="433" t="s">
        <v>189</v>
      </c>
      <c r="F38" s="433" t="s">
        <v>166</v>
      </c>
      <c r="G38" s="434" t="s">
        <v>167</v>
      </c>
      <c r="H38" s="433"/>
      <c r="I38" s="367"/>
    </row>
    <row r="39" spans="1:9" s="295" customFormat="1">
      <c r="A39" s="435">
        <v>45971</v>
      </c>
      <c r="B39" s="433" t="str">
        <f t="shared" si="1"/>
        <v>5496_板橋市民廣場_新開_11:00</v>
      </c>
      <c r="C39" s="433" t="s">
        <v>139</v>
      </c>
      <c r="D39" s="433">
        <v>5496</v>
      </c>
      <c r="E39" s="433" t="s">
        <v>169</v>
      </c>
      <c r="F39" s="433" t="s">
        <v>24</v>
      </c>
      <c r="G39" s="434" t="s">
        <v>153</v>
      </c>
      <c r="H39" s="433"/>
      <c r="I39" s="367"/>
    </row>
    <row r="40" spans="1:9" s="295" customFormat="1">
      <c r="A40" s="437">
        <v>45971</v>
      </c>
      <c r="B40" s="433" t="str">
        <f t="shared" si="1"/>
        <v>4210_三重福華店_回裝_11:00</v>
      </c>
      <c r="C40" s="433" t="s">
        <v>128</v>
      </c>
      <c r="D40" s="433">
        <v>4210</v>
      </c>
      <c r="E40" s="433" t="s">
        <v>190</v>
      </c>
      <c r="F40" s="433" t="s">
        <v>152</v>
      </c>
      <c r="G40" s="434" t="s">
        <v>153</v>
      </c>
      <c r="H40" s="433"/>
      <c r="I40" s="367"/>
    </row>
    <row r="41" spans="1:9" s="295" customFormat="1">
      <c r="A41" s="435">
        <v>45968</v>
      </c>
      <c r="B41" s="433" t="str">
        <f t="shared" si="1"/>
        <v>DQ新生店_保養D2_10:00</v>
      </c>
      <c r="C41" s="433" t="s">
        <v>139</v>
      </c>
      <c r="D41" s="433"/>
      <c r="E41" s="433" t="s">
        <v>191</v>
      </c>
      <c r="F41" s="433" t="s">
        <v>192</v>
      </c>
      <c r="G41" s="434" t="s">
        <v>157</v>
      </c>
      <c r="H41" s="433"/>
      <c r="I41" s="367"/>
    </row>
    <row r="42" spans="1:9" s="295" customFormat="1">
      <c r="A42" s="435">
        <v>45966</v>
      </c>
      <c r="B42" s="433" t="str">
        <f t="shared" si="1"/>
        <v>DQ新生店_保養D1_10:00</v>
      </c>
      <c r="C42" s="433" t="s">
        <v>139</v>
      </c>
      <c r="D42" s="433"/>
      <c r="E42" s="433" t="s">
        <v>191</v>
      </c>
      <c r="F42" s="433" t="s">
        <v>193</v>
      </c>
      <c r="G42" s="434" t="s">
        <v>157</v>
      </c>
      <c r="H42" s="433"/>
      <c r="I42" s="367"/>
    </row>
    <row r="43" spans="1:9" s="295" customFormat="1">
      <c r="A43" s="435">
        <v>45964</v>
      </c>
      <c r="B43" s="433" t="str">
        <f t="shared" si="1"/>
        <v>D195_三重車路頭_回裝_11:00</v>
      </c>
      <c r="C43" s="433" t="s">
        <v>128</v>
      </c>
      <c r="D43" s="433" t="s">
        <v>54</v>
      </c>
      <c r="E43" s="433" t="s">
        <v>194</v>
      </c>
      <c r="F43" s="433" t="s">
        <v>152</v>
      </c>
      <c r="G43" s="434" t="s">
        <v>153</v>
      </c>
      <c r="H43" s="433"/>
      <c r="I43" s="367"/>
    </row>
    <row r="44" spans="1:9" s="295" customFormat="1">
      <c r="A44" s="435">
        <v>45960</v>
      </c>
      <c r="B44" s="433" t="str">
        <f t="shared" si="1"/>
        <v>3399_板橋藝文中心_閉店_10:00</v>
      </c>
      <c r="C44" s="433" t="s">
        <v>139</v>
      </c>
      <c r="D44" s="433">
        <v>3399</v>
      </c>
      <c r="E44" s="433" t="s">
        <v>195</v>
      </c>
      <c r="F44" s="433" t="s">
        <v>156</v>
      </c>
      <c r="G44" s="434" t="s">
        <v>157</v>
      </c>
      <c r="H44" s="433"/>
      <c r="I44" s="367"/>
    </row>
    <row r="45" spans="1:9" s="295" customFormat="1">
      <c r="A45" s="435">
        <v>45960</v>
      </c>
      <c r="B45" s="433" t="str">
        <f t="shared" si="1"/>
        <v>5457_三重鑫五華_新開_10:00</v>
      </c>
      <c r="C45" s="433" t="s">
        <v>128</v>
      </c>
      <c r="D45" s="433">
        <v>5457</v>
      </c>
      <c r="E45" s="433" t="s">
        <v>196</v>
      </c>
      <c r="F45" s="433" t="s">
        <v>24</v>
      </c>
      <c r="G45" s="434" t="s">
        <v>157</v>
      </c>
      <c r="H45" s="433"/>
      <c r="I45" s="367"/>
    </row>
    <row r="46" spans="1:9" s="295" customFormat="1">
      <c r="A46" s="435">
        <v>45960</v>
      </c>
      <c r="B46" s="433" t="str">
        <f t="shared" si="1"/>
        <v>4083_三重中央南_裝潢撤店_15:00</v>
      </c>
      <c r="C46" s="433" t="s">
        <v>123</v>
      </c>
      <c r="D46" s="433">
        <v>4083</v>
      </c>
      <c r="E46" s="433" t="s">
        <v>182</v>
      </c>
      <c r="F46" s="433" t="s">
        <v>166</v>
      </c>
      <c r="G46" s="434" t="s">
        <v>167</v>
      </c>
      <c r="H46" s="433"/>
      <c r="I46" s="367"/>
    </row>
    <row r="47" spans="1:9" s="295" customFormat="1">
      <c r="A47" s="435">
        <v>45958</v>
      </c>
      <c r="B47" s="433" t="str">
        <f t="shared" si="1"/>
        <v>德森精密_合約換機_下午</v>
      </c>
      <c r="C47" s="433" t="s">
        <v>123</v>
      </c>
      <c r="D47" s="433"/>
      <c r="E47" s="433" t="s">
        <v>197</v>
      </c>
      <c r="F47" s="433" t="s">
        <v>198</v>
      </c>
      <c r="G47" s="434" t="s">
        <v>199</v>
      </c>
      <c r="H47" s="433"/>
      <c r="I47" s="367"/>
    </row>
    <row r="48" spans="1:9" s="295" customFormat="1">
      <c r="A48" s="435">
        <v>45951</v>
      </c>
      <c r="B48" s="433" t="str">
        <f t="shared" si="1"/>
        <v>5080_三芝楓愛林_協助PEP-FW更新_14:00</v>
      </c>
      <c r="C48" s="433" t="s">
        <v>128</v>
      </c>
      <c r="D48" s="433">
        <v>5080</v>
      </c>
      <c r="E48" s="433" t="s">
        <v>200</v>
      </c>
      <c r="F48" s="433" t="s">
        <v>201</v>
      </c>
      <c r="G48" s="434" t="s">
        <v>165</v>
      </c>
      <c r="H48" s="433"/>
      <c r="I48" s="367"/>
    </row>
    <row r="49" spans="1:9" s="295" customFormat="1">
      <c r="A49" s="435">
        <v>45946</v>
      </c>
      <c r="B49" s="436" t="str">
        <f t="shared" si="1"/>
        <v>5377_三重大智店_新開_11:00</v>
      </c>
      <c r="C49" s="433" t="s">
        <v>181</v>
      </c>
      <c r="D49" s="433">
        <v>5377</v>
      </c>
      <c r="E49" s="433" t="s">
        <v>202</v>
      </c>
      <c r="F49" s="433" t="s">
        <v>24</v>
      </c>
      <c r="G49" s="434" t="s">
        <v>153</v>
      </c>
      <c r="H49" s="433"/>
      <c r="I49" s="303"/>
    </row>
    <row r="50" spans="1:9" s="295" customFormat="1">
      <c r="A50" s="435">
        <v>45945</v>
      </c>
      <c r="B50" s="433" t="str">
        <f t="shared" si="1"/>
        <v>TT01_五股訓練教室_更換列表機 MV6600_14:00</v>
      </c>
      <c r="C50" s="433" t="s">
        <v>123</v>
      </c>
      <c r="D50" s="433" t="s">
        <v>76</v>
      </c>
      <c r="E50" s="433" t="s">
        <v>203</v>
      </c>
      <c r="F50" s="433" t="s">
        <v>204</v>
      </c>
      <c r="G50" s="434" t="s">
        <v>165</v>
      </c>
      <c r="H50" s="433"/>
      <c r="I50" s="367"/>
    </row>
    <row r="51" spans="1:9" s="295" customFormat="1">
      <c r="A51" s="435">
        <v>45944</v>
      </c>
      <c r="B51" s="433" t="str">
        <f t="shared" si="1"/>
        <v>湯城_4F*2、3F、2F、9F (撤4F*1)_10:00</v>
      </c>
      <c r="C51" s="433" t="s">
        <v>123</v>
      </c>
      <c r="D51" s="433"/>
      <c r="E51" s="433" t="s">
        <v>205</v>
      </c>
      <c r="F51" s="433" t="s">
        <v>206</v>
      </c>
      <c r="G51" s="434" t="s">
        <v>157</v>
      </c>
      <c r="H51" s="433"/>
      <c r="I51" s="367"/>
    </row>
    <row r="52" spans="1:9" s="295" customFormat="1">
      <c r="A52" s="435">
        <v>45939</v>
      </c>
      <c r="B52" s="433" t="str">
        <f t="shared" si="1"/>
        <v>湯城_10F*6_10:00</v>
      </c>
      <c r="C52" s="433" t="s">
        <v>123</v>
      </c>
      <c r="D52" s="433"/>
      <c r="E52" s="433" t="s">
        <v>205</v>
      </c>
      <c r="F52" s="433" t="s">
        <v>207</v>
      </c>
      <c r="G52" s="434" t="s">
        <v>157</v>
      </c>
      <c r="H52" s="433"/>
      <c r="I52" s="367"/>
    </row>
    <row r="53" spans="1:9" s="295" customFormat="1">
      <c r="A53" s="435">
        <v>45938</v>
      </c>
      <c r="B53" s="433" t="str">
        <f t="shared" si="1"/>
        <v>D195_三重車路頭_裝潢撤店_15:00</v>
      </c>
      <c r="C53" s="433" t="s">
        <v>128</v>
      </c>
      <c r="D53" s="433" t="s">
        <v>54</v>
      </c>
      <c r="E53" s="433" t="s">
        <v>194</v>
      </c>
      <c r="F53" s="433" t="s">
        <v>166</v>
      </c>
      <c r="G53" s="434" t="s">
        <v>167</v>
      </c>
      <c r="H53" s="433"/>
      <c r="I53" s="367"/>
    </row>
    <row r="54" spans="1:9" s="295" customFormat="1">
      <c r="A54" s="435">
        <v>45937</v>
      </c>
      <c r="B54" s="433" t="str">
        <f t="shared" si="1"/>
        <v>4210_三重福華店_裝潢撤店_15:00</v>
      </c>
      <c r="C54" s="433" t="s">
        <v>123</v>
      </c>
      <c r="D54" s="433">
        <v>4210</v>
      </c>
      <c r="E54" s="433" t="s">
        <v>190</v>
      </c>
      <c r="F54" s="433" t="s">
        <v>166</v>
      </c>
      <c r="G54" s="434" t="s">
        <v>167</v>
      </c>
      <c r="H54" s="433"/>
      <c r="I54" s="367"/>
    </row>
    <row r="55" spans="1:9">
      <c r="A55" s="435">
        <v>45932</v>
      </c>
      <c r="B55" s="433" t="str">
        <f t="shared" si="1"/>
        <v>善美的_4F、檢品、PC_14:00</v>
      </c>
      <c r="C55" s="433" t="s">
        <v>181</v>
      </c>
      <c r="D55" s="433"/>
      <c r="E55" s="433" t="s">
        <v>208</v>
      </c>
      <c r="F55" s="433" t="s">
        <v>209</v>
      </c>
      <c r="G55" s="434" t="s">
        <v>165</v>
      </c>
      <c r="H55" s="433"/>
      <c r="I55" s="303" t="s">
        <v>181</v>
      </c>
    </row>
    <row r="56" spans="1:9">
      <c r="A56" s="323">
        <v>45926</v>
      </c>
      <c r="B56" s="433" t="str">
        <f t="shared" si="1"/>
        <v>台芝178_POS上課_09:30</v>
      </c>
      <c r="C56" s="433" t="s">
        <v>181</v>
      </c>
      <c r="D56" s="433"/>
      <c r="E56" s="433" t="s">
        <v>210</v>
      </c>
      <c r="F56" s="433" t="s">
        <v>211</v>
      </c>
      <c r="G56" s="434" t="s">
        <v>212</v>
      </c>
      <c r="H56" s="433"/>
      <c r="I56" s="367"/>
    </row>
    <row r="57" spans="1:9">
      <c r="A57" s="435">
        <v>45925</v>
      </c>
      <c r="B57" s="433" t="str">
        <f t="shared" si="1"/>
        <v>善美的_DC、生鮮_10:00</v>
      </c>
      <c r="C57" s="433" t="s">
        <v>181</v>
      </c>
      <c r="D57" s="433"/>
      <c r="E57" s="433" t="s">
        <v>208</v>
      </c>
      <c r="F57" s="433" t="s">
        <v>213</v>
      </c>
      <c r="G57" s="434" t="s">
        <v>157</v>
      </c>
      <c r="H57" s="433"/>
      <c r="I57" s="303" t="s">
        <v>181</v>
      </c>
    </row>
    <row r="58" spans="1:9">
      <c r="A58" s="323">
        <v>45924</v>
      </c>
      <c r="B58" s="433" t="str">
        <f t="shared" si="1"/>
        <v>4218_蘆洲湧蓮店_回裝_11:00</v>
      </c>
      <c r="C58" s="433" t="s">
        <v>128</v>
      </c>
      <c r="D58" s="433">
        <v>4218</v>
      </c>
      <c r="E58" s="433" t="s">
        <v>214</v>
      </c>
      <c r="F58" s="433" t="s">
        <v>152</v>
      </c>
      <c r="G58" s="434" t="s">
        <v>153</v>
      </c>
      <c r="H58" s="433"/>
      <c r="I58" s="303"/>
    </row>
    <row r="59" spans="1:9">
      <c r="A59" s="435">
        <v>45923</v>
      </c>
      <c r="B59" s="433" t="str">
        <f t="shared" si="1"/>
        <v>全聯實業_蘆洲北二處_10:00</v>
      </c>
      <c r="C59" s="433" t="s">
        <v>181</v>
      </c>
      <c r="D59" s="433"/>
      <c r="E59" s="433" t="s">
        <v>215</v>
      </c>
      <c r="F59" s="433" t="s">
        <v>216</v>
      </c>
      <c r="G59" s="434" t="s">
        <v>157</v>
      </c>
      <c r="H59" s="433"/>
      <c r="I59" s="303" t="s">
        <v>181</v>
      </c>
    </row>
    <row r="60" spans="1:9">
      <c r="A60" s="323">
        <v>45919</v>
      </c>
      <c r="B60" s="433" t="str">
        <f t="shared" si="1"/>
        <v>內湖倉裝機_全聯*1、善美的*4_10:00</v>
      </c>
      <c r="C60" s="433" t="s">
        <v>123</v>
      </c>
      <c r="D60" s="433"/>
      <c r="E60" s="433" t="s">
        <v>217</v>
      </c>
      <c r="F60" s="433" t="s">
        <v>218</v>
      </c>
      <c r="G60" s="434" t="s">
        <v>157</v>
      </c>
      <c r="H60" s="433"/>
      <c r="I60" s="367"/>
    </row>
    <row r="61" spans="1:9">
      <c r="A61" s="435" t="s">
        <v>219</v>
      </c>
      <c r="B61" s="433" t="str">
        <f t="shared" si="1"/>
        <v>3929_蘆洲中山一_回裝_11:00</v>
      </c>
      <c r="C61" s="433" t="s">
        <v>128</v>
      </c>
      <c r="D61" s="433">
        <v>3929</v>
      </c>
      <c r="E61" s="433" t="s">
        <v>220</v>
      </c>
      <c r="F61" s="433" t="s">
        <v>152</v>
      </c>
      <c r="G61" s="434" t="s">
        <v>153</v>
      </c>
      <c r="H61" s="433"/>
      <c r="I61" s="367"/>
    </row>
    <row r="62" spans="1:9">
      <c r="A62" s="435">
        <v>45916</v>
      </c>
      <c r="B62" s="433" t="str">
        <f t="shared" si="1"/>
        <v>永佳樂_泰山異地備援使用永佳樂節目組</v>
      </c>
      <c r="C62" s="433" t="s">
        <v>123</v>
      </c>
      <c r="D62" s="433"/>
      <c r="E62" s="433" t="s">
        <v>221</v>
      </c>
      <c r="F62" s="433" t="s">
        <v>222</v>
      </c>
      <c r="G62" s="434"/>
      <c r="H62" s="433"/>
      <c r="I62" s="367"/>
    </row>
    <row r="63" spans="1:9">
      <c r="A63" s="323">
        <v>45915</v>
      </c>
      <c r="B63" s="433" t="str">
        <f t="shared" si="1"/>
        <v>3999_新莊福佑店_回裝_11:00</v>
      </c>
      <c r="C63" s="433" t="s">
        <v>123</v>
      </c>
      <c r="D63" s="433">
        <v>3999</v>
      </c>
      <c r="E63" s="433" t="s">
        <v>223</v>
      </c>
      <c r="F63" s="433" t="s">
        <v>152</v>
      </c>
      <c r="G63" s="434" t="s">
        <v>153</v>
      </c>
      <c r="H63" s="433"/>
      <c r="I63" s="303"/>
    </row>
    <row r="64" spans="1:9">
      <c r="A64" s="435">
        <v>45912</v>
      </c>
      <c r="B64" s="433" t="str">
        <f t="shared" si="1"/>
        <v>全聯蘆洲_清機*6、新機*1_10:00</v>
      </c>
      <c r="C64" s="433" t="s">
        <v>123</v>
      </c>
      <c r="D64" s="433"/>
      <c r="E64" s="433" t="s">
        <v>224</v>
      </c>
      <c r="F64" s="433" t="s">
        <v>225</v>
      </c>
      <c r="G64" s="434" t="s">
        <v>157</v>
      </c>
      <c r="H64" s="433"/>
      <c r="I64" s="367"/>
    </row>
    <row r="65" spans="1:9">
      <c r="A65" s="435">
        <v>45910</v>
      </c>
      <c r="B65" s="433" t="str">
        <f t="shared" si="1"/>
        <v>紅樹林有線電視_清機*1、新機*2_14:00</v>
      </c>
      <c r="C65" s="433" t="s">
        <v>128</v>
      </c>
      <c r="D65" s="433"/>
      <c r="E65" s="433" t="s">
        <v>226</v>
      </c>
      <c r="F65" s="433" t="s">
        <v>227</v>
      </c>
      <c r="G65" s="434" t="s">
        <v>165</v>
      </c>
      <c r="H65" s="433"/>
      <c r="I65" s="367"/>
    </row>
    <row r="66" spans="1:9">
      <c r="A66" s="435" t="s">
        <v>228</v>
      </c>
      <c r="B66" s="433" t="str">
        <f t="shared" ref="B66:B86" si="2">D66&amp;IF(AND(E66&lt;&gt;"",D66&lt;&gt;""),$H$1,"")&amp;E66&amp;$H$1&amp;F66&amp;IF(AND(G66&lt;&gt;"",F66&lt;&gt;""),$H$1,"")&amp;G66</f>
        <v>凱擘新莊_清機*1</v>
      </c>
      <c r="C66" s="433" t="s">
        <v>123</v>
      </c>
      <c r="D66" s="433"/>
      <c r="E66" s="433" t="s">
        <v>229</v>
      </c>
      <c r="F66" s="433" t="s">
        <v>230</v>
      </c>
      <c r="G66" s="434"/>
      <c r="H66" s="433"/>
      <c r="I66" s="367"/>
    </row>
    <row r="67" spans="1:9">
      <c r="A67" s="435" t="s">
        <v>228</v>
      </c>
      <c r="B67" s="433" t="str">
        <f t="shared" si="2"/>
        <v>全聯節目中心_新機*1</v>
      </c>
      <c r="C67" s="433" t="s">
        <v>123</v>
      </c>
      <c r="D67" s="433"/>
      <c r="E67" s="433" t="s">
        <v>231</v>
      </c>
      <c r="F67" s="433" t="s">
        <v>232</v>
      </c>
      <c r="G67" s="434"/>
      <c r="H67" s="433"/>
      <c r="I67" s="367"/>
    </row>
    <row r="68" spans="1:9">
      <c r="A68" s="435">
        <v>45908</v>
      </c>
      <c r="B68" s="433" t="str">
        <f t="shared" si="2"/>
        <v>5080_三芝楓愛林_4G會勘_10:00</v>
      </c>
      <c r="C68" s="433" t="s">
        <v>128</v>
      </c>
      <c r="D68" s="433">
        <v>5080</v>
      </c>
      <c r="E68" s="433" t="s">
        <v>200</v>
      </c>
      <c r="F68" s="433" t="s">
        <v>233</v>
      </c>
      <c r="G68" s="434" t="s">
        <v>157</v>
      </c>
      <c r="H68" s="433"/>
      <c r="I68" s="367"/>
    </row>
    <row r="69" spans="1:9">
      <c r="A69" s="435">
        <v>45905</v>
      </c>
      <c r="B69" s="433" t="str">
        <f t="shared" si="2"/>
        <v>_小白保養</v>
      </c>
      <c r="C69" s="433" t="s">
        <v>128</v>
      </c>
      <c r="D69" s="433"/>
      <c r="E69" s="433"/>
      <c r="F69" s="433" t="s">
        <v>234</v>
      </c>
      <c r="G69" s="434"/>
      <c r="H69" s="433"/>
      <c r="I69" s="367"/>
    </row>
    <row r="70" spans="1:9">
      <c r="A70" s="435" t="s">
        <v>235</v>
      </c>
      <c r="B70" s="433" t="str">
        <f t="shared" si="2"/>
        <v>永佳樂_清機*1、新機*6_10:00</v>
      </c>
      <c r="C70" s="433" t="s">
        <v>123</v>
      </c>
      <c r="D70" s="433"/>
      <c r="E70" s="433" t="s">
        <v>221</v>
      </c>
      <c r="F70" s="433" t="s">
        <v>236</v>
      </c>
      <c r="G70" s="434" t="s">
        <v>157</v>
      </c>
      <c r="H70" s="433"/>
      <c r="I70" s="367"/>
    </row>
    <row r="71" spans="1:9">
      <c r="A71" s="435" t="s">
        <v>237</v>
      </c>
      <c r="B71" s="433" t="str">
        <f t="shared" si="2"/>
        <v>台固媒體_清機*2、新機*1_10:00</v>
      </c>
      <c r="C71" s="433" t="s">
        <v>123</v>
      </c>
      <c r="D71" s="433"/>
      <c r="E71" s="433" t="s">
        <v>238</v>
      </c>
      <c r="F71" s="433" t="s">
        <v>239</v>
      </c>
      <c r="G71" s="434" t="s">
        <v>157</v>
      </c>
      <c r="H71" s="433"/>
      <c r="I71" s="367"/>
    </row>
    <row r="72" spans="1:9">
      <c r="A72" s="435" t="s">
        <v>240</v>
      </c>
      <c r="B72" s="433" t="str">
        <f t="shared" si="2"/>
        <v>內湖倉_裝機*10_10:00</v>
      </c>
      <c r="C72" s="433" t="s">
        <v>123</v>
      </c>
      <c r="D72" s="433"/>
      <c r="E72" s="433" t="s">
        <v>241</v>
      </c>
      <c r="F72" s="433" t="s">
        <v>242</v>
      </c>
      <c r="G72" s="434" t="s">
        <v>157</v>
      </c>
      <c r="H72" s="433"/>
      <c r="I72" s="367"/>
    </row>
    <row r="73" spans="1:9">
      <c r="A73" s="435" t="s">
        <v>243</v>
      </c>
      <c r="B73" s="433" t="str">
        <f t="shared" si="2"/>
        <v>2619_三重大榮店_閉店_15:00</v>
      </c>
      <c r="C73" s="433" t="s">
        <v>128</v>
      </c>
      <c r="D73" s="433">
        <v>2619</v>
      </c>
      <c r="E73" s="433" t="s">
        <v>244</v>
      </c>
      <c r="F73" s="433" t="s">
        <v>156</v>
      </c>
      <c r="G73" s="434" t="s">
        <v>167</v>
      </c>
      <c r="H73" s="433"/>
      <c r="I73" s="367"/>
    </row>
    <row r="74" spans="1:9">
      <c r="A74" s="435">
        <v>45897</v>
      </c>
      <c r="B74" s="433" t="str">
        <f t="shared" si="2"/>
        <v>漢廷營造_新交機_14:00</v>
      </c>
      <c r="C74" s="433" t="s">
        <v>123</v>
      </c>
      <c r="D74" s="433"/>
      <c r="E74" s="433" t="s">
        <v>245</v>
      </c>
      <c r="F74" s="433" t="s">
        <v>246</v>
      </c>
      <c r="G74" s="434" t="s">
        <v>165</v>
      </c>
      <c r="H74" s="433"/>
      <c r="I74" s="367"/>
    </row>
    <row r="75" spans="1:9">
      <c r="A75" s="435" t="s">
        <v>247</v>
      </c>
      <c r="B75" s="433" t="str">
        <f t="shared" si="2"/>
        <v>3929_蘆洲中山一_裝撤_15:00</v>
      </c>
      <c r="C75" s="433" t="s">
        <v>128</v>
      </c>
      <c r="D75" s="433">
        <v>3929</v>
      </c>
      <c r="E75" s="433" t="s">
        <v>220</v>
      </c>
      <c r="F75" s="433" t="s">
        <v>248</v>
      </c>
      <c r="G75" s="434" t="s">
        <v>167</v>
      </c>
      <c r="H75" s="433"/>
      <c r="I75" s="367"/>
    </row>
    <row r="76" spans="1:9">
      <c r="A76" s="435" t="s">
        <v>247</v>
      </c>
      <c r="B76" s="433" t="str">
        <f t="shared" si="2"/>
        <v>5341_蘆洲切仔麵_PEP</v>
      </c>
      <c r="C76" s="433" t="s">
        <v>128</v>
      </c>
      <c r="D76" s="433">
        <v>5341</v>
      </c>
      <c r="E76" s="433" t="s">
        <v>249</v>
      </c>
      <c r="F76" s="433" t="s">
        <v>250</v>
      </c>
      <c r="G76" s="434"/>
      <c r="H76" s="433"/>
      <c r="I76" s="367"/>
    </row>
    <row r="77" spans="1:9">
      <c r="A77" s="435" t="s">
        <v>247</v>
      </c>
      <c r="B77" s="433" t="str">
        <f t="shared" si="2"/>
        <v>5354_蘆洲希望店_PEP</v>
      </c>
      <c r="C77" s="433" t="s">
        <v>128</v>
      </c>
      <c r="D77" s="433">
        <v>5354</v>
      </c>
      <c r="E77" s="433" t="s">
        <v>251</v>
      </c>
      <c r="F77" s="433" t="s">
        <v>250</v>
      </c>
      <c r="G77" s="434"/>
      <c r="H77" s="433"/>
      <c r="I77" s="295"/>
    </row>
    <row r="78" spans="1:9">
      <c r="A78" s="435" t="s">
        <v>252</v>
      </c>
      <c r="B78" s="433" t="str">
        <f t="shared" si="2"/>
        <v>4218_蘆洲湧蓮店_裝撤_15:00</v>
      </c>
      <c r="C78" s="433" t="s">
        <v>128</v>
      </c>
      <c r="D78" s="433">
        <v>4218</v>
      </c>
      <c r="E78" s="433" t="s">
        <v>214</v>
      </c>
      <c r="F78" s="433" t="s">
        <v>248</v>
      </c>
      <c r="G78" s="434" t="s">
        <v>167</v>
      </c>
      <c r="H78" s="433"/>
      <c r="I78" s="295"/>
    </row>
    <row r="79" spans="1:9">
      <c r="A79" s="435">
        <v>45891</v>
      </c>
      <c r="B79" s="433" t="str">
        <f t="shared" si="2"/>
        <v>5291_新莊國家置地_PEP</v>
      </c>
      <c r="C79" s="433" t="s">
        <v>123</v>
      </c>
      <c r="D79" s="433">
        <v>5291</v>
      </c>
      <c r="E79" s="433" t="s">
        <v>253</v>
      </c>
      <c r="F79" s="433" t="s">
        <v>250</v>
      </c>
      <c r="G79" s="434"/>
      <c r="H79" s="433"/>
      <c r="I79" s="295"/>
    </row>
    <row r="80" spans="1:9">
      <c r="A80" s="435">
        <v>45891</v>
      </c>
      <c r="B80" s="433" t="str">
        <f t="shared" si="2"/>
        <v>5316_三重五常店_PEP</v>
      </c>
      <c r="C80" s="433" t="s">
        <v>128</v>
      </c>
      <c r="D80" s="433">
        <v>5316</v>
      </c>
      <c r="E80" s="433" t="s">
        <v>254</v>
      </c>
      <c r="F80" s="433" t="s">
        <v>250</v>
      </c>
      <c r="G80" s="434"/>
      <c r="H80" s="433"/>
      <c r="I80" s="295"/>
    </row>
    <row r="81" spans="1:9">
      <c r="A81" s="435">
        <v>45891</v>
      </c>
      <c r="B81" s="433" t="str">
        <f t="shared" si="2"/>
        <v>5155_淡水魚市二_臨時借機_11:00</v>
      </c>
      <c r="C81" s="433" t="s">
        <v>128</v>
      </c>
      <c r="D81" s="433">
        <v>5155</v>
      </c>
      <c r="E81" s="433" t="s">
        <v>171</v>
      </c>
      <c r="F81" s="433" t="s">
        <v>255</v>
      </c>
      <c r="G81" s="434" t="s">
        <v>153</v>
      </c>
      <c r="H81" s="433"/>
      <c r="I81" s="295"/>
    </row>
    <row r="82" spans="1:9">
      <c r="A82" s="435" t="s">
        <v>256</v>
      </c>
      <c r="B82" s="433" t="str">
        <f t="shared" si="2"/>
        <v>5245_三重護山店_PEP</v>
      </c>
      <c r="C82" s="433" t="s">
        <v>128</v>
      </c>
      <c r="D82" s="433">
        <v>5245</v>
      </c>
      <c r="E82" s="433" t="s">
        <v>257</v>
      </c>
      <c r="F82" s="433" t="s">
        <v>250</v>
      </c>
      <c r="G82" s="434"/>
      <c r="H82" s="433"/>
      <c r="I82" s="295"/>
    </row>
    <row r="83" spans="1:9">
      <c r="A83" s="435" t="s">
        <v>256</v>
      </c>
      <c r="B83" s="433" t="str">
        <f t="shared" si="2"/>
        <v>5352_重重陽店_PEP</v>
      </c>
      <c r="C83" s="433" t="s">
        <v>128</v>
      </c>
      <c r="D83" s="433">
        <v>5352</v>
      </c>
      <c r="E83" s="433" t="s">
        <v>258</v>
      </c>
      <c r="F83" s="433" t="s">
        <v>250</v>
      </c>
      <c r="G83" s="434"/>
      <c r="H83" s="433"/>
      <c r="I83" s="295"/>
    </row>
    <row r="84" spans="1:9">
      <c r="A84" s="435" t="s">
        <v>259</v>
      </c>
      <c r="B84" s="433" t="str">
        <f t="shared" si="2"/>
        <v>5364_林口舊街店_PEP</v>
      </c>
      <c r="C84" s="433" t="s">
        <v>123</v>
      </c>
      <c r="D84" s="433">
        <v>5364</v>
      </c>
      <c r="E84" s="433" t="s">
        <v>260</v>
      </c>
      <c r="F84" s="433" t="s">
        <v>250</v>
      </c>
      <c r="G84" s="434"/>
      <c r="H84" s="433"/>
      <c r="I84" s="295"/>
    </row>
    <row r="85" spans="1:9">
      <c r="A85" s="435" t="s">
        <v>261</v>
      </c>
      <c r="B85" s="433" t="str">
        <f t="shared" si="2"/>
        <v>湯城_4F*7_10:00</v>
      </c>
      <c r="C85" s="433" t="s">
        <v>123</v>
      </c>
      <c r="D85" s="433"/>
      <c r="E85" s="433" t="s">
        <v>205</v>
      </c>
      <c r="F85" s="433" t="s">
        <v>262</v>
      </c>
      <c r="G85" s="434" t="s">
        <v>157</v>
      </c>
      <c r="H85" s="433"/>
      <c r="I85" s="295"/>
    </row>
    <row r="86" spans="1:9">
      <c r="A86" s="435" t="s">
        <v>263</v>
      </c>
      <c r="B86" s="433" t="str">
        <f t="shared" si="2"/>
        <v>5384_板橋民生站_PEP</v>
      </c>
      <c r="C86" s="433" t="s">
        <v>139</v>
      </c>
      <c r="D86" s="433">
        <v>5384</v>
      </c>
      <c r="E86" s="433" t="s">
        <v>264</v>
      </c>
      <c r="F86" s="433" t="s">
        <v>250</v>
      </c>
      <c r="G86" s="434"/>
      <c r="H86" s="433"/>
      <c r="I86" s="295"/>
    </row>
  </sheetData>
  <autoFilter ref="A1:I1" xr:uid="{00000000-0009-0000-0000-000002000000}">
    <sortState xmlns:xlrd2="http://schemas.microsoft.com/office/spreadsheetml/2017/richdata2" ref="A2:I77">
      <sortCondition descending="1" ref="A1"/>
    </sortState>
  </autoFilter>
  <phoneticPr fontId="43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68" width="8.796875" style="246" customWidth="1"/>
    <col min="269" max="16384" width="8.796875" style="246"/>
  </cols>
  <sheetData>
    <row r="1" spans="1:22" ht="14.4" customHeight="1">
      <c r="A1" s="244" t="s">
        <v>265</v>
      </c>
      <c r="B1" s="244" t="s">
        <v>266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45992</v>
      </c>
      <c r="B2" s="268">
        <f ca="1">EOMONTH(S2, 0)</f>
        <v>46022</v>
      </c>
      <c r="C2" s="247">
        <f ca="1">Q5+Q10</f>
        <v>32</v>
      </c>
      <c r="D2" s="247">
        <f ca="1">Q6+Q11</f>
        <v>111</v>
      </c>
      <c r="E2" s="247">
        <f ca="1">Q7+Q12</f>
        <v>125</v>
      </c>
      <c r="F2" s="247">
        <f ca="1">Q8+Q13</f>
        <v>0</v>
      </c>
      <c r="G2" s="283"/>
      <c r="S2" s="283">
        <f ca="1">TODAY()</f>
        <v>46022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267</v>
      </c>
      <c r="C4" s="251" t="s">
        <v>173</v>
      </c>
      <c r="D4" s="251" t="s">
        <v>157</v>
      </c>
      <c r="E4" s="251" t="s">
        <v>153</v>
      </c>
      <c r="F4" s="251" t="s">
        <v>268</v>
      </c>
      <c r="G4" s="251" t="s">
        <v>269</v>
      </c>
      <c r="H4" s="251" t="s">
        <v>165</v>
      </c>
      <c r="I4" s="251" t="s">
        <v>167</v>
      </c>
      <c r="J4" s="251" t="s">
        <v>270</v>
      </c>
      <c r="K4" s="251" t="s">
        <v>271</v>
      </c>
      <c r="L4" s="251" t="s">
        <v>163</v>
      </c>
      <c r="M4" s="251" t="s">
        <v>272</v>
      </c>
      <c r="N4" s="251" t="s">
        <v>273</v>
      </c>
      <c r="O4" s="251" t="s">
        <v>274</v>
      </c>
      <c r="P4" s="251" t="s">
        <v>275</v>
      </c>
      <c r="Q4" s="252" t="s">
        <v>276</v>
      </c>
      <c r="S4" s="253" t="s">
        <v>277</v>
      </c>
      <c r="T4" s="254" t="s">
        <v>278</v>
      </c>
      <c r="U4" s="254" t="s">
        <v>279</v>
      </c>
      <c r="V4" s="254" t="s">
        <v>280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1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2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11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3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3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6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26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0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5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4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6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4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5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7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35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10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8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13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14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12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14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14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1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1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2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89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281</v>
      </c>
      <c r="B9" s="251" t="s">
        <v>267</v>
      </c>
      <c r="C9" s="251" t="s">
        <v>173</v>
      </c>
      <c r="D9" s="251" t="s">
        <v>157</v>
      </c>
      <c r="E9" s="251" t="s">
        <v>153</v>
      </c>
      <c r="F9" s="251" t="s">
        <v>268</v>
      </c>
      <c r="G9" s="251" t="s">
        <v>269</v>
      </c>
      <c r="H9" s="251" t="s">
        <v>165</v>
      </c>
      <c r="I9" s="251" t="s">
        <v>167</v>
      </c>
      <c r="J9" s="251" t="s">
        <v>270</v>
      </c>
      <c r="K9" s="251" t="s">
        <v>271</v>
      </c>
      <c r="L9" s="251" t="s">
        <v>163</v>
      </c>
      <c r="M9" s="251" t="s">
        <v>272</v>
      </c>
      <c r="N9" s="251" t="s">
        <v>273</v>
      </c>
      <c r="O9" s="251" t="s">
        <v>274</v>
      </c>
      <c r="P9" s="251" t="s">
        <v>275</v>
      </c>
      <c r="Q9" s="252" t="s">
        <v>276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1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1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1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1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2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6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4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11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9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8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6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8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11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12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6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1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76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1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4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3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14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2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1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36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282</v>
      </c>
      <c r="B14" s="251" t="s">
        <v>267</v>
      </c>
      <c r="C14" s="251" t="s">
        <v>173</v>
      </c>
      <c r="D14" s="251" t="s">
        <v>157</v>
      </c>
      <c r="E14" s="251" t="s">
        <v>153</v>
      </c>
      <c r="F14" s="251" t="s">
        <v>268</v>
      </c>
      <c r="G14" s="251" t="s">
        <v>269</v>
      </c>
      <c r="H14" s="251" t="s">
        <v>165</v>
      </c>
      <c r="I14" s="251" t="s">
        <v>167</v>
      </c>
      <c r="J14" s="251" t="s">
        <v>270</v>
      </c>
      <c r="K14" s="251" t="s">
        <v>271</v>
      </c>
      <c r="L14" s="251" t="s">
        <v>163</v>
      </c>
      <c r="M14" s="251" t="s">
        <v>272</v>
      </c>
      <c r="N14" s="251" t="s">
        <v>273</v>
      </c>
      <c r="O14" s="251" t="s">
        <v>274</v>
      </c>
      <c r="P14" s="251" t="s">
        <v>275</v>
      </c>
      <c r="Q14" s="252" t="s">
        <v>276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2</v>
      </c>
      <c r="E15" s="247">
        <f t="shared" ca="1" si="0"/>
        <v>3</v>
      </c>
      <c r="F15" s="247">
        <f t="shared" ca="1" si="0"/>
        <v>12</v>
      </c>
      <c r="G15" s="247">
        <f t="shared" ca="1" si="0"/>
        <v>3</v>
      </c>
      <c r="H15" s="247">
        <f t="shared" ca="1" si="0"/>
        <v>3</v>
      </c>
      <c r="I15" s="247">
        <f t="shared" ca="1" si="0"/>
        <v>7</v>
      </c>
      <c r="J15" s="247">
        <f t="shared" ca="1" si="0"/>
        <v>0</v>
      </c>
      <c r="K15" s="247">
        <f t="shared" ca="1" si="0"/>
        <v>2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32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4</v>
      </c>
      <c r="C16" s="247">
        <f t="shared" ca="1" si="1"/>
        <v>16</v>
      </c>
      <c r="D16" s="247">
        <f t="shared" ca="1" si="1"/>
        <v>13</v>
      </c>
      <c r="E16" s="247">
        <f t="shared" ca="1" si="1"/>
        <v>14</v>
      </c>
      <c r="F16" s="247">
        <f t="shared" ca="1" si="1"/>
        <v>10</v>
      </c>
      <c r="G16" s="247">
        <f t="shared" ca="1" si="1"/>
        <v>12</v>
      </c>
      <c r="H16" s="247">
        <f t="shared" ca="1" si="1"/>
        <v>16</v>
      </c>
      <c r="I16" s="247">
        <f t="shared" ca="1" si="1"/>
        <v>19</v>
      </c>
      <c r="J16" s="247">
        <f t="shared" ca="1" si="1"/>
        <v>6</v>
      </c>
      <c r="K16" s="247">
        <f t="shared" ca="1" si="1"/>
        <v>1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111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11</v>
      </c>
      <c r="D17" s="247">
        <f t="shared" ca="1" si="2"/>
        <v>9</v>
      </c>
      <c r="E17" s="247">
        <f t="shared" ca="1" si="2"/>
        <v>17</v>
      </c>
      <c r="F17" s="247">
        <f t="shared" ca="1" si="2"/>
        <v>17</v>
      </c>
      <c r="G17" s="247">
        <f t="shared" ca="1" si="2"/>
        <v>22</v>
      </c>
      <c r="H17" s="247">
        <f t="shared" ca="1" si="2"/>
        <v>28</v>
      </c>
      <c r="I17" s="247">
        <f t="shared" ca="1" si="2"/>
        <v>16</v>
      </c>
      <c r="J17" s="247">
        <f t="shared" ca="1" si="2"/>
        <v>1</v>
      </c>
      <c r="K17" s="247">
        <f t="shared" ca="1" si="2"/>
        <v>2</v>
      </c>
      <c r="L17" s="247">
        <f t="shared" ca="1" si="2"/>
        <v>2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125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3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151"/>
  <sheetViews>
    <sheetView tabSelected="1" zoomScale="80" zoomScaleNormal="80" workbookViewId="0">
      <pane ySplit="1" topLeftCell="A2" activePane="bottomLeft" state="frozen"/>
      <selection pane="bottomLeft" activeCell="P6" sqref="P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283</v>
      </c>
      <c r="B1" s="261" t="s">
        <v>284</v>
      </c>
      <c r="C1" s="261" t="s">
        <v>285</v>
      </c>
      <c r="D1" s="261" t="s">
        <v>286</v>
      </c>
      <c r="E1" s="261" t="s">
        <v>287</v>
      </c>
      <c r="F1" s="261" t="s">
        <v>288</v>
      </c>
      <c r="G1" s="261" t="s">
        <v>289</v>
      </c>
      <c r="H1" s="261" t="s">
        <v>290</v>
      </c>
      <c r="I1" s="261" t="s">
        <v>291</v>
      </c>
      <c r="J1" s="261" t="s">
        <v>292</v>
      </c>
      <c r="K1" s="261" t="s">
        <v>293</v>
      </c>
      <c r="L1" s="261" t="s">
        <v>294</v>
      </c>
      <c r="M1" s="261" t="s">
        <v>295</v>
      </c>
      <c r="N1" s="261" t="s">
        <v>296</v>
      </c>
      <c r="O1" s="261" t="s">
        <v>297</v>
      </c>
      <c r="P1" s="261" t="s">
        <v>298</v>
      </c>
      <c r="Q1" s="261" t="s">
        <v>299</v>
      </c>
      <c r="R1" s="261" t="s">
        <v>300</v>
      </c>
      <c r="S1" s="261" t="s">
        <v>301</v>
      </c>
      <c r="T1" s="261" t="s">
        <v>302</v>
      </c>
      <c r="U1" s="261" t="s">
        <v>303</v>
      </c>
      <c r="V1" s="261" t="s">
        <v>304</v>
      </c>
      <c r="W1" s="261" t="s">
        <v>305</v>
      </c>
      <c r="X1" s="262" t="s">
        <v>306</v>
      </c>
      <c r="Y1" s="261" t="s">
        <v>307</v>
      </c>
      <c r="Z1" s="261" t="s">
        <v>308</v>
      </c>
      <c r="AA1" s="261" t="s">
        <v>309</v>
      </c>
      <c r="AB1" s="261" t="s">
        <v>310</v>
      </c>
      <c r="AC1" s="261" t="s">
        <v>311</v>
      </c>
      <c r="AD1" s="261" t="s">
        <v>312</v>
      </c>
      <c r="AE1" s="261" t="s">
        <v>313</v>
      </c>
      <c r="AF1" s="261" t="s">
        <v>314</v>
      </c>
      <c r="AG1" s="261" t="s">
        <v>315</v>
      </c>
      <c r="AH1" s="261" t="s">
        <v>316</v>
      </c>
      <c r="AI1" s="261" t="s">
        <v>317</v>
      </c>
      <c r="AJ1" s="261" t="s">
        <v>318</v>
      </c>
      <c r="AK1" s="261" t="s">
        <v>319</v>
      </c>
      <c r="AL1" s="263" t="s">
        <v>320</v>
      </c>
      <c r="AM1" s="264"/>
    </row>
    <row r="2" spans="1:39" ht="21.6" customHeight="1">
      <c r="A2" s="11">
        <v>2</v>
      </c>
      <c r="B2" s="11" t="s">
        <v>321</v>
      </c>
      <c r="C2" s="11">
        <v>2025120061</v>
      </c>
      <c r="D2" s="11"/>
      <c r="E2" s="11"/>
      <c r="F2" s="11">
        <v>4834</v>
      </c>
      <c r="G2" s="11" t="s">
        <v>322</v>
      </c>
      <c r="H2" s="11" t="s">
        <v>323</v>
      </c>
      <c r="I2" s="11"/>
      <c r="J2" s="11"/>
      <c r="K2" s="11"/>
      <c r="L2" s="11"/>
      <c r="M2" s="12"/>
      <c r="N2" s="11"/>
      <c r="O2" s="12"/>
      <c r="P2" s="13"/>
      <c r="Q2" s="11" t="s">
        <v>324</v>
      </c>
      <c r="R2" s="11" t="s">
        <v>325</v>
      </c>
      <c r="S2" s="11" t="s">
        <v>123</v>
      </c>
      <c r="T2" s="11">
        <v>1</v>
      </c>
      <c r="U2" s="11" t="s">
        <v>326</v>
      </c>
      <c r="V2" s="11" t="s">
        <v>327</v>
      </c>
      <c r="W2" s="11" t="s">
        <v>328</v>
      </c>
      <c r="X2" s="440">
        <v>45992.4375</v>
      </c>
      <c r="Y2" s="11"/>
      <c r="Z2" s="11">
        <v>0.5</v>
      </c>
      <c r="AA2" s="11"/>
      <c r="AB2" s="11" t="s">
        <v>329</v>
      </c>
      <c r="AC2" s="266" t="s">
        <v>330</v>
      </c>
      <c r="AD2" s="11" t="s">
        <v>331</v>
      </c>
      <c r="AE2" s="11"/>
      <c r="AF2" s="11"/>
      <c r="AG2" s="11"/>
      <c r="AH2" s="11"/>
      <c r="AI2" s="11"/>
      <c r="AJ2" s="11" t="s">
        <v>331</v>
      </c>
      <c r="AK2" s="11" t="s">
        <v>331</v>
      </c>
      <c r="AL2" s="267" t="e">
        <f t="shared" ref="AL2:AL33" si="0">DATEVALUE(TEXT(I2, "yyyy/mm/dd"))</f>
        <v>#VALUE!</v>
      </c>
      <c r="AM2" s="265">
        <f t="shared" ref="AM2:AM33" si="1">DATEVALUE(TEXT(X2, "yyyy/mm/dd"))</f>
        <v>45992</v>
      </c>
    </row>
    <row r="3" spans="1:39" ht="21.6" customHeight="1">
      <c r="A3" s="11">
        <v>3</v>
      </c>
      <c r="B3" s="11" t="s">
        <v>321</v>
      </c>
      <c r="C3" s="11">
        <v>2025120063</v>
      </c>
      <c r="D3" s="11"/>
      <c r="E3" s="11"/>
      <c r="F3" s="11">
        <v>4326</v>
      </c>
      <c r="G3" s="11" t="s">
        <v>332</v>
      </c>
      <c r="H3" s="11" t="s">
        <v>323</v>
      </c>
      <c r="I3" s="11"/>
      <c r="J3" s="11"/>
      <c r="K3" s="11"/>
      <c r="L3" s="11"/>
      <c r="M3" s="12"/>
      <c r="N3" s="11"/>
      <c r="O3" s="12"/>
      <c r="P3" s="13"/>
      <c r="Q3" s="11" t="s">
        <v>333</v>
      </c>
      <c r="R3" s="11" t="s">
        <v>325</v>
      </c>
      <c r="S3" s="11" t="s">
        <v>123</v>
      </c>
      <c r="T3" s="11">
        <v>1</v>
      </c>
      <c r="U3" s="11" t="s">
        <v>326</v>
      </c>
      <c r="V3" s="11" t="s">
        <v>334</v>
      </c>
      <c r="W3" s="11" t="s">
        <v>335</v>
      </c>
      <c r="X3" s="440">
        <v>45992.454861111109</v>
      </c>
      <c r="Y3" s="11"/>
      <c r="Z3" s="11">
        <v>0.4</v>
      </c>
      <c r="AA3" s="11"/>
      <c r="AB3" s="11" t="s">
        <v>329</v>
      </c>
      <c r="AC3" s="266" t="s">
        <v>330</v>
      </c>
      <c r="AD3" s="11" t="s">
        <v>331</v>
      </c>
      <c r="AE3" s="11"/>
      <c r="AF3" s="11"/>
      <c r="AG3" s="11"/>
      <c r="AH3" s="11"/>
      <c r="AI3" s="11"/>
      <c r="AJ3" s="11" t="s">
        <v>331</v>
      </c>
      <c r="AK3" s="11" t="s">
        <v>331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321</v>
      </c>
      <c r="C4" s="11">
        <v>2025120069</v>
      </c>
      <c r="D4" s="11"/>
      <c r="E4" s="11"/>
      <c r="F4" s="11" t="s">
        <v>70</v>
      </c>
      <c r="G4" s="11" t="s">
        <v>336</v>
      </c>
      <c r="H4" s="11" t="s">
        <v>323</v>
      </c>
      <c r="I4" s="11"/>
      <c r="J4" s="11"/>
      <c r="K4" s="11"/>
      <c r="L4" s="11"/>
      <c r="M4" s="12"/>
      <c r="N4" s="11"/>
      <c r="O4" s="12"/>
      <c r="P4" s="13"/>
      <c r="Q4" s="11" t="s">
        <v>337</v>
      </c>
      <c r="R4" s="11" t="s">
        <v>325</v>
      </c>
      <c r="S4" s="11" t="s">
        <v>123</v>
      </c>
      <c r="T4" s="11">
        <v>1</v>
      </c>
      <c r="U4" s="11" t="s">
        <v>326</v>
      </c>
      <c r="V4" s="11" t="s">
        <v>338</v>
      </c>
      <c r="W4" s="11" t="s">
        <v>339</v>
      </c>
      <c r="X4" s="440">
        <v>45992.465277777781</v>
      </c>
      <c r="Y4" s="11"/>
      <c r="Z4" s="11">
        <v>0.3</v>
      </c>
      <c r="AA4" s="11"/>
      <c r="AB4" s="11" t="s">
        <v>329</v>
      </c>
      <c r="AC4" s="266" t="s">
        <v>340</v>
      </c>
      <c r="AD4" s="11" t="s">
        <v>331</v>
      </c>
      <c r="AE4" s="11"/>
      <c r="AF4" s="11"/>
      <c r="AG4" s="11"/>
      <c r="AH4" s="11"/>
      <c r="AI4" s="11"/>
      <c r="AJ4" s="11" t="s">
        <v>331</v>
      </c>
      <c r="AK4" s="11" t="s">
        <v>331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321</v>
      </c>
      <c r="C5" s="11">
        <v>2025120073</v>
      </c>
      <c r="D5" s="11"/>
      <c r="E5" s="11"/>
      <c r="F5" s="11" t="s">
        <v>71</v>
      </c>
      <c r="G5" s="11" t="s">
        <v>341</v>
      </c>
      <c r="H5" s="11" t="s">
        <v>323</v>
      </c>
      <c r="I5" s="11"/>
      <c r="J5" s="11"/>
      <c r="K5" s="11"/>
      <c r="L5" s="11"/>
      <c r="M5" s="12"/>
      <c r="N5" s="11"/>
      <c r="O5" s="12"/>
      <c r="P5" s="13"/>
      <c r="Q5" s="11" t="s">
        <v>342</v>
      </c>
      <c r="R5" s="11" t="s">
        <v>325</v>
      </c>
      <c r="S5" s="11" t="s">
        <v>123</v>
      </c>
      <c r="T5" s="11">
        <v>1</v>
      </c>
      <c r="U5" s="11" t="s">
        <v>326</v>
      </c>
      <c r="V5" s="11" t="s">
        <v>343</v>
      </c>
      <c r="W5" s="11" t="s">
        <v>344</v>
      </c>
      <c r="X5" s="440">
        <v>45992.479166666657</v>
      </c>
      <c r="Y5" s="11"/>
      <c r="Z5" s="11">
        <v>0.3</v>
      </c>
      <c r="AA5" s="11"/>
      <c r="AB5" s="11" t="s">
        <v>329</v>
      </c>
      <c r="AC5" s="266" t="s">
        <v>340</v>
      </c>
      <c r="AD5" s="11" t="s">
        <v>331</v>
      </c>
      <c r="AE5" s="11"/>
      <c r="AF5" s="11"/>
      <c r="AG5" s="11"/>
      <c r="AH5" s="11"/>
      <c r="AI5" s="11"/>
      <c r="AJ5" s="11" t="s">
        <v>331</v>
      </c>
      <c r="AK5" s="11" t="s">
        <v>331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321</v>
      </c>
      <c r="C6" s="11">
        <v>2025120077</v>
      </c>
      <c r="D6" s="11"/>
      <c r="E6" s="11"/>
      <c r="F6" s="11">
        <v>4538</v>
      </c>
      <c r="G6" s="11" t="s">
        <v>345</v>
      </c>
      <c r="H6" s="11" t="s">
        <v>323</v>
      </c>
      <c r="I6" s="11"/>
      <c r="J6" s="11"/>
      <c r="K6" s="11"/>
      <c r="L6" s="11"/>
      <c r="M6" s="12"/>
      <c r="N6" s="11"/>
      <c r="O6" s="12"/>
      <c r="P6" s="13"/>
      <c r="Q6" s="11" t="s">
        <v>346</v>
      </c>
      <c r="R6" s="11" t="s">
        <v>325</v>
      </c>
      <c r="S6" s="11" t="s">
        <v>123</v>
      </c>
      <c r="T6" s="11">
        <v>1</v>
      </c>
      <c r="U6" s="11" t="s">
        <v>326</v>
      </c>
      <c r="V6" s="11" t="s">
        <v>347</v>
      </c>
      <c r="W6" s="11" t="s">
        <v>348</v>
      </c>
      <c r="X6" s="440">
        <v>45992.496527777781</v>
      </c>
      <c r="Y6" s="11"/>
      <c r="Z6" s="11">
        <v>0.4</v>
      </c>
      <c r="AA6" s="11"/>
      <c r="AB6" s="11" t="s">
        <v>329</v>
      </c>
      <c r="AC6" s="266" t="s">
        <v>330</v>
      </c>
      <c r="AD6" s="11" t="s">
        <v>331</v>
      </c>
      <c r="AE6" s="11"/>
      <c r="AF6" s="11"/>
      <c r="AG6" s="11"/>
      <c r="AH6" s="11"/>
      <c r="AI6" s="11"/>
      <c r="AJ6" s="11" t="s">
        <v>331</v>
      </c>
      <c r="AK6" s="11" t="s">
        <v>331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321</v>
      </c>
      <c r="C7" s="11">
        <v>2025120099</v>
      </c>
      <c r="D7" s="11"/>
      <c r="E7" s="11"/>
      <c r="F7" s="11">
        <v>4057</v>
      </c>
      <c r="G7" s="11" t="s">
        <v>349</v>
      </c>
      <c r="H7" s="11" t="s">
        <v>323</v>
      </c>
      <c r="I7" s="11"/>
      <c r="J7" s="11"/>
      <c r="K7" s="11"/>
      <c r="L7" s="11"/>
      <c r="M7" s="12"/>
      <c r="N7" s="11"/>
      <c r="O7" s="12"/>
      <c r="P7" s="13"/>
      <c r="Q7" s="11" t="s">
        <v>350</v>
      </c>
      <c r="R7" s="11" t="s">
        <v>325</v>
      </c>
      <c r="S7" s="11" t="s">
        <v>123</v>
      </c>
      <c r="T7" s="11">
        <v>1</v>
      </c>
      <c r="U7" s="11" t="s">
        <v>326</v>
      </c>
      <c r="V7" s="11" t="s">
        <v>351</v>
      </c>
      <c r="W7" s="11" t="s">
        <v>352</v>
      </c>
      <c r="X7" s="440">
        <v>45992.5625</v>
      </c>
      <c r="Y7" s="11"/>
      <c r="Z7" s="11">
        <v>0.5</v>
      </c>
      <c r="AA7" s="11"/>
      <c r="AB7" s="11" t="s">
        <v>329</v>
      </c>
      <c r="AC7" s="266" t="s">
        <v>330</v>
      </c>
      <c r="AD7" s="11" t="s">
        <v>331</v>
      </c>
      <c r="AE7" s="11"/>
      <c r="AF7" s="11"/>
      <c r="AG7" s="11"/>
      <c r="AH7" s="11"/>
      <c r="AI7" s="11"/>
      <c r="AJ7" s="11" t="s">
        <v>331</v>
      </c>
      <c r="AK7" s="11" t="s">
        <v>331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321</v>
      </c>
      <c r="C8" s="11">
        <v>2025120102</v>
      </c>
      <c r="D8" s="11"/>
      <c r="E8" s="11"/>
      <c r="F8" s="11">
        <v>3878</v>
      </c>
      <c r="G8" s="11" t="s">
        <v>353</v>
      </c>
      <c r="H8" s="11" t="s">
        <v>323</v>
      </c>
      <c r="I8" s="11"/>
      <c r="J8" s="11"/>
      <c r="K8" s="11"/>
      <c r="L8" s="11"/>
      <c r="M8" s="12"/>
      <c r="N8" s="11"/>
      <c r="O8" s="12"/>
      <c r="P8" s="13"/>
      <c r="Q8" s="11" t="s">
        <v>354</v>
      </c>
      <c r="R8" s="11" t="s">
        <v>325</v>
      </c>
      <c r="S8" s="11" t="s">
        <v>123</v>
      </c>
      <c r="T8" s="11">
        <v>1</v>
      </c>
      <c r="U8" s="11" t="s">
        <v>326</v>
      </c>
      <c r="V8" s="11" t="s">
        <v>355</v>
      </c>
      <c r="W8" s="11" t="s">
        <v>356</v>
      </c>
      <c r="X8" s="440">
        <v>45992.576388888891</v>
      </c>
      <c r="Y8" s="11"/>
      <c r="Z8" s="11">
        <v>0.3</v>
      </c>
      <c r="AA8" s="11"/>
      <c r="AB8" s="11" t="s">
        <v>329</v>
      </c>
      <c r="AC8" s="266" t="s">
        <v>330</v>
      </c>
      <c r="AD8" s="11" t="s">
        <v>331</v>
      </c>
      <c r="AE8" s="11"/>
      <c r="AF8" s="11"/>
      <c r="AG8" s="11"/>
      <c r="AH8" s="11"/>
      <c r="AI8" s="11"/>
      <c r="AJ8" s="11" t="s">
        <v>331</v>
      </c>
      <c r="AK8" s="11" t="s">
        <v>331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321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357</v>
      </c>
      <c r="I9" s="11"/>
      <c r="J9" s="11"/>
      <c r="K9" s="11"/>
      <c r="L9" s="11"/>
      <c r="M9" s="12"/>
      <c r="N9" s="11"/>
      <c r="O9" s="12"/>
      <c r="P9" s="13"/>
      <c r="Q9" s="11" t="s">
        <v>358</v>
      </c>
      <c r="R9" s="11" t="s">
        <v>325</v>
      </c>
      <c r="S9" s="11" t="s">
        <v>128</v>
      </c>
      <c r="T9" s="11">
        <v>1</v>
      </c>
      <c r="U9" s="11" t="s">
        <v>326</v>
      </c>
      <c r="V9" s="11" t="s">
        <v>359</v>
      </c>
      <c r="W9" s="11" t="s">
        <v>360</v>
      </c>
      <c r="X9" s="440">
        <v>45993.5625</v>
      </c>
      <c r="Y9" s="11"/>
      <c r="Z9" s="11">
        <v>2.5</v>
      </c>
      <c r="AA9" s="11"/>
      <c r="AB9" s="11" t="s">
        <v>329</v>
      </c>
      <c r="AC9" s="266" t="s">
        <v>361</v>
      </c>
      <c r="AD9" s="11"/>
      <c r="AE9" s="11" t="s">
        <v>331</v>
      </c>
      <c r="AF9" s="11"/>
      <c r="AG9" s="11"/>
      <c r="AH9" s="11"/>
      <c r="AI9" s="11"/>
      <c r="AJ9" s="11"/>
      <c r="AK9" s="11" t="s">
        <v>331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362</v>
      </c>
      <c r="C10" s="11">
        <v>2025120415</v>
      </c>
      <c r="D10" s="11" t="s">
        <v>363</v>
      </c>
      <c r="E10" s="11" t="s">
        <v>364</v>
      </c>
      <c r="F10" s="11" t="s">
        <v>47</v>
      </c>
      <c r="G10" s="11" t="s">
        <v>365</v>
      </c>
      <c r="H10" s="11" t="s">
        <v>357</v>
      </c>
      <c r="I10" s="11" t="s">
        <v>366</v>
      </c>
      <c r="J10" s="11" t="s">
        <v>367</v>
      </c>
      <c r="K10" s="11" t="s">
        <v>199</v>
      </c>
      <c r="L10" s="11" t="s">
        <v>368</v>
      </c>
      <c r="M10" s="12" t="s">
        <v>369</v>
      </c>
      <c r="N10" s="11">
        <v>2304</v>
      </c>
      <c r="O10" s="12" t="s">
        <v>370</v>
      </c>
      <c r="P10" s="13" t="s">
        <v>371</v>
      </c>
      <c r="Q10" s="11" t="s">
        <v>372</v>
      </c>
      <c r="R10" s="11" t="s">
        <v>325</v>
      </c>
      <c r="S10" s="11" t="s">
        <v>128</v>
      </c>
      <c r="T10" s="11">
        <v>1</v>
      </c>
      <c r="U10" s="11" t="s">
        <v>326</v>
      </c>
      <c r="V10" s="11" t="s">
        <v>373</v>
      </c>
      <c r="W10" s="11" t="s">
        <v>374</v>
      </c>
      <c r="X10" s="440">
        <v>45993.642361111109</v>
      </c>
      <c r="Y10" s="11" t="s">
        <v>375</v>
      </c>
      <c r="Z10" s="11">
        <v>0.5</v>
      </c>
      <c r="AA10" s="11"/>
      <c r="AB10" s="11" t="s">
        <v>329</v>
      </c>
      <c r="AC10" s="266" t="s">
        <v>376</v>
      </c>
      <c r="AD10" s="11"/>
      <c r="AE10" s="11"/>
      <c r="AF10" s="11"/>
      <c r="AG10" s="11"/>
      <c r="AH10" s="11"/>
      <c r="AI10" s="11"/>
      <c r="AJ10" s="11"/>
      <c r="AK10" s="11" t="s">
        <v>331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321</v>
      </c>
      <c r="C11" s="11">
        <v>2025120430</v>
      </c>
      <c r="D11" s="11"/>
      <c r="E11" s="11"/>
      <c r="F11" s="11" t="s">
        <v>47</v>
      </c>
      <c r="G11" s="11" t="s">
        <v>365</v>
      </c>
      <c r="H11" s="11" t="s">
        <v>357</v>
      </c>
      <c r="I11" s="11"/>
      <c r="J11" s="11"/>
      <c r="K11" s="11"/>
      <c r="L11" s="11"/>
      <c r="M11" s="12"/>
      <c r="N11" s="11"/>
      <c r="O11" s="12"/>
      <c r="P11" s="13"/>
      <c r="Q11" s="11" t="s">
        <v>372</v>
      </c>
      <c r="R11" s="11" t="s">
        <v>325</v>
      </c>
      <c r="S11" s="11" t="s">
        <v>128</v>
      </c>
      <c r="T11" s="11">
        <v>1</v>
      </c>
      <c r="U11" s="11" t="s">
        <v>326</v>
      </c>
      <c r="V11" s="11" t="s">
        <v>377</v>
      </c>
      <c r="W11" s="11" t="s">
        <v>378</v>
      </c>
      <c r="X11" s="440">
        <v>45993.621527777781</v>
      </c>
      <c r="Y11" s="11"/>
      <c r="Z11" s="11">
        <v>0.4</v>
      </c>
      <c r="AA11" s="11"/>
      <c r="AB11" s="11" t="s">
        <v>329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331</v>
      </c>
      <c r="AK11" s="11" t="s">
        <v>331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362</v>
      </c>
      <c r="C12" s="11">
        <v>2025120542</v>
      </c>
      <c r="D12" s="11" t="s">
        <v>379</v>
      </c>
      <c r="E12" s="11" t="s">
        <v>364</v>
      </c>
      <c r="F12" s="11">
        <v>3796</v>
      </c>
      <c r="G12" s="11" t="s">
        <v>380</v>
      </c>
      <c r="H12" s="11" t="s">
        <v>357</v>
      </c>
      <c r="I12" s="11" t="s">
        <v>381</v>
      </c>
      <c r="J12" s="11" t="s">
        <v>382</v>
      </c>
      <c r="K12" s="11" t="s">
        <v>383</v>
      </c>
      <c r="L12" s="11" t="s">
        <v>368</v>
      </c>
      <c r="M12" s="12" t="s">
        <v>369</v>
      </c>
      <c r="N12" s="11">
        <v>2307</v>
      </c>
      <c r="O12" s="12" t="s">
        <v>384</v>
      </c>
      <c r="P12" s="13" t="s">
        <v>385</v>
      </c>
      <c r="Q12" s="11" t="s">
        <v>386</v>
      </c>
      <c r="R12" s="11" t="s">
        <v>325</v>
      </c>
      <c r="S12" s="11" t="s">
        <v>128</v>
      </c>
      <c r="T12" s="11">
        <v>1</v>
      </c>
      <c r="U12" s="11" t="s">
        <v>326</v>
      </c>
      <c r="V12" s="11" t="s">
        <v>387</v>
      </c>
      <c r="W12" s="11" t="s">
        <v>388</v>
      </c>
      <c r="X12" s="440">
        <v>45994.444444444453</v>
      </c>
      <c r="Y12" s="11" t="s">
        <v>389</v>
      </c>
      <c r="Z12" s="11">
        <v>0.7</v>
      </c>
      <c r="AA12" s="11"/>
      <c r="AB12" s="11" t="s">
        <v>329</v>
      </c>
      <c r="AC12" s="266" t="s">
        <v>390</v>
      </c>
      <c r="AD12" s="11"/>
      <c r="AE12" s="11"/>
      <c r="AF12" s="11"/>
      <c r="AG12" s="11"/>
      <c r="AH12" s="11"/>
      <c r="AI12" s="11"/>
      <c r="AJ12" s="11"/>
      <c r="AK12" s="11" t="s">
        <v>331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321</v>
      </c>
      <c r="C13" s="11">
        <v>2025120595</v>
      </c>
      <c r="D13" s="11"/>
      <c r="E13" s="11"/>
      <c r="F13" s="11">
        <v>3796</v>
      </c>
      <c r="G13" s="11" t="s">
        <v>380</v>
      </c>
      <c r="H13" s="11" t="s">
        <v>357</v>
      </c>
      <c r="I13" s="11"/>
      <c r="J13" s="11"/>
      <c r="K13" s="11"/>
      <c r="L13" s="11"/>
      <c r="M13" s="12"/>
      <c r="N13" s="11"/>
      <c r="O13" s="12"/>
      <c r="P13" s="13"/>
      <c r="Q13" s="11" t="s">
        <v>386</v>
      </c>
      <c r="R13" s="11" t="s">
        <v>325</v>
      </c>
      <c r="S13" s="11" t="s">
        <v>128</v>
      </c>
      <c r="T13" s="11">
        <v>1</v>
      </c>
      <c r="U13" s="11" t="s">
        <v>326</v>
      </c>
      <c r="V13" s="11" t="s">
        <v>391</v>
      </c>
      <c r="W13" s="11" t="s">
        <v>392</v>
      </c>
      <c r="X13" s="440">
        <v>45994.465277777781</v>
      </c>
      <c r="Y13" s="11"/>
      <c r="Z13" s="11">
        <v>0.3</v>
      </c>
      <c r="AA13" s="11"/>
      <c r="AB13" s="11" t="s">
        <v>329</v>
      </c>
      <c r="AC13" s="266" t="s">
        <v>330</v>
      </c>
      <c r="AD13" s="11" t="s">
        <v>331</v>
      </c>
      <c r="AE13" s="11"/>
      <c r="AF13" s="11"/>
      <c r="AG13" s="11"/>
      <c r="AH13" s="11"/>
      <c r="AI13" s="11"/>
      <c r="AJ13" s="11"/>
      <c r="AK13" s="11" t="s">
        <v>331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362</v>
      </c>
      <c r="C14" s="11">
        <v>2025120682</v>
      </c>
      <c r="D14" s="11" t="s">
        <v>393</v>
      </c>
      <c r="E14" s="11" t="s">
        <v>364</v>
      </c>
      <c r="F14" s="11" t="s">
        <v>66</v>
      </c>
      <c r="G14" s="11" t="s">
        <v>394</v>
      </c>
      <c r="H14" s="11" t="s">
        <v>395</v>
      </c>
      <c r="I14" s="11" t="s">
        <v>396</v>
      </c>
      <c r="J14" s="11" t="s">
        <v>382</v>
      </c>
      <c r="K14" s="11" t="s">
        <v>199</v>
      </c>
      <c r="L14" s="11" t="s">
        <v>397</v>
      </c>
      <c r="M14" s="12" t="s">
        <v>398</v>
      </c>
      <c r="N14" s="11" t="s">
        <v>399</v>
      </c>
      <c r="O14" s="12" t="s">
        <v>400</v>
      </c>
      <c r="P14" s="13" t="s">
        <v>401</v>
      </c>
      <c r="Q14" s="11" t="s">
        <v>402</v>
      </c>
      <c r="R14" s="11" t="s">
        <v>325</v>
      </c>
      <c r="S14" s="11" t="s">
        <v>139</v>
      </c>
      <c r="T14" s="11">
        <v>1</v>
      </c>
      <c r="U14" s="11" t="s">
        <v>326</v>
      </c>
      <c r="V14" s="11" t="s">
        <v>403</v>
      </c>
      <c r="W14" s="11" t="s">
        <v>404</v>
      </c>
      <c r="X14" s="440">
        <v>45995.642361111109</v>
      </c>
      <c r="Y14" s="11" t="s">
        <v>405</v>
      </c>
      <c r="Z14" s="11">
        <v>0.4</v>
      </c>
      <c r="AA14" s="11"/>
      <c r="AB14" s="11" t="s">
        <v>329</v>
      </c>
      <c r="AC14" s="266" t="s">
        <v>406</v>
      </c>
      <c r="AD14" s="11"/>
      <c r="AE14" s="11"/>
      <c r="AF14" s="11"/>
      <c r="AG14" s="11"/>
      <c r="AH14" s="11"/>
      <c r="AI14" s="11"/>
      <c r="AJ14" s="11"/>
      <c r="AK14" s="11" t="s">
        <v>331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362</v>
      </c>
      <c r="C15" s="11">
        <v>2025120703</v>
      </c>
      <c r="D15" s="11" t="s">
        <v>407</v>
      </c>
      <c r="E15" s="11" t="s">
        <v>364</v>
      </c>
      <c r="F15" s="11">
        <v>5410</v>
      </c>
      <c r="G15" s="11" t="s">
        <v>184</v>
      </c>
      <c r="H15" s="11" t="s">
        <v>357</v>
      </c>
      <c r="I15" s="11" t="s">
        <v>408</v>
      </c>
      <c r="J15" s="11" t="s">
        <v>382</v>
      </c>
      <c r="K15" s="11" t="s">
        <v>199</v>
      </c>
      <c r="L15" s="11" t="s">
        <v>368</v>
      </c>
      <c r="M15" s="12" t="s">
        <v>369</v>
      </c>
      <c r="N15" s="11">
        <v>2305</v>
      </c>
      <c r="O15" s="12" t="s">
        <v>409</v>
      </c>
      <c r="P15" s="13" t="s">
        <v>410</v>
      </c>
      <c r="Q15" s="11" t="s">
        <v>358</v>
      </c>
      <c r="R15" s="11" t="s">
        <v>325</v>
      </c>
      <c r="S15" s="11" t="s">
        <v>128</v>
      </c>
      <c r="T15" s="11">
        <v>1</v>
      </c>
      <c r="U15" s="11" t="s">
        <v>326</v>
      </c>
      <c r="V15" s="11" t="s">
        <v>411</v>
      </c>
      <c r="W15" s="11" t="s">
        <v>412</v>
      </c>
      <c r="X15" s="440">
        <v>45995.614583333343</v>
      </c>
      <c r="Y15" s="11" t="s">
        <v>413</v>
      </c>
      <c r="Z15" s="11">
        <v>0.4</v>
      </c>
      <c r="AA15" s="11"/>
      <c r="AB15" s="11" t="s">
        <v>329</v>
      </c>
      <c r="AC15" s="266" t="s">
        <v>414</v>
      </c>
      <c r="AD15" s="11"/>
      <c r="AE15" s="11"/>
      <c r="AF15" s="11"/>
      <c r="AG15" s="11"/>
      <c r="AH15" s="11"/>
      <c r="AI15" s="11"/>
      <c r="AJ15" s="11"/>
      <c r="AK15" s="11" t="s">
        <v>331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321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357</v>
      </c>
      <c r="I16" s="11"/>
      <c r="J16" s="11"/>
      <c r="K16" s="11"/>
      <c r="L16" s="11"/>
      <c r="M16" s="12"/>
      <c r="N16" s="11"/>
      <c r="O16" s="12"/>
      <c r="P16" s="13"/>
      <c r="Q16" s="11" t="s">
        <v>415</v>
      </c>
      <c r="R16" s="11" t="s">
        <v>325</v>
      </c>
      <c r="S16" s="11" t="s">
        <v>128</v>
      </c>
      <c r="T16" s="11">
        <v>1</v>
      </c>
      <c r="U16" s="11" t="s">
        <v>326</v>
      </c>
      <c r="V16" s="11" t="s">
        <v>416</v>
      </c>
      <c r="W16" s="11" t="s">
        <v>417</v>
      </c>
      <c r="X16" s="440">
        <v>45995.548611111109</v>
      </c>
      <c r="Y16" s="11"/>
      <c r="Z16" s="11">
        <v>2.2000000000000002</v>
      </c>
      <c r="AA16" s="11"/>
      <c r="AB16" s="11" t="s">
        <v>329</v>
      </c>
      <c r="AC16" s="266" t="s">
        <v>418</v>
      </c>
      <c r="AD16" s="11"/>
      <c r="AE16" s="11" t="s">
        <v>331</v>
      </c>
      <c r="AF16" s="11"/>
      <c r="AG16" s="11"/>
      <c r="AH16" s="11"/>
      <c r="AI16" s="11"/>
      <c r="AJ16" s="11"/>
      <c r="AK16" s="11" t="s">
        <v>331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321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357</v>
      </c>
      <c r="I17" s="11"/>
      <c r="J17" s="11"/>
      <c r="K17" s="11"/>
      <c r="L17" s="11"/>
      <c r="M17" s="12"/>
      <c r="N17" s="11"/>
      <c r="O17" s="12"/>
      <c r="P17" s="13"/>
      <c r="Q17" s="11" t="s">
        <v>415</v>
      </c>
      <c r="R17" s="11" t="s">
        <v>325</v>
      </c>
      <c r="S17" s="11" t="s">
        <v>128</v>
      </c>
      <c r="T17" s="11">
        <v>1</v>
      </c>
      <c r="U17" s="11" t="s">
        <v>326</v>
      </c>
      <c r="V17" s="11" t="s">
        <v>419</v>
      </c>
      <c r="W17" s="11" t="s">
        <v>420</v>
      </c>
      <c r="X17" s="440">
        <v>45995.576388888891</v>
      </c>
      <c r="Y17" s="11"/>
      <c r="Z17" s="11">
        <v>0.5</v>
      </c>
      <c r="AA17" s="11"/>
      <c r="AB17" s="11" t="s">
        <v>329</v>
      </c>
      <c r="AC17" s="266" t="s">
        <v>330</v>
      </c>
      <c r="AD17" s="11" t="s">
        <v>331</v>
      </c>
      <c r="AE17" s="11"/>
      <c r="AF17" s="11"/>
      <c r="AG17" s="11"/>
      <c r="AH17" s="11"/>
      <c r="AI17" s="11"/>
      <c r="AJ17" s="11"/>
      <c r="AK17" s="11" t="s">
        <v>331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362</v>
      </c>
      <c r="C18" s="11">
        <v>2025120869</v>
      </c>
      <c r="D18" s="11" t="s">
        <v>421</v>
      </c>
      <c r="E18" s="11" t="s">
        <v>364</v>
      </c>
      <c r="F18" s="11">
        <v>5364</v>
      </c>
      <c r="G18" s="11" t="s">
        <v>260</v>
      </c>
      <c r="H18" s="11" t="s">
        <v>323</v>
      </c>
      <c r="I18" s="11" t="s">
        <v>422</v>
      </c>
      <c r="J18" s="11" t="s">
        <v>423</v>
      </c>
      <c r="K18" s="11" t="s">
        <v>199</v>
      </c>
      <c r="L18" s="11" t="s">
        <v>368</v>
      </c>
      <c r="M18" s="12" t="s">
        <v>369</v>
      </c>
      <c r="N18" s="11">
        <v>2306</v>
      </c>
      <c r="O18" s="12" t="s">
        <v>424</v>
      </c>
      <c r="P18" s="13" t="s">
        <v>425</v>
      </c>
      <c r="Q18" s="11" t="s">
        <v>426</v>
      </c>
      <c r="R18" s="11" t="s">
        <v>325</v>
      </c>
      <c r="S18" s="11" t="s">
        <v>123</v>
      </c>
      <c r="T18" s="11">
        <v>1</v>
      </c>
      <c r="U18" s="11" t="s">
        <v>326</v>
      </c>
      <c r="V18" s="11" t="s">
        <v>427</v>
      </c>
      <c r="W18" s="11" t="s">
        <v>404</v>
      </c>
      <c r="X18" s="440">
        <v>45995.666666666657</v>
      </c>
      <c r="Y18" s="11" t="s">
        <v>428</v>
      </c>
      <c r="Z18" s="11">
        <v>1</v>
      </c>
      <c r="AA18" s="11"/>
      <c r="AB18" s="11" t="s">
        <v>329</v>
      </c>
      <c r="AC18" s="266" t="s">
        <v>429</v>
      </c>
      <c r="AD18" s="11"/>
      <c r="AE18" s="11"/>
      <c r="AF18" s="11"/>
      <c r="AG18" s="11"/>
      <c r="AH18" s="11"/>
      <c r="AI18" s="11"/>
      <c r="AJ18" s="11"/>
      <c r="AK18" s="11" t="s">
        <v>331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321</v>
      </c>
      <c r="C19" s="11">
        <v>2025121151</v>
      </c>
      <c r="D19" s="11"/>
      <c r="E19" s="11"/>
      <c r="F19" s="11">
        <v>3811</v>
      </c>
      <c r="G19" s="11" t="s">
        <v>430</v>
      </c>
      <c r="H19" s="11" t="s">
        <v>357</v>
      </c>
      <c r="I19" s="11"/>
      <c r="J19" s="11"/>
      <c r="K19" s="11"/>
      <c r="L19" s="11"/>
      <c r="M19" s="12"/>
      <c r="N19" s="11"/>
      <c r="O19" s="12"/>
      <c r="P19" s="13"/>
      <c r="Q19" s="11" t="s">
        <v>431</v>
      </c>
      <c r="R19" s="11" t="s">
        <v>325</v>
      </c>
      <c r="S19" s="11" t="s">
        <v>128</v>
      </c>
      <c r="T19" s="11">
        <v>1</v>
      </c>
      <c r="U19" s="11" t="s">
        <v>326</v>
      </c>
      <c r="V19" s="11" t="s">
        <v>432</v>
      </c>
      <c r="W19" s="11" t="s">
        <v>433</v>
      </c>
      <c r="X19" s="440">
        <v>45996.555555555547</v>
      </c>
      <c r="Y19" s="11"/>
      <c r="Z19" s="11">
        <v>0.3</v>
      </c>
      <c r="AA19" s="11"/>
      <c r="AB19" s="11" t="s">
        <v>329</v>
      </c>
      <c r="AC19" s="266" t="s">
        <v>330</v>
      </c>
      <c r="AD19" s="11" t="s">
        <v>331</v>
      </c>
      <c r="AE19" s="11"/>
      <c r="AF19" s="11"/>
      <c r="AG19" s="11"/>
      <c r="AH19" s="11"/>
      <c r="AI19" s="11"/>
      <c r="AJ19" s="11"/>
      <c r="AK19" s="11" t="s">
        <v>331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321</v>
      </c>
      <c r="C20" s="11">
        <v>2025121177</v>
      </c>
      <c r="D20" s="11"/>
      <c r="E20" s="11"/>
      <c r="F20" s="11">
        <v>4101</v>
      </c>
      <c r="G20" s="11" t="s">
        <v>434</v>
      </c>
      <c r="H20" s="11" t="s">
        <v>357</v>
      </c>
      <c r="I20" s="11"/>
      <c r="J20" s="11"/>
      <c r="K20" s="11"/>
      <c r="L20" s="11"/>
      <c r="M20" s="12"/>
      <c r="N20" s="11"/>
      <c r="O20" s="12"/>
      <c r="P20" s="13"/>
      <c r="Q20" s="11" t="s">
        <v>435</v>
      </c>
      <c r="R20" s="11" t="s">
        <v>325</v>
      </c>
      <c r="S20" s="11" t="s">
        <v>128</v>
      </c>
      <c r="T20" s="11">
        <v>1</v>
      </c>
      <c r="U20" s="11" t="s">
        <v>326</v>
      </c>
      <c r="V20" s="11" t="s">
        <v>436</v>
      </c>
      <c r="W20" s="11" t="s">
        <v>437</v>
      </c>
      <c r="X20" s="440">
        <v>45996.576388888891</v>
      </c>
      <c r="Y20" s="11"/>
      <c r="Z20" s="11">
        <v>0.3</v>
      </c>
      <c r="AA20" s="11"/>
      <c r="AB20" s="11" t="s">
        <v>329</v>
      </c>
      <c r="AC20" s="266" t="s">
        <v>330</v>
      </c>
      <c r="AD20" s="11" t="s">
        <v>331</v>
      </c>
      <c r="AE20" s="11"/>
      <c r="AF20" s="11"/>
      <c r="AG20" s="11"/>
      <c r="AH20" s="11"/>
      <c r="AI20" s="11"/>
      <c r="AJ20" s="11"/>
      <c r="AK20" s="11" t="s">
        <v>331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321</v>
      </c>
      <c r="C21" s="11">
        <v>2025121185</v>
      </c>
      <c r="D21" s="11"/>
      <c r="E21" s="11"/>
      <c r="F21" s="11" t="s">
        <v>72</v>
      </c>
      <c r="G21" s="11" t="s">
        <v>438</v>
      </c>
      <c r="H21" s="11" t="s">
        <v>357</v>
      </c>
      <c r="I21" s="11"/>
      <c r="J21" s="11"/>
      <c r="K21" s="11"/>
      <c r="L21" s="11"/>
      <c r="M21" s="12"/>
      <c r="N21" s="11"/>
      <c r="O21" s="12"/>
      <c r="P21" s="13"/>
      <c r="Q21" s="11" t="s">
        <v>439</v>
      </c>
      <c r="R21" s="11" t="s">
        <v>325</v>
      </c>
      <c r="S21" s="11" t="s">
        <v>128</v>
      </c>
      <c r="T21" s="11">
        <v>1</v>
      </c>
      <c r="U21" s="11" t="s">
        <v>326</v>
      </c>
      <c r="V21" s="11" t="s">
        <v>440</v>
      </c>
      <c r="W21" s="11" t="s">
        <v>441</v>
      </c>
      <c r="X21" s="440">
        <v>45996.618055555547</v>
      </c>
      <c r="Y21" s="11"/>
      <c r="Z21" s="11">
        <v>0.3</v>
      </c>
      <c r="AA21" s="11"/>
      <c r="AB21" s="11" t="s">
        <v>329</v>
      </c>
      <c r="AC21" s="266" t="s">
        <v>330</v>
      </c>
      <c r="AD21" s="11" t="s">
        <v>331</v>
      </c>
      <c r="AE21" s="11"/>
      <c r="AF21" s="11"/>
      <c r="AG21" s="11"/>
      <c r="AH21" s="11"/>
      <c r="AI21" s="11"/>
      <c r="AJ21" s="11"/>
      <c r="AK21" s="11" t="s">
        <v>331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362</v>
      </c>
      <c r="C22" s="11">
        <v>2025121138</v>
      </c>
      <c r="D22" s="11" t="s">
        <v>442</v>
      </c>
      <c r="E22" s="11" t="s">
        <v>364</v>
      </c>
      <c r="F22" s="11" t="s">
        <v>66</v>
      </c>
      <c r="G22" s="11" t="s">
        <v>394</v>
      </c>
      <c r="H22" s="11" t="s">
        <v>395</v>
      </c>
      <c r="I22" s="11" t="s">
        <v>443</v>
      </c>
      <c r="J22" s="11" t="s">
        <v>444</v>
      </c>
      <c r="K22" s="11" t="s">
        <v>445</v>
      </c>
      <c r="L22" s="11" t="s">
        <v>446</v>
      </c>
      <c r="M22" s="12" t="s">
        <v>447</v>
      </c>
      <c r="N22" s="11" t="s">
        <v>448</v>
      </c>
      <c r="O22" s="12" t="s">
        <v>449</v>
      </c>
      <c r="P22" s="13" t="s">
        <v>450</v>
      </c>
      <c r="Q22" s="11" t="s">
        <v>402</v>
      </c>
      <c r="R22" s="11" t="s">
        <v>325</v>
      </c>
      <c r="S22" s="11" t="s">
        <v>139</v>
      </c>
      <c r="T22" s="11">
        <v>1</v>
      </c>
      <c r="U22" s="11" t="s">
        <v>326</v>
      </c>
      <c r="V22" s="11" t="s">
        <v>451</v>
      </c>
      <c r="W22" s="11" t="s">
        <v>452</v>
      </c>
      <c r="X22" s="440">
        <v>45999.570833333331</v>
      </c>
      <c r="Y22" s="11" t="s">
        <v>453</v>
      </c>
      <c r="Z22" s="11">
        <v>0.5</v>
      </c>
      <c r="AA22" s="11"/>
      <c r="AB22" s="11" t="s">
        <v>329</v>
      </c>
      <c r="AC22" s="266" t="s">
        <v>454</v>
      </c>
      <c r="AD22" s="11"/>
      <c r="AE22" s="11"/>
      <c r="AF22" s="11"/>
      <c r="AG22" s="11"/>
      <c r="AH22" s="11"/>
      <c r="AI22" s="11"/>
      <c r="AJ22" s="11"/>
      <c r="AK22" s="11" t="s">
        <v>331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362</v>
      </c>
      <c r="C23" s="11">
        <v>2025121326</v>
      </c>
      <c r="D23" s="11" t="s">
        <v>455</v>
      </c>
      <c r="E23" s="11" t="s">
        <v>364</v>
      </c>
      <c r="F23" s="11">
        <v>3811</v>
      </c>
      <c r="G23" s="11" t="s">
        <v>430</v>
      </c>
      <c r="H23" s="11" t="s">
        <v>357</v>
      </c>
      <c r="I23" s="11" t="s">
        <v>456</v>
      </c>
      <c r="J23" s="11" t="s">
        <v>457</v>
      </c>
      <c r="K23" s="11" t="s">
        <v>445</v>
      </c>
      <c r="L23" s="11" t="s">
        <v>458</v>
      </c>
      <c r="M23" s="12" t="s">
        <v>459</v>
      </c>
      <c r="N23" s="11" t="s">
        <v>460</v>
      </c>
      <c r="O23" s="12" t="s">
        <v>461</v>
      </c>
      <c r="P23" s="13" t="s">
        <v>462</v>
      </c>
      <c r="Q23" s="11" t="s">
        <v>431</v>
      </c>
      <c r="R23" s="11" t="s">
        <v>325</v>
      </c>
      <c r="S23" s="11" t="s">
        <v>128</v>
      </c>
      <c r="T23" s="11">
        <v>1</v>
      </c>
      <c r="U23" s="11" t="s">
        <v>326</v>
      </c>
      <c r="V23" s="11" t="s">
        <v>463</v>
      </c>
      <c r="W23" s="11" t="s">
        <v>464</v>
      </c>
      <c r="X23" s="440">
        <v>45999.409722222219</v>
      </c>
      <c r="Y23" s="11" t="s">
        <v>465</v>
      </c>
      <c r="Z23" s="11">
        <v>0.3</v>
      </c>
      <c r="AA23" s="11"/>
      <c r="AB23" s="11" t="s">
        <v>329</v>
      </c>
      <c r="AC23" s="266" t="s">
        <v>466</v>
      </c>
      <c r="AD23" s="11"/>
      <c r="AE23" s="11"/>
      <c r="AF23" s="11"/>
      <c r="AG23" s="11"/>
      <c r="AH23" s="11"/>
      <c r="AI23" s="11"/>
      <c r="AJ23" s="11"/>
      <c r="AK23" s="11" t="s">
        <v>331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362</v>
      </c>
      <c r="C24" s="11">
        <v>2025121327</v>
      </c>
      <c r="D24" s="11" t="s">
        <v>467</v>
      </c>
      <c r="E24" s="11" t="s">
        <v>364</v>
      </c>
      <c r="F24" s="11" t="s">
        <v>47</v>
      </c>
      <c r="G24" s="11" t="s">
        <v>365</v>
      </c>
      <c r="H24" s="11" t="s">
        <v>357</v>
      </c>
      <c r="I24" s="11" t="s">
        <v>468</v>
      </c>
      <c r="J24" s="11" t="s">
        <v>457</v>
      </c>
      <c r="K24" s="11" t="s">
        <v>199</v>
      </c>
      <c r="L24" s="11" t="s">
        <v>368</v>
      </c>
      <c r="M24" s="12" t="s">
        <v>369</v>
      </c>
      <c r="N24" s="11">
        <v>2306</v>
      </c>
      <c r="O24" s="12" t="s">
        <v>424</v>
      </c>
      <c r="P24" s="13" t="s">
        <v>469</v>
      </c>
      <c r="Q24" s="11" t="s">
        <v>372</v>
      </c>
      <c r="R24" s="11" t="s">
        <v>325</v>
      </c>
      <c r="S24" s="11" t="s">
        <v>128</v>
      </c>
      <c r="T24" s="11">
        <v>1</v>
      </c>
      <c r="U24" s="11" t="s">
        <v>326</v>
      </c>
      <c r="V24" s="11" t="s">
        <v>470</v>
      </c>
      <c r="W24" s="11" t="s">
        <v>471</v>
      </c>
      <c r="X24" s="440">
        <v>45997.793055555558</v>
      </c>
      <c r="Y24" s="11" t="s">
        <v>465</v>
      </c>
      <c r="Z24" s="11">
        <v>0.5</v>
      </c>
      <c r="AA24" s="11"/>
      <c r="AB24" s="11" t="s">
        <v>329</v>
      </c>
      <c r="AC24" s="266" t="s">
        <v>472</v>
      </c>
      <c r="AD24" s="11"/>
      <c r="AE24" s="11"/>
      <c r="AF24" s="11"/>
      <c r="AG24" s="11"/>
      <c r="AH24" s="11"/>
      <c r="AI24" s="11"/>
      <c r="AJ24" s="11"/>
      <c r="AK24" s="11" t="s">
        <v>331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362</v>
      </c>
      <c r="C25" s="11">
        <v>2025121328</v>
      </c>
      <c r="D25" s="11" t="s">
        <v>473</v>
      </c>
      <c r="E25" s="11" t="s">
        <v>474</v>
      </c>
      <c r="F25" s="11" t="s">
        <v>47</v>
      </c>
      <c r="G25" s="11" t="s">
        <v>365</v>
      </c>
      <c r="H25" s="11" t="s">
        <v>357</v>
      </c>
      <c r="I25" s="11" t="s">
        <v>475</v>
      </c>
      <c r="J25" s="11" t="s">
        <v>457</v>
      </c>
      <c r="K25" s="11" t="s">
        <v>199</v>
      </c>
      <c r="L25" s="11" t="s">
        <v>368</v>
      </c>
      <c r="M25" s="12" t="s">
        <v>369</v>
      </c>
      <c r="N25" s="11">
        <v>2306</v>
      </c>
      <c r="O25" s="12" t="s">
        <v>424</v>
      </c>
      <c r="P25" s="13" t="s">
        <v>476</v>
      </c>
      <c r="Q25" s="11" t="s">
        <v>372</v>
      </c>
      <c r="R25" s="11" t="s">
        <v>325</v>
      </c>
      <c r="S25" s="11" t="s">
        <v>128</v>
      </c>
      <c r="T25" s="11">
        <v>1</v>
      </c>
      <c r="U25" s="11" t="s">
        <v>326</v>
      </c>
      <c r="V25" s="11" t="s">
        <v>477</v>
      </c>
      <c r="W25" s="11" t="s">
        <v>478</v>
      </c>
      <c r="X25" s="440">
        <v>45997.791666666657</v>
      </c>
      <c r="Y25" s="11" t="s">
        <v>479</v>
      </c>
      <c r="Z25" s="11">
        <v>0.5</v>
      </c>
      <c r="AA25" s="11"/>
      <c r="AB25" s="11" t="s">
        <v>329</v>
      </c>
      <c r="AC25" s="266" t="s">
        <v>472</v>
      </c>
      <c r="AD25" s="11"/>
      <c r="AE25" s="11"/>
      <c r="AF25" s="11"/>
      <c r="AG25" s="11"/>
      <c r="AH25" s="11"/>
      <c r="AI25" s="11"/>
      <c r="AJ25" s="11"/>
      <c r="AK25" s="11" t="s">
        <v>331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362</v>
      </c>
      <c r="C26" s="11">
        <v>2025121332</v>
      </c>
      <c r="D26" s="11" t="s">
        <v>480</v>
      </c>
      <c r="E26" s="11" t="s">
        <v>364</v>
      </c>
      <c r="F26" s="11">
        <v>3811</v>
      </c>
      <c r="G26" s="11" t="s">
        <v>430</v>
      </c>
      <c r="H26" s="11" t="s">
        <v>357</v>
      </c>
      <c r="I26" s="11" t="s">
        <v>481</v>
      </c>
      <c r="J26" s="11" t="s">
        <v>482</v>
      </c>
      <c r="K26" s="11" t="s">
        <v>445</v>
      </c>
      <c r="L26" s="11" t="s">
        <v>397</v>
      </c>
      <c r="M26" s="12" t="s">
        <v>398</v>
      </c>
      <c r="N26" s="11" t="s">
        <v>399</v>
      </c>
      <c r="O26" s="12" t="s">
        <v>400</v>
      </c>
      <c r="P26" s="13" t="s">
        <v>483</v>
      </c>
      <c r="Q26" s="11" t="s">
        <v>431</v>
      </c>
      <c r="R26" s="11" t="s">
        <v>325</v>
      </c>
      <c r="S26" s="11" t="s">
        <v>128</v>
      </c>
      <c r="T26" s="11">
        <v>1</v>
      </c>
      <c r="U26" s="11" t="s">
        <v>326</v>
      </c>
      <c r="V26" s="11" t="s">
        <v>484</v>
      </c>
      <c r="W26" s="11" t="s">
        <v>485</v>
      </c>
      <c r="X26" s="440">
        <v>45999.434027777781</v>
      </c>
      <c r="Y26" s="11" t="s">
        <v>465</v>
      </c>
      <c r="Z26" s="11">
        <v>0.5</v>
      </c>
      <c r="AA26" s="11"/>
      <c r="AB26" s="11" t="s">
        <v>329</v>
      </c>
      <c r="AC26" s="266" t="s">
        <v>486</v>
      </c>
      <c r="AD26" s="11"/>
      <c r="AE26" s="11"/>
      <c r="AF26" s="11"/>
      <c r="AG26" s="11"/>
      <c r="AH26" s="11"/>
      <c r="AI26" s="11"/>
      <c r="AJ26" s="11"/>
      <c r="AK26" s="11" t="s">
        <v>331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362</v>
      </c>
      <c r="C27" s="11">
        <v>2025121347</v>
      </c>
      <c r="D27" s="11" t="s">
        <v>487</v>
      </c>
      <c r="E27" s="11" t="s">
        <v>364</v>
      </c>
      <c r="F27" s="11">
        <v>3785</v>
      </c>
      <c r="G27" s="11" t="s">
        <v>488</v>
      </c>
      <c r="H27" s="11" t="s">
        <v>489</v>
      </c>
      <c r="I27" s="11" t="s">
        <v>490</v>
      </c>
      <c r="J27" s="11" t="s">
        <v>491</v>
      </c>
      <c r="K27" s="11" t="s">
        <v>445</v>
      </c>
      <c r="L27" s="11" t="s">
        <v>492</v>
      </c>
      <c r="M27" s="12" t="s">
        <v>493</v>
      </c>
      <c r="N27" s="11">
        <v>2501</v>
      </c>
      <c r="O27" s="12" t="s">
        <v>494</v>
      </c>
      <c r="P27" s="13" t="s">
        <v>495</v>
      </c>
      <c r="Q27" s="11" t="s">
        <v>496</v>
      </c>
      <c r="R27" s="11" t="s">
        <v>325</v>
      </c>
      <c r="S27" s="11" t="s">
        <v>139</v>
      </c>
      <c r="T27" s="11">
        <v>1</v>
      </c>
      <c r="U27" s="11" t="s">
        <v>326</v>
      </c>
      <c r="V27" s="11" t="s">
        <v>497</v>
      </c>
      <c r="W27" s="11" t="s">
        <v>498</v>
      </c>
      <c r="X27" s="440">
        <v>45999.55</v>
      </c>
      <c r="Y27" s="11" t="s">
        <v>499</v>
      </c>
      <c r="Z27" s="11">
        <v>0.5</v>
      </c>
      <c r="AA27" s="11"/>
      <c r="AB27" s="11" t="s">
        <v>329</v>
      </c>
      <c r="AC27" s="266" t="s">
        <v>454</v>
      </c>
      <c r="AD27" s="11"/>
      <c r="AE27" s="11"/>
      <c r="AF27" s="11"/>
      <c r="AG27" s="11"/>
      <c r="AH27" s="11"/>
      <c r="AI27" s="11"/>
      <c r="AJ27" s="11"/>
      <c r="AK27" s="11" t="s">
        <v>331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362</v>
      </c>
      <c r="C28" s="11">
        <v>2025121362</v>
      </c>
      <c r="D28" s="11" t="s">
        <v>500</v>
      </c>
      <c r="E28" s="11" t="s">
        <v>474</v>
      </c>
      <c r="F28" s="11">
        <v>3811</v>
      </c>
      <c r="G28" s="11" t="s">
        <v>430</v>
      </c>
      <c r="H28" s="11" t="s">
        <v>357</v>
      </c>
      <c r="I28" s="11" t="s">
        <v>501</v>
      </c>
      <c r="J28" s="11" t="s">
        <v>491</v>
      </c>
      <c r="K28" s="11" t="s">
        <v>445</v>
      </c>
      <c r="L28" s="11" t="s">
        <v>397</v>
      </c>
      <c r="M28" s="12" t="s">
        <v>398</v>
      </c>
      <c r="N28" s="11" t="s">
        <v>399</v>
      </c>
      <c r="O28" s="12" t="s">
        <v>400</v>
      </c>
      <c r="P28" s="13" t="s">
        <v>502</v>
      </c>
      <c r="Q28" s="11" t="s">
        <v>431</v>
      </c>
      <c r="R28" s="11" t="s">
        <v>325</v>
      </c>
      <c r="S28" s="11" t="s">
        <v>128</v>
      </c>
      <c r="T28" s="11">
        <v>1</v>
      </c>
      <c r="U28" s="11" t="s">
        <v>326</v>
      </c>
      <c r="V28" s="11" t="s">
        <v>503</v>
      </c>
      <c r="W28" s="11" t="s">
        <v>485</v>
      </c>
      <c r="X28" s="440">
        <v>45999.434027777781</v>
      </c>
      <c r="Y28" s="11" t="s">
        <v>504</v>
      </c>
      <c r="Z28" s="11">
        <v>0.5</v>
      </c>
      <c r="AA28" s="11"/>
      <c r="AB28" s="11" t="s">
        <v>329</v>
      </c>
      <c r="AC28" s="266" t="s">
        <v>486</v>
      </c>
      <c r="AD28" s="11"/>
      <c r="AE28" s="11"/>
      <c r="AF28" s="11"/>
      <c r="AG28" s="11"/>
      <c r="AH28" s="11"/>
      <c r="AI28" s="11"/>
      <c r="AJ28" s="11"/>
      <c r="AK28" s="11" t="s">
        <v>331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321</v>
      </c>
      <c r="C29" s="11">
        <v>2025121389</v>
      </c>
      <c r="D29" s="11"/>
      <c r="E29" s="11"/>
      <c r="F29" s="11" t="s">
        <v>75</v>
      </c>
      <c r="G29" s="11" t="s">
        <v>505</v>
      </c>
      <c r="H29" s="11" t="s">
        <v>357</v>
      </c>
      <c r="I29" s="11"/>
      <c r="J29" s="11"/>
      <c r="K29" s="11"/>
      <c r="L29" s="11"/>
      <c r="M29" s="12"/>
      <c r="N29" s="11"/>
      <c r="O29" s="12"/>
      <c r="P29" s="13"/>
      <c r="Q29" s="11" t="s">
        <v>506</v>
      </c>
      <c r="R29" s="11" t="s">
        <v>325</v>
      </c>
      <c r="S29" s="11" t="s">
        <v>128</v>
      </c>
      <c r="T29" s="11">
        <v>1</v>
      </c>
      <c r="U29" s="11" t="s">
        <v>326</v>
      </c>
      <c r="V29" s="11" t="s">
        <v>507</v>
      </c>
      <c r="W29" s="11" t="s">
        <v>508</v>
      </c>
      <c r="X29" s="440">
        <v>45999.458333333343</v>
      </c>
      <c r="Y29" s="11"/>
      <c r="Z29" s="11">
        <v>0.3</v>
      </c>
      <c r="AA29" s="11"/>
      <c r="AB29" s="11" t="s">
        <v>329</v>
      </c>
      <c r="AC29" s="266" t="s">
        <v>330</v>
      </c>
      <c r="AD29" s="11" t="s">
        <v>331</v>
      </c>
      <c r="AE29" s="11"/>
      <c r="AF29" s="11"/>
      <c r="AG29" s="11"/>
      <c r="AH29" s="11"/>
      <c r="AI29" s="11"/>
      <c r="AJ29" s="11"/>
      <c r="AK29" s="11" t="s">
        <v>331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362</v>
      </c>
      <c r="C30" s="11">
        <v>2025121394</v>
      </c>
      <c r="D30" s="11" t="s">
        <v>509</v>
      </c>
      <c r="E30" s="11" t="s">
        <v>474</v>
      </c>
      <c r="F30" s="11">
        <v>3785</v>
      </c>
      <c r="G30" s="11" t="s">
        <v>488</v>
      </c>
      <c r="H30" s="11" t="s">
        <v>489</v>
      </c>
      <c r="I30" s="11" t="s">
        <v>510</v>
      </c>
      <c r="J30" s="11" t="s">
        <v>491</v>
      </c>
      <c r="K30" s="11" t="s">
        <v>445</v>
      </c>
      <c r="L30" s="11" t="s">
        <v>492</v>
      </c>
      <c r="M30" s="12" t="s">
        <v>493</v>
      </c>
      <c r="N30" s="11">
        <v>2501</v>
      </c>
      <c r="O30" s="12" t="s">
        <v>494</v>
      </c>
      <c r="P30" s="13" t="s">
        <v>511</v>
      </c>
      <c r="Q30" s="11" t="s">
        <v>496</v>
      </c>
      <c r="R30" s="11" t="s">
        <v>325</v>
      </c>
      <c r="S30" s="11" t="s">
        <v>139</v>
      </c>
      <c r="T30" s="11">
        <v>1</v>
      </c>
      <c r="U30" s="11" t="s">
        <v>326</v>
      </c>
      <c r="V30" s="11" t="s">
        <v>512</v>
      </c>
      <c r="W30" s="11" t="s">
        <v>513</v>
      </c>
      <c r="X30" s="440">
        <v>45999.549305555563</v>
      </c>
      <c r="Y30" s="11" t="s">
        <v>514</v>
      </c>
      <c r="Z30" s="11">
        <v>0.5</v>
      </c>
      <c r="AA30" s="11"/>
      <c r="AB30" s="11" t="s">
        <v>329</v>
      </c>
      <c r="AC30" s="266" t="s">
        <v>454</v>
      </c>
      <c r="AD30" s="11"/>
      <c r="AE30" s="11"/>
      <c r="AF30" s="11"/>
      <c r="AG30" s="11"/>
      <c r="AH30" s="11"/>
      <c r="AI30" s="11"/>
      <c r="AJ30" s="11"/>
      <c r="AK30" s="11" t="s">
        <v>331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321</v>
      </c>
      <c r="C31" s="11">
        <v>2025121395</v>
      </c>
      <c r="D31" s="11"/>
      <c r="E31" s="11"/>
      <c r="F31" s="11">
        <v>3957</v>
      </c>
      <c r="G31" s="11" t="s">
        <v>515</v>
      </c>
      <c r="H31" s="11" t="s">
        <v>357</v>
      </c>
      <c r="I31" s="11"/>
      <c r="J31" s="11"/>
      <c r="K31" s="11"/>
      <c r="L31" s="11"/>
      <c r="M31" s="12"/>
      <c r="N31" s="11"/>
      <c r="O31" s="12"/>
      <c r="P31" s="13"/>
      <c r="Q31" s="11" t="s">
        <v>516</v>
      </c>
      <c r="R31" s="11" t="s">
        <v>325</v>
      </c>
      <c r="S31" s="11" t="s">
        <v>128</v>
      </c>
      <c r="T31" s="11">
        <v>1</v>
      </c>
      <c r="U31" s="11" t="s">
        <v>326</v>
      </c>
      <c r="V31" s="11" t="s">
        <v>517</v>
      </c>
      <c r="W31" s="11" t="s">
        <v>518</v>
      </c>
      <c r="X31" s="440">
        <v>45999.513888888891</v>
      </c>
      <c r="Y31" s="11"/>
      <c r="Z31" s="11">
        <v>0.3</v>
      </c>
      <c r="AA31" s="11"/>
      <c r="AB31" s="11" t="s">
        <v>329</v>
      </c>
      <c r="AC31" s="266" t="s">
        <v>330</v>
      </c>
      <c r="AD31" s="11" t="s">
        <v>331</v>
      </c>
      <c r="AE31" s="11"/>
      <c r="AF31" s="11"/>
      <c r="AG31" s="11"/>
      <c r="AH31" s="11"/>
      <c r="AI31" s="11"/>
      <c r="AJ31" s="11"/>
      <c r="AK31" s="11" t="s">
        <v>331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321</v>
      </c>
      <c r="C32" s="11">
        <v>2025121396</v>
      </c>
      <c r="D32" s="11"/>
      <c r="E32" s="11"/>
      <c r="F32" s="11">
        <v>3957</v>
      </c>
      <c r="G32" s="11" t="s">
        <v>515</v>
      </c>
      <c r="H32" s="11" t="s">
        <v>357</v>
      </c>
      <c r="I32" s="11"/>
      <c r="J32" s="11"/>
      <c r="K32" s="11"/>
      <c r="L32" s="11"/>
      <c r="M32" s="12"/>
      <c r="N32" s="11"/>
      <c r="O32" s="12"/>
      <c r="P32" s="13"/>
      <c r="Q32" s="11" t="s">
        <v>516</v>
      </c>
      <c r="R32" s="11" t="s">
        <v>325</v>
      </c>
      <c r="S32" s="11" t="s">
        <v>128</v>
      </c>
      <c r="T32" s="11">
        <v>1</v>
      </c>
      <c r="U32" s="11" t="s">
        <v>326</v>
      </c>
      <c r="V32" s="11" t="s">
        <v>519</v>
      </c>
      <c r="W32" s="11" t="s">
        <v>518</v>
      </c>
      <c r="X32" s="440">
        <v>45999.513888888891</v>
      </c>
      <c r="Y32" s="11"/>
      <c r="Z32" s="11">
        <v>0.3</v>
      </c>
      <c r="AA32" s="11"/>
      <c r="AB32" s="11" t="s">
        <v>329</v>
      </c>
      <c r="AC32" s="266" t="s">
        <v>330</v>
      </c>
      <c r="AD32" s="11" t="s">
        <v>331</v>
      </c>
      <c r="AE32" s="11"/>
      <c r="AF32" s="11"/>
      <c r="AG32" s="11"/>
      <c r="AH32" s="11"/>
      <c r="AI32" s="11"/>
      <c r="AJ32" s="11"/>
      <c r="AK32" s="11" t="s">
        <v>331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321</v>
      </c>
      <c r="C33" s="11">
        <v>2025121400</v>
      </c>
      <c r="D33" s="11"/>
      <c r="E33" s="11"/>
      <c r="F33" s="11">
        <v>2349</v>
      </c>
      <c r="G33" s="11" t="s">
        <v>520</v>
      </c>
      <c r="H33" s="11" t="s">
        <v>357</v>
      </c>
      <c r="I33" s="11"/>
      <c r="J33" s="11"/>
      <c r="K33" s="11"/>
      <c r="L33" s="11"/>
      <c r="M33" s="12"/>
      <c r="N33" s="11"/>
      <c r="O33" s="12"/>
      <c r="P33" s="13"/>
      <c r="Q33" s="11" t="s">
        <v>521</v>
      </c>
      <c r="R33" s="11" t="s">
        <v>325</v>
      </c>
      <c r="S33" s="11" t="s">
        <v>128</v>
      </c>
      <c r="T33" s="11">
        <v>1</v>
      </c>
      <c r="U33" s="11" t="s">
        <v>326</v>
      </c>
      <c r="V33" s="11" t="s">
        <v>522</v>
      </c>
      <c r="W33" s="11" t="s">
        <v>523</v>
      </c>
      <c r="X33" s="440">
        <v>45999.548611111109</v>
      </c>
      <c r="Y33" s="11"/>
      <c r="Z33" s="11">
        <v>0.3</v>
      </c>
      <c r="AA33" s="11"/>
      <c r="AB33" s="11" t="s">
        <v>329</v>
      </c>
      <c r="AC33" s="266" t="s">
        <v>330</v>
      </c>
      <c r="AD33" s="11" t="s">
        <v>331</v>
      </c>
      <c r="AE33" s="11"/>
      <c r="AF33" s="11"/>
      <c r="AG33" s="11"/>
      <c r="AH33" s="11"/>
      <c r="AI33" s="11"/>
      <c r="AJ33" s="11"/>
      <c r="AK33" s="11" t="s">
        <v>331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321</v>
      </c>
      <c r="C34" s="11">
        <v>2025121404</v>
      </c>
      <c r="D34" s="11"/>
      <c r="E34" s="11"/>
      <c r="F34" s="11">
        <v>2222</v>
      </c>
      <c r="G34" s="11" t="s">
        <v>154</v>
      </c>
      <c r="H34" s="11" t="s">
        <v>357</v>
      </c>
      <c r="I34" s="11"/>
      <c r="J34" s="11"/>
      <c r="K34" s="11"/>
      <c r="L34" s="11"/>
      <c r="M34" s="12"/>
      <c r="N34" s="11"/>
      <c r="O34" s="12"/>
      <c r="P34" s="13"/>
      <c r="Q34" s="11" t="s">
        <v>524</v>
      </c>
      <c r="R34" s="11" t="s">
        <v>325</v>
      </c>
      <c r="S34" s="11" t="s">
        <v>128</v>
      </c>
      <c r="T34" s="11">
        <v>1</v>
      </c>
      <c r="U34" s="11" t="s">
        <v>326</v>
      </c>
      <c r="V34" s="11" t="s">
        <v>525</v>
      </c>
      <c r="W34" s="11" t="s">
        <v>526</v>
      </c>
      <c r="X34" s="440">
        <v>45999.572916666657</v>
      </c>
      <c r="Y34" s="11"/>
      <c r="Z34" s="11">
        <v>0.3</v>
      </c>
      <c r="AA34" s="11"/>
      <c r="AB34" s="11" t="s">
        <v>329</v>
      </c>
      <c r="AC34" s="266" t="s">
        <v>330</v>
      </c>
      <c r="AD34" s="11" t="s">
        <v>331</v>
      </c>
      <c r="AE34" s="11"/>
      <c r="AF34" s="11"/>
      <c r="AG34" s="11"/>
      <c r="AH34" s="11"/>
      <c r="AI34" s="11"/>
      <c r="AJ34" s="11"/>
      <c r="AK34" s="11" t="s">
        <v>331</v>
      </c>
      <c r="AL34" s="267" t="e">
        <f t="shared" ref="AL34:AL65" si="2">DATEVALUE(TEXT(I34, "yyyy/mm/dd"))</f>
        <v>#VALUE!</v>
      </c>
      <c r="AM34" s="265">
        <f t="shared" ref="AM34:AM65" si="3">DATEVALUE(TEXT(X34, "yyyy/mm/dd"))</f>
        <v>45999</v>
      </c>
    </row>
    <row r="35" spans="1:39" ht="21.6" customHeight="1">
      <c r="A35" s="11">
        <v>35</v>
      </c>
      <c r="B35" s="11" t="s">
        <v>321</v>
      </c>
      <c r="C35" s="11">
        <v>2025121407</v>
      </c>
      <c r="D35" s="11"/>
      <c r="E35" s="11"/>
      <c r="F35" s="11">
        <v>4145</v>
      </c>
      <c r="G35" s="11" t="s">
        <v>527</v>
      </c>
      <c r="H35" s="11" t="s">
        <v>395</v>
      </c>
      <c r="I35" s="11"/>
      <c r="J35" s="11"/>
      <c r="K35" s="11"/>
      <c r="L35" s="11"/>
      <c r="M35" s="12"/>
      <c r="N35" s="11"/>
      <c r="O35" s="12"/>
      <c r="P35" s="13"/>
      <c r="Q35" s="11" t="s">
        <v>528</v>
      </c>
      <c r="R35" s="11" t="s">
        <v>325</v>
      </c>
      <c r="S35" s="11" t="s">
        <v>139</v>
      </c>
      <c r="T35" s="11">
        <v>1</v>
      </c>
      <c r="U35" s="11" t="s">
        <v>326</v>
      </c>
      <c r="V35" s="11" t="s">
        <v>529</v>
      </c>
      <c r="W35" s="11" t="s">
        <v>530</v>
      </c>
      <c r="X35" s="440">
        <v>45999.588194444441</v>
      </c>
      <c r="Y35" s="11"/>
      <c r="Z35" s="11">
        <v>0.2</v>
      </c>
      <c r="AA35" s="11"/>
      <c r="AB35" s="11" t="s">
        <v>329</v>
      </c>
      <c r="AC35" s="266" t="s">
        <v>330</v>
      </c>
      <c r="AD35" s="11" t="s">
        <v>331</v>
      </c>
      <c r="AE35" s="11"/>
      <c r="AF35" s="11"/>
      <c r="AG35" s="11"/>
      <c r="AH35" s="11"/>
      <c r="AI35" s="11"/>
      <c r="AJ35" s="11"/>
      <c r="AK35" s="11" t="s">
        <v>331</v>
      </c>
      <c r="AL35" s="267" t="e">
        <f t="shared" si="2"/>
        <v>#VALUE!</v>
      </c>
      <c r="AM35" s="265">
        <f t="shared" si="3"/>
        <v>45999</v>
      </c>
    </row>
    <row r="36" spans="1:39" ht="21.6" customHeight="1">
      <c r="A36" s="11">
        <v>36</v>
      </c>
      <c r="B36" s="11" t="s">
        <v>321</v>
      </c>
      <c r="C36" s="11">
        <v>2025121413</v>
      </c>
      <c r="D36" s="11"/>
      <c r="E36" s="11"/>
      <c r="F36" s="11">
        <v>2403</v>
      </c>
      <c r="G36" s="11" t="s">
        <v>531</v>
      </c>
      <c r="H36" s="11" t="s">
        <v>395</v>
      </c>
      <c r="I36" s="11"/>
      <c r="J36" s="11"/>
      <c r="K36" s="11"/>
      <c r="L36" s="11"/>
      <c r="M36" s="12"/>
      <c r="N36" s="11"/>
      <c r="O36" s="12"/>
      <c r="P36" s="13"/>
      <c r="Q36" s="11" t="s">
        <v>532</v>
      </c>
      <c r="R36" s="11" t="s">
        <v>325</v>
      </c>
      <c r="S36" s="11" t="s">
        <v>139</v>
      </c>
      <c r="T36" s="11">
        <v>1</v>
      </c>
      <c r="U36" s="11" t="s">
        <v>326</v>
      </c>
      <c r="V36" s="11" t="s">
        <v>533</v>
      </c>
      <c r="W36" s="11" t="s">
        <v>534</v>
      </c>
      <c r="X36" s="440">
        <v>45999.60833333333</v>
      </c>
      <c r="Y36" s="11"/>
      <c r="Z36" s="11">
        <v>0.4</v>
      </c>
      <c r="AA36" s="11"/>
      <c r="AB36" s="11" t="s">
        <v>329</v>
      </c>
      <c r="AC36" s="266" t="s">
        <v>330</v>
      </c>
      <c r="AD36" s="11" t="s">
        <v>331</v>
      </c>
      <c r="AE36" s="11"/>
      <c r="AF36" s="11"/>
      <c r="AG36" s="11"/>
      <c r="AH36" s="11"/>
      <c r="AI36" s="11"/>
      <c r="AJ36" s="11"/>
      <c r="AK36" s="11" t="s">
        <v>331</v>
      </c>
      <c r="AL36" s="267" t="e">
        <f t="shared" si="2"/>
        <v>#VALUE!</v>
      </c>
      <c r="AM36" s="265">
        <f t="shared" si="3"/>
        <v>45999</v>
      </c>
    </row>
    <row r="37" spans="1:39" ht="21.6" customHeight="1">
      <c r="A37" s="11">
        <v>37</v>
      </c>
      <c r="B37" s="11" t="s">
        <v>321</v>
      </c>
      <c r="C37" s="11">
        <v>2025121425</v>
      </c>
      <c r="D37" s="11"/>
      <c r="E37" s="11"/>
      <c r="F37" s="11" t="s">
        <v>73</v>
      </c>
      <c r="G37" s="11" t="s">
        <v>535</v>
      </c>
      <c r="H37" s="11" t="s">
        <v>395</v>
      </c>
      <c r="I37" s="11"/>
      <c r="J37" s="11"/>
      <c r="K37" s="11"/>
      <c r="L37" s="11"/>
      <c r="M37" s="12"/>
      <c r="N37" s="11"/>
      <c r="O37" s="12"/>
      <c r="P37" s="13"/>
      <c r="Q37" s="11" t="s">
        <v>536</v>
      </c>
      <c r="R37" s="11" t="s">
        <v>325</v>
      </c>
      <c r="S37" s="11" t="s">
        <v>139</v>
      </c>
      <c r="T37" s="11">
        <v>1</v>
      </c>
      <c r="U37" s="11" t="s">
        <v>326</v>
      </c>
      <c r="V37" s="11" t="s">
        <v>537</v>
      </c>
      <c r="W37" s="11" t="s">
        <v>538</v>
      </c>
      <c r="X37" s="440">
        <v>45999.620833333327</v>
      </c>
      <c r="Y37" s="11"/>
      <c r="Z37" s="11">
        <v>0.2</v>
      </c>
      <c r="AA37" s="11"/>
      <c r="AB37" s="11" t="s">
        <v>329</v>
      </c>
      <c r="AC37" s="266" t="s">
        <v>330</v>
      </c>
      <c r="AD37" s="11" t="s">
        <v>331</v>
      </c>
      <c r="AE37" s="11"/>
      <c r="AF37" s="11"/>
      <c r="AG37" s="11"/>
      <c r="AH37" s="11"/>
      <c r="AI37" s="11"/>
      <c r="AJ37" s="11"/>
      <c r="AK37" s="11" t="s">
        <v>331</v>
      </c>
      <c r="AL37" s="267" t="e">
        <f t="shared" si="2"/>
        <v>#VALUE!</v>
      </c>
      <c r="AM37" s="265">
        <f t="shared" si="3"/>
        <v>45999</v>
      </c>
    </row>
    <row r="38" spans="1:39" ht="21.6" customHeight="1">
      <c r="A38" s="11">
        <v>38</v>
      </c>
      <c r="B38" s="11" t="s">
        <v>321</v>
      </c>
      <c r="C38" s="11">
        <v>2025121429</v>
      </c>
      <c r="D38" s="11"/>
      <c r="E38" s="11"/>
      <c r="F38" s="11">
        <v>3772</v>
      </c>
      <c r="G38" s="11" t="s">
        <v>539</v>
      </c>
      <c r="H38" s="11" t="s">
        <v>357</v>
      </c>
      <c r="I38" s="11"/>
      <c r="J38" s="11"/>
      <c r="K38" s="11"/>
      <c r="L38" s="11"/>
      <c r="M38" s="12"/>
      <c r="N38" s="11"/>
      <c r="O38" s="12"/>
      <c r="P38" s="13"/>
      <c r="Q38" s="11" t="s">
        <v>540</v>
      </c>
      <c r="R38" s="11" t="s">
        <v>325</v>
      </c>
      <c r="S38" s="11" t="s">
        <v>128</v>
      </c>
      <c r="T38" s="11">
        <v>1</v>
      </c>
      <c r="U38" s="11" t="s">
        <v>326</v>
      </c>
      <c r="V38" s="11" t="s">
        <v>541</v>
      </c>
      <c r="W38" s="11" t="s">
        <v>542</v>
      </c>
      <c r="X38" s="440">
        <v>45999.631944444453</v>
      </c>
      <c r="Y38" s="11"/>
      <c r="Z38" s="11">
        <v>0.3</v>
      </c>
      <c r="AA38" s="11"/>
      <c r="AB38" s="11" t="s">
        <v>329</v>
      </c>
      <c r="AC38" s="266" t="s">
        <v>330</v>
      </c>
      <c r="AD38" s="11" t="s">
        <v>331</v>
      </c>
      <c r="AE38" s="11"/>
      <c r="AF38" s="11"/>
      <c r="AG38" s="11"/>
      <c r="AH38" s="11"/>
      <c r="AI38" s="11"/>
      <c r="AJ38" s="11"/>
      <c r="AK38" s="11" t="s">
        <v>331</v>
      </c>
      <c r="AL38" s="267" t="e">
        <f t="shared" si="2"/>
        <v>#VALUE!</v>
      </c>
      <c r="AM38" s="265">
        <f t="shared" si="3"/>
        <v>45999</v>
      </c>
    </row>
    <row r="39" spans="1:39" ht="21.6" customHeight="1">
      <c r="A39" s="11">
        <v>39</v>
      </c>
      <c r="B39" s="11" t="s">
        <v>321</v>
      </c>
      <c r="C39" s="11">
        <v>2025121431</v>
      </c>
      <c r="D39" s="11"/>
      <c r="E39" s="11"/>
      <c r="F39" s="11">
        <v>2422</v>
      </c>
      <c r="G39" s="11" t="s">
        <v>543</v>
      </c>
      <c r="H39" s="11" t="s">
        <v>395</v>
      </c>
      <c r="I39" s="11"/>
      <c r="J39" s="11"/>
      <c r="K39" s="11"/>
      <c r="L39" s="11"/>
      <c r="M39" s="12"/>
      <c r="N39" s="11"/>
      <c r="O39" s="12"/>
      <c r="P39" s="13"/>
      <c r="Q39" s="11" t="s">
        <v>544</v>
      </c>
      <c r="R39" s="11" t="s">
        <v>325</v>
      </c>
      <c r="S39" s="11" t="s">
        <v>139</v>
      </c>
      <c r="T39" s="11">
        <v>1</v>
      </c>
      <c r="U39" s="11" t="s">
        <v>326</v>
      </c>
      <c r="V39" s="11" t="s">
        <v>545</v>
      </c>
      <c r="W39" s="11" t="s">
        <v>546</v>
      </c>
      <c r="X39" s="440">
        <v>45999.638888888891</v>
      </c>
      <c r="Y39" s="11"/>
      <c r="Z39" s="11">
        <v>0.3</v>
      </c>
      <c r="AA39" s="11"/>
      <c r="AB39" s="11" t="s">
        <v>329</v>
      </c>
      <c r="AC39" s="266" t="s">
        <v>330</v>
      </c>
      <c r="AD39" s="11" t="s">
        <v>331</v>
      </c>
      <c r="AE39" s="11"/>
      <c r="AF39" s="11"/>
      <c r="AG39" s="11"/>
      <c r="AH39" s="11"/>
      <c r="AI39" s="11"/>
      <c r="AJ39" s="11"/>
      <c r="AK39" s="11" t="s">
        <v>331</v>
      </c>
      <c r="AL39" s="267" t="e">
        <f t="shared" si="2"/>
        <v>#VALUE!</v>
      </c>
      <c r="AM39" s="265">
        <f t="shared" si="3"/>
        <v>45999</v>
      </c>
    </row>
    <row r="40" spans="1:39" ht="21.6" customHeight="1">
      <c r="A40" s="11">
        <v>40</v>
      </c>
      <c r="B40" s="11" t="s">
        <v>321</v>
      </c>
      <c r="C40" s="11">
        <v>2025121432</v>
      </c>
      <c r="D40" s="11"/>
      <c r="E40" s="11"/>
      <c r="F40" s="11" t="s">
        <v>74</v>
      </c>
      <c r="G40" s="11" t="s">
        <v>547</v>
      </c>
      <c r="H40" s="11" t="s">
        <v>357</v>
      </c>
      <c r="I40" s="11"/>
      <c r="J40" s="11"/>
      <c r="K40" s="11"/>
      <c r="L40" s="11"/>
      <c r="M40" s="12"/>
      <c r="N40" s="11"/>
      <c r="O40" s="12"/>
      <c r="P40" s="13"/>
      <c r="Q40" s="11" t="s">
        <v>548</v>
      </c>
      <c r="R40" s="11" t="s">
        <v>325</v>
      </c>
      <c r="S40" s="11" t="s">
        <v>128</v>
      </c>
      <c r="T40" s="11">
        <v>1</v>
      </c>
      <c r="U40" s="11" t="s">
        <v>326</v>
      </c>
      <c r="V40" s="11" t="s">
        <v>549</v>
      </c>
      <c r="W40" s="11" t="s">
        <v>550</v>
      </c>
      <c r="X40" s="440">
        <v>45999.649305555547</v>
      </c>
      <c r="Y40" s="11"/>
      <c r="Z40" s="11">
        <v>0.3</v>
      </c>
      <c r="AA40" s="11"/>
      <c r="AB40" s="11" t="s">
        <v>329</v>
      </c>
      <c r="AC40" s="266" t="s">
        <v>330</v>
      </c>
      <c r="AD40" s="11" t="s">
        <v>331</v>
      </c>
      <c r="AE40" s="11"/>
      <c r="AF40" s="11"/>
      <c r="AG40" s="11"/>
      <c r="AH40" s="11"/>
      <c r="AI40" s="11"/>
      <c r="AJ40" s="11"/>
      <c r="AK40" s="11" t="s">
        <v>331</v>
      </c>
      <c r="AL40" s="267" t="e">
        <f t="shared" si="2"/>
        <v>#VALUE!</v>
      </c>
      <c r="AM40" s="265">
        <f t="shared" si="3"/>
        <v>45999</v>
      </c>
    </row>
    <row r="41" spans="1:39" ht="21.6" customHeight="1">
      <c r="A41" s="11">
        <v>41</v>
      </c>
      <c r="B41" s="11" t="s">
        <v>321</v>
      </c>
      <c r="C41" s="11">
        <v>2025121437</v>
      </c>
      <c r="D41" s="11"/>
      <c r="E41" s="11"/>
      <c r="F41" s="11">
        <v>4422</v>
      </c>
      <c r="G41" s="11" t="s">
        <v>551</v>
      </c>
      <c r="H41" s="11" t="s">
        <v>395</v>
      </c>
      <c r="I41" s="11"/>
      <c r="J41" s="11"/>
      <c r="K41" s="11"/>
      <c r="L41" s="11"/>
      <c r="M41" s="12"/>
      <c r="N41" s="11"/>
      <c r="O41" s="12"/>
      <c r="P41" s="13"/>
      <c r="Q41" s="11" t="s">
        <v>552</v>
      </c>
      <c r="R41" s="11" t="s">
        <v>325</v>
      </c>
      <c r="S41" s="11" t="s">
        <v>139</v>
      </c>
      <c r="T41" s="11">
        <v>1</v>
      </c>
      <c r="U41" s="11" t="s">
        <v>326</v>
      </c>
      <c r="V41" s="11" t="s">
        <v>553</v>
      </c>
      <c r="W41" s="11" t="s">
        <v>554</v>
      </c>
      <c r="X41" s="440">
        <v>45999.654861111107</v>
      </c>
      <c r="Y41" s="11"/>
      <c r="Z41" s="11">
        <v>0.2</v>
      </c>
      <c r="AA41" s="11"/>
      <c r="AB41" s="11" t="s">
        <v>329</v>
      </c>
      <c r="AC41" s="266" t="s">
        <v>330</v>
      </c>
      <c r="AD41" s="11" t="s">
        <v>331</v>
      </c>
      <c r="AE41" s="11"/>
      <c r="AF41" s="11"/>
      <c r="AG41" s="11"/>
      <c r="AH41" s="11"/>
      <c r="AI41" s="11"/>
      <c r="AJ41" s="11"/>
      <c r="AK41" s="11" t="s">
        <v>331</v>
      </c>
      <c r="AL41" s="267" t="e">
        <f t="shared" si="2"/>
        <v>#VALUE!</v>
      </c>
      <c r="AM41" s="265">
        <f t="shared" si="3"/>
        <v>45999</v>
      </c>
    </row>
    <row r="42" spans="1:39" ht="21.6" customHeight="1">
      <c r="A42" s="11">
        <v>42</v>
      </c>
      <c r="B42" s="11" t="s">
        <v>362</v>
      </c>
      <c r="C42" s="11">
        <v>2025121470</v>
      </c>
      <c r="D42" s="11" t="s">
        <v>555</v>
      </c>
      <c r="E42" s="11" t="s">
        <v>364</v>
      </c>
      <c r="F42" s="11">
        <v>3785</v>
      </c>
      <c r="G42" s="11" t="s">
        <v>488</v>
      </c>
      <c r="H42" s="11" t="s">
        <v>489</v>
      </c>
      <c r="I42" s="11" t="s">
        <v>556</v>
      </c>
      <c r="J42" s="11" t="s">
        <v>367</v>
      </c>
      <c r="K42" s="11" t="s">
        <v>445</v>
      </c>
      <c r="L42" s="11" t="s">
        <v>557</v>
      </c>
      <c r="M42" s="12" t="s">
        <v>558</v>
      </c>
      <c r="N42" s="11">
        <v>2405</v>
      </c>
      <c r="O42" s="12" t="s">
        <v>559</v>
      </c>
      <c r="P42" s="13" t="s">
        <v>560</v>
      </c>
      <c r="Q42" s="11" t="s">
        <v>496</v>
      </c>
      <c r="R42" s="11" t="s">
        <v>325</v>
      </c>
      <c r="S42" s="11" t="s">
        <v>139</v>
      </c>
      <c r="T42" s="11">
        <v>1</v>
      </c>
      <c r="U42" s="11" t="s">
        <v>326</v>
      </c>
      <c r="V42" s="11" t="s">
        <v>561</v>
      </c>
      <c r="W42" s="11" t="s">
        <v>562</v>
      </c>
      <c r="X42" s="440">
        <v>46000.638888888891</v>
      </c>
      <c r="Y42" s="11" t="s">
        <v>563</v>
      </c>
      <c r="Z42" s="11">
        <v>3.3</v>
      </c>
      <c r="AA42" s="11"/>
      <c r="AB42" s="11" t="s">
        <v>329</v>
      </c>
      <c r="AC42" s="266" t="s">
        <v>564</v>
      </c>
      <c r="AD42" s="11"/>
      <c r="AE42" s="11"/>
      <c r="AF42" s="11"/>
      <c r="AG42" s="11"/>
      <c r="AH42" s="11"/>
      <c r="AI42" s="11"/>
      <c r="AJ42" s="11"/>
      <c r="AK42" s="11" t="s">
        <v>331</v>
      </c>
      <c r="AL42" s="267">
        <f t="shared" si="2"/>
        <v>46000</v>
      </c>
      <c r="AM42" s="265">
        <f t="shared" si="3"/>
        <v>46000</v>
      </c>
    </row>
    <row r="43" spans="1:39" ht="21.6" customHeight="1">
      <c r="A43" s="11">
        <v>43</v>
      </c>
      <c r="B43" s="11" t="s">
        <v>321</v>
      </c>
      <c r="C43" s="11">
        <v>2025121486</v>
      </c>
      <c r="D43" s="11"/>
      <c r="E43" s="11"/>
      <c r="F43" s="11">
        <v>4658</v>
      </c>
      <c r="G43" s="11" t="s">
        <v>565</v>
      </c>
      <c r="H43" s="11" t="s">
        <v>566</v>
      </c>
      <c r="I43" s="11"/>
      <c r="J43" s="11"/>
      <c r="K43" s="11"/>
      <c r="L43" s="11"/>
      <c r="M43" s="12"/>
      <c r="N43" s="11"/>
      <c r="O43" s="12"/>
      <c r="P43" s="13"/>
      <c r="Q43" s="11" t="s">
        <v>567</v>
      </c>
      <c r="R43" s="11" t="s">
        <v>325</v>
      </c>
      <c r="S43" s="11" t="s">
        <v>128</v>
      </c>
      <c r="T43" s="11">
        <v>1</v>
      </c>
      <c r="U43" s="11" t="s">
        <v>326</v>
      </c>
      <c r="V43" s="11" t="s">
        <v>568</v>
      </c>
      <c r="W43" s="11" t="s">
        <v>569</v>
      </c>
      <c r="X43" s="440">
        <v>46000.430555555547</v>
      </c>
      <c r="Y43" s="11"/>
      <c r="Z43" s="11">
        <v>0.5</v>
      </c>
      <c r="AA43" s="11"/>
      <c r="AB43" s="11" t="s">
        <v>329</v>
      </c>
      <c r="AC43" s="266" t="s">
        <v>330</v>
      </c>
      <c r="AD43" s="11" t="s">
        <v>331</v>
      </c>
      <c r="AE43" s="11"/>
      <c r="AF43" s="11"/>
      <c r="AG43" s="11"/>
      <c r="AH43" s="11"/>
      <c r="AI43" s="11"/>
      <c r="AJ43" s="11"/>
      <c r="AK43" s="11" t="s">
        <v>331</v>
      </c>
      <c r="AL43" s="267" t="e">
        <f t="shared" si="2"/>
        <v>#VALUE!</v>
      </c>
      <c r="AM43" s="265">
        <f t="shared" si="3"/>
        <v>46000</v>
      </c>
    </row>
    <row r="44" spans="1:39" ht="21.6" customHeight="1">
      <c r="A44" s="11">
        <v>44</v>
      </c>
      <c r="B44" s="11" t="s">
        <v>321</v>
      </c>
      <c r="C44" s="11">
        <v>2025121487</v>
      </c>
      <c r="D44" s="11"/>
      <c r="E44" s="11"/>
      <c r="F44" s="11">
        <v>3751</v>
      </c>
      <c r="G44" s="11" t="s">
        <v>570</v>
      </c>
      <c r="H44" s="11" t="s">
        <v>566</v>
      </c>
      <c r="I44" s="11"/>
      <c r="J44" s="11"/>
      <c r="K44" s="11"/>
      <c r="L44" s="11"/>
      <c r="M44" s="12"/>
      <c r="N44" s="11"/>
      <c r="O44" s="12"/>
      <c r="P44" s="13"/>
      <c r="Q44" s="11" t="s">
        <v>571</v>
      </c>
      <c r="R44" s="11" t="s">
        <v>325</v>
      </c>
      <c r="S44" s="11" t="s">
        <v>128</v>
      </c>
      <c r="T44" s="11">
        <v>1</v>
      </c>
      <c r="U44" s="11" t="s">
        <v>326</v>
      </c>
      <c r="V44" s="11" t="s">
        <v>572</v>
      </c>
      <c r="W44" s="11" t="s">
        <v>573</v>
      </c>
      <c r="X44" s="440">
        <v>46000.472222222219</v>
      </c>
      <c r="Y44" s="11"/>
      <c r="Z44" s="11">
        <v>0.5</v>
      </c>
      <c r="AA44" s="11"/>
      <c r="AB44" s="11" t="s">
        <v>329</v>
      </c>
      <c r="AC44" s="266" t="s">
        <v>330</v>
      </c>
      <c r="AD44" s="11" t="s">
        <v>331</v>
      </c>
      <c r="AE44" s="11"/>
      <c r="AF44" s="11"/>
      <c r="AG44" s="11"/>
      <c r="AH44" s="11"/>
      <c r="AI44" s="11"/>
      <c r="AJ44" s="11"/>
      <c r="AK44" s="11" t="s">
        <v>331</v>
      </c>
      <c r="AL44" s="267" t="e">
        <f t="shared" si="2"/>
        <v>#VALUE!</v>
      </c>
      <c r="AM44" s="265">
        <f t="shared" si="3"/>
        <v>46000</v>
      </c>
    </row>
    <row r="45" spans="1:39" ht="21.6" customHeight="1">
      <c r="A45" s="11">
        <v>45</v>
      </c>
      <c r="B45" s="11" t="s">
        <v>321</v>
      </c>
      <c r="C45" s="11">
        <v>2025121488</v>
      </c>
      <c r="D45" s="11"/>
      <c r="E45" s="11"/>
      <c r="F45" s="11">
        <v>4802</v>
      </c>
      <c r="G45" s="11" t="s">
        <v>574</v>
      </c>
      <c r="H45" s="11" t="s">
        <v>566</v>
      </c>
      <c r="I45" s="11"/>
      <c r="J45" s="11"/>
      <c r="K45" s="11"/>
      <c r="L45" s="11"/>
      <c r="M45" s="12"/>
      <c r="N45" s="11"/>
      <c r="O45" s="12"/>
      <c r="P45" s="13"/>
      <c r="Q45" s="11" t="s">
        <v>575</v>
      </c>
      <c r="R45" s="11" t="s">
        <v>325</v>
      </c>
      <c r="S45" s="11" t="s">
        <v>128</v>
      </c>
      <c r="T45" s="11">
        <v>1</v>
      </c>
      <c r="U45" s="11" t="s">
        <v>326</v>
      </c>
      <c r="V45" s="11" t="s">
        <v>576</v>
      </c>
      <c r="W45" s="11" t="s">
        <v>577</v>
      </c>
      <c r="X45" s="440">
        <v>46000.496527777781</v>
      </c>
      <c r="Y45" s="11"/>
      <c r="Z45" s="11">
        <v>0.4</v>
      </c>
      <c r="AA45" s="11"/>
      <c r="AB45" s="11" t="s">
        <v>329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331</v>
      </c>
      <c r="AK45" s="11" t="s">
        <v>331</v>
      </c>
      <c r="AL45" s="267" t="e">
        <f t="shared" si="2"/>
        <v>#VALUE!</v>
      </c>
      <c r="AM45" s="265">
        <f t="shared" si="3"/>
        <v>46000</v>
      </c>
    </row>
    <row r="46" spans="1:39" ht="21.6" customHeight="1">
      <c r="A46" s="11">
        <v>46</v>
      </c>
      <c r="B46" s="11" t="s">
        <v>321</v>
      </c>
      <c r="C46" s="11">
        <v>2025121501</v>
      </c>
      <c r="D46" s="11"/>
      <c r="E46" s="11"/>
      <c r="F46" s="11">
        <v>4093</v>
      </c>
      <c r="G46" s="11" t="s">
        <v>578</v>
      </c>
      <c r="H46" s="11" t="s">
        <v>566</v>
      </c>
      <c r="I46" s="11"/>
      <c r="J46" s="11"/>
      <c r="K46" s="11"/>
      <c r="L46" s="11"/>
      <c r="M46" s="12"/>
      <c r="N46" s="11"/>
      <c r="O46" s="12"/>
      <c r="P46" s="13"/>
      <c r="Q46" s="11" t="s">
        <v>579</v>
      </c>
      <c r="R46" s="11" t="s">
        <v>325</v>
      </c>
      <c r="S46" s="11" t="s">
        <v>128</v>
      </c>
      <c r="T46" s="11">
        <v>1</v>
      </c>
      <c r="U46" s="11" t="s">
        <v>326</v>
      </c>
      <c r="V46" s="11" t="s">
        <v>580</v>
      </c>
      <c r="W46" s="11" t="s">
        <v>581</v>
      </c>
      <c r="X46" s="440">
        <v>46000.521527777782</v>
      </c>
      <c r="Y46" s="11"/>
      <c r="Z46" s="11">
        <v>0.4</v>
      </c>
      <c r="AA46" s="11"/>
      <c r="AB46" s="11" t="s">
        <v>329</v>
      </c>
      <c r="AC46" s="266" t="s">
        <v>330</v>
      </c>
      <c r="AD46" s="11" t="s">
        <v>331</v>
      </c>
      <c r="AE46" s="11"/>
      <c r="AF46" s="11"/>
      <c r="AG46" s="11"/>
      <c r="AH46" s="11"/>
      <c r="AI46" s="11"/>
      <c r="AJ46" s="11"/>
      <c r="AK46" s="11" t="s">
        <v>331</v>
      </c>
      <c r="AL46" s="267" t="e">
        <f t="shared" si="2"/>
        <v>#VALUE!</v>
      </c>
      <c r="AM46" s="265">
        <f t="shared" si="3"/>
        <v>46000</v>
      </c>
    </row>
    <row r="47" spans="1:39" ht="21.6" customHeight="1">
      <c r="A47" s="11">
        <v>47</v>
      </c>
      <c r="B47" s="11" t="s">
        <v>321</v>
      </c>
      <c r="C47" s="11">
        <v>2025121533</v>
      </c>
      <c r="D47" s="11"/>
      <c r="E47" s="11"/>
      <c r="F47" s="11">
        <v>4153</v>
      </c>
      <c r="G47" s="11" t="s">
        <v>582</v>
      </c>
      <c r="H47" s="11" t="s">
        <v>566</v>
      </c>
      <c r="I47" s="11"/>
      <c r="J47" s="11"/>
      <c r="K47" s="11"/>
      <c r="L47" s="11"/>
      <c r="M47" s="12"/>
      <c r="N47" s="11"/>
      <c r="O47" s="12"/>
      <c r="P47" s="13"/>
      <c r="Q47" s="11" t="s">
        <v>583</v>
      </c>
      <c r="R47" s="11" t="s">
        <v>325</v>
      </c>
      <c r="S47" s="11" t="s">
        <v>128</v>
      </c>
      <c r="T47" s="11">
        <v>1</v>
      </c>
      <c r="U47" s="11" t="s">
        <v>326</v>
      </c>
      <c r="V47" s="11" t="s">
        <v>584</v>
      </c>
      <c r="W47" s="11" t="s">
        <v>585</v>
      </c>
      <c r="X47" s="440">
        <v>46000.618055555547</v>
      </c>
      <c r="Y47" s="11"/>
      <c r="Z47" s="11">
        <v>0.3</v>
      </c>
      <c r="AA47" s="11"/>
      <c r="AB47" s="11" t="s">
        <v>329</v>
      </c>
      <c r="AC47" s="266" t="s">
        <v>330</v>
      </c>
      <c r="AD47" s="11" t="s">
        <v>331</v>
      </c>
      <c r="AE47" s="11"/>
      <c r="AF47" s="11"/>
      <c r="AG47" s="11"/>
      <c r="AH47" s="11"/>
      <c r="AI47" s="11"/>
      <c r="AJ47" s="11"/>
      <c r="AK47" s="11" t="s">
        <v>331</v>
      </c>
      <c r="AL47" s="267" t="e">
        <f t="shared" si="2"/>
        <v>#VALUE!</v>
      </c>
      <c r="AM47" s="265">
        <f t="shared" si="3"/>
        <v>46000</v>
      </c>
    </row>
    <row r="48" spans="1:39" ht="21.6" customHeight="1">
      <c r="A48" s="11">
        <v>48</v>
      </c>
      <c r="B48" s="11" t="s">
        <v>321</v>
      </c>
      <c r="C48" s="11">
        <v>2025121544</v>
      </c>
      <c r="D48" s="11"/>
      <c r="E48" s="11"/>
      <c r="F48" s="11">
        <v>4788</v>
      </c>
      <c r="G48" s="11" t="s">
        <v>586</v>
      </c>
      <c r="H48" s="11" t="s">
        <v>566</v>
      </c>
      <c r="I48" s="11"/>
      <c r="J48" s="11"/>
      <c r="K48" s="11"/>
      <c r="L48" s="11"/>
      <c r="M48" s="12"/>
      <c r="N48" s="11"/>
      <c r="O48" s="12"/>
      <c r="P48" s="13"/>
      <c r="Q48" s="11" t="s">
        <v>587</v>
      </c>
      <c r="R48" s="11" t="s">
        <v>325</v>
      </c>
      <c r="S48" s="11" t="s">
        <v>128</v>
      </c>
      <c r="T48" s="11">
        <v>1</v>
      </c>
      <c r="U48" s="11" t="s">
        <v>326</v>
      </c>
      <c r="V48" s="11" t="s">
        <v>588</v>
      </c>
      <c r="W48" s="11" t="s">
        <v>589</v>
      </c>
      <c r="X48" s="440">
        <v>46000.645833333343</v>
      </c>
      <c r="Y48" s="11"/>
      <c r="Z48" s="11">
        <v>0.3</v>
      </c>
      <c r="AA48" s="11"/>
      <c r="AB48" s="11" t="s">
        <v>329</v>
      </c>
      <c r="AC48" s="266" t="s">
        <v>330</v>
      </c>
      <c r="AD48" s="11" t="s">
        <v>331</v>
      </c>
      <c r="AE48" s="11"/>
      <c r="AF48" s="11"/>
      <c r="AG48" s="11"/>
      <c r="AH48" s="11"/>
      <c r="AI48" s="11"/>
      <c r="AJ48" s="11"/>
      <c r="AK48" s="11" t="s">
        <v>331</v>
      </c>
      <c r="AL48" s="267" t="e">
        <f t="shared" si="2"/>
        <v>#VALUE!</v>
      </c>
      <c r="AM48" s="265">
        <f t="shared" si="3"/>
        <v>46000</v>
      </c>
    </row>
    <row r="49" spans="1:39" ht="21.6" customHeight="1">
      <c r="A49" s="11">
        <v>49</v>
      </c>
      <c r="B49" s="11" t="s">
        <v>321</v>
      </c>
      <c r="C49" s="11">
        <v>2025121551</v>
      </c>
      <c r="D49" s="11"/>
      <c r="E49" s="11"/>
      <c r="F49" s="11">
        <v>4983</v>
      </c>
      <c r="G49" s="11" t="s">
        <v>590</v>
      </c>
      <c r="H49" s="11" t="s">
        <v>395</v>
      </c>
      <c r="I49" s="11"/>
      <c r="J49" s="11"/>
      <c r="K49" s="11"/>
      <c r="L49" s="11"/>
      <c r="M49" s="12"/>
      <c r="N49" s="11"/>
      <c r="O49" s="12"/>
      <c r="P49" s="13"/>
      <c r="Q49" s="11" t="s">
        <v>591</v>
      </c>
      <c r="R49" s="11" t="s">
        <v>325</v>
      </c>
      <c r="S49" s="11" t="s">
        <v>139</v>
      </c>
      <c r="T49" s="11">
        <v>1</v>
      </c>
      <c r="U49" s="11" t="s">
        <v>326</v>
      </c>
      <c r="V49" s="11" t="s">
        <v>592</v>
      </c>
      <c r="W49" s="11" t="s">
        <v>593</v>
      </c>
      <c r="X49" s="440">
        <v>46000.663888888892</v>
      </c>
      <c r="Y49" s="11"/>
      <c r="Z49" s="11">
        <v>0.3</v>
      </c>
      <c r="AA49" s="11"/>
      <c r="AB49" s="11" t="s">
        <v>329</v>
      </c>
      <c r="AC49" s="266" t="s">
        <v>330</v>
      </c>
      <c r="AD49" s="11" t="s">
        <v>331</v>
      </c>
      <c r="AE49" s="11"/>
      <c r="AF49" s="11"/>
      <c r="AG49" s="11"/>
      <c r="AH49" s="11"/>
      <c r="AI49" s="11"/>
      <c r="AJ49" s="11"/>
      <c r="AK49" s="11" t="s">
        <v>331</v>
      </c>
      <c r="AL49" s="267" t="e">
        <f t="shared" si="2"/>
        <v>#VALUE!</v>
      </c>
      <c r="AM49" s="265">
        <f t="shared" si="3"/>
        <v>46000</v>
      </c>
    </row>
    <row r="50" spans="1:39" ht="21.6" customHeight="1">
      <c r="A50" s="11">
        <v>50</v>
      </c>
      <c r="B50" s="11" t="s">
        <v>321</v>
      </c>
      <c r="C50" s="11">
        <v>2025121557</v>
      </c>
      <c r="D50" s="11"/>
      <c r="E50" s="11"/>
      <c r="F50" s="11">
        <v>3183</v>
      </c>
      <c r="G50" s="11" t="s">
        <v>594</v>
      </c>
      <c r="H50" s="11" t="s">
        <v>395</v>
      </c>
      <c r="I50" s="11"/>
      <c r="J50" s="11"/>
      <c r="K50" s="11"/>
      <c r="L50" s="11"/>
      <c r="M50" s="12"/>
      <c r="N50" s="11"/>
      <c r="O50" s="12"/>
      <c r="P50" s="13"/>
      <c r="Q50" s="11" t="s">
        <v>595</v>
      </c>
      <c r="R50" s="11" t="s">
        <v>325</v>
      </c>
      <c r="S50" s="11" t="s">
        <v>139</v>
      </c>
      <c r="T50" s="11">
        <v>1</v>
      </c>
      <c r="U50" s="11" t="s">
        <v>326</v>
      </c>
      <c r="V50" s="11" t="s">
        <v>596</v>
      </c>
      <c r="W50" s="11" t="s">
        <v>597</v>
      </c>
      <c r="X50" s="440">
        <v>46000.677083333343</v>
      </c>
      <c r="Y50" s="11"/>
      <c r="Z50" s="11">
        <v>0.3</v>
      </c>
      <c r="AA50" s="11"/>
      <c r="AB50" s="11" t="s">
        <v>329</v>
      </c>
      <c r="AC50" s="266" t="s">
        <v>330</v>
      </c>
      <c r="AD50" s="11" t="s">
        <v>331</v>
      </c>
      <c r="AE50" s="11"/>
      <c r="AF50" s="11"/>
      <c r="AG50" s="11"/>
      <c r="AH50" s="11"/>
      <c r="AI50" s="11"/>
      <c r="AJ50" s="11"/>
      <c r="AK50" s="11" t="s">
        <v>331</v>
      </c>
      <c r="AL50" s="267" t="e">
        <f t="shared" si="2"/>
        <v>#VALUE!</v>
      </c>
      <c r="AM50" s="265">
        <f t="shared" si="3"/>
        <v>46000</v>
      </c>
    </row>
    <row r="51" spans="1:39" ht="21.6" customHeight="1">
      <c r="A51" s="11">
        <v>51</v>
      </c>
      <c r="B51" s="11" t="s">
        <v>321</v>
      </c>
      <c r="C51" s="11">
        <v>2025121570</v>
      </c>
      <c r="D51" s="11"/>
      <c r="E51" s="11"/>
      <c r="F51" s="11">
        <v>4298</v>
      </c>
      <c r="G51" s="11" t="s">
        <v>598</v>
      </c>
      <c r="H51" s="11" t="s">
        <v>566</v>
      </c>
      <c r="I51" s="11"/>
      <c r="J51" s="11"/>
      <c r="K51" s="11"/>
      <c r="L51" s="11"/>
      <c r="M51" s="12"/>
      <c r="N51" s="11"/>
      <c r="O51" s="12"/>
      <c r="P51" s="13"/>
      <c r="Q51" s="11" t="s">
        <v>599</v>
      </c>
      <c r="R51" s="11" t="s">
        <v>325</v>
      </c>
      <c r="S51" s="11" t="s">
        <v>128</v>
      </c>
      <c r="T51" s="11">
        <v>1</v>
      </c>
      <c r="U51" s="11" t="s">
        <v>326</v>
      </c>
      <c r="V51" s="11" t="s">
        <v>600</v>
      </c>
      <c r="W51" s="11" t="s">
        <v>601</v>
      </c>
      <c r="X51" s="440">
        <v>46000.673611111109</v>
      </c>
      <c r="Y51" s="11"/>
      <c r="Z51" s="11">
        <v>0.3</v>
      </c>
      <c r="AA51" s="11"/>
      <c r="AB51" s="11" t="s">
        <v>329</v>
      </c>
      <c r="AC51" s="266" t="s">
        <v>330</v>
      </c>
      <c r="AD51" s="11" t="s">
        <v>331</v>
      </c>
      <c r="AE51" s="11"/>
      <c r="AF51" s="11"/>
      <c r="AG51" s="11"/>
      <c r="AH51" s="11"/>
      <c r="AI51" s="11"/>
      <c r="AJ51" s="11"/>
      <c r="AK51" s="11" t="s">
        <v>331</v>
      </c>
      <c r="AL51" s="267" t="e">
        <f t="shared" si="2"/>
        <v>#VALUE!</v>
      </c>
      <c r="AM51" s="265">
        <f t="shared" si="3"/>
        <v>46000</v>
      </c>
    </row>
    <row r="52" spans="1:39" ht="21.6" customHeight="1">
      <c r="A52" s="11">
        <v>43</v>
      </c>
      <c r="B52" s="11" t="s">
        <v>362</v>
      </c>
      <c r="C52" s="11">
        <v>2025121483</v>
      </c>
      <c r="D52" s="11" t="s">
        <v>602</v>
      </c>
      <c r="E52" s="11" t="s">
        <v>364</v>
      </c>
      <c r="F52" s="11" t="s">
        <v>72</v>
      </c>
      <c r="G52" s="11" t="s">
        <v>438</v>
      </c>
      <c r="H52" s="11" t="s">
        <v>357</v>
      </c>
      <c r="I52" s="11" t="s">
        <v>603</v>
      </c>
      <c r="J52" s="11" t="s">
        <v>367</v>
      </c>
      <c r="K52" s="11" t="s">
        <v>445</v>
      </c>
      <c r="L52" s="11" t="s">
        <v>446</v>
      </c>
      <c r="M52" s="12" t="s">
        <v>447</v>
      </c>
      <c r="N52" s="11" t="s">
        <v>448</v>
      </c>
      <c r="O52" s="12" t="s">
        <v>449</v>
      </c>
      <c r="P52" s="13" t="s">
        <v>604</v>
      </c>
      <c r="Q52" s="11" t="s">
        <v>439</v>
      </c>
      <c r="R52" s="11" t="s">
        <v>325</v>
      </c>
      <c r="S52" s="11" t="s">
        <v>128</v>
      </c>
      <c r="T52" s="11">
        <v>1</v>
      </c>
      <c r="U52" s="11" t="s">
        <v>326</v>
      </c>
      <c r="V52" s="11" t="s">
        <v>605</v>
      </c>
      <c r="W52" s="11" t="s">
        <v>606</v>
      </c>
      <c r="X52" s="440">
        <v>46001.472222222219</v>
      </c>
      <c r="Y52" s="11" t="s">
        <v>607</v>
      </c>
      <c r="Z52" s="11">
        <v>0.7</v>
      </c>
      <c r="AA52" s="11"/>
      <c r="AB52" s="11" t="s">
        <v>329</v>
      </c>
      <c r="AC52" s="266" t="s">
        <v>608</v>
      </c>
      <c r="AD52" s="11"/>
      <c r="AE52" s="11"/>
      <c r="AF52" s="11"/>
      <c r="AG52" s="11"/>
      <c r="AH52" s="11"/>
      <c r="AI52" s="11"/>
      <c r="AJ52" s="11"/>
      <c r="AK52" s="11" t="s">
        <v>331</v>
      </c>
      <c r="AL52" s="267">
        <f t="shared" si="2"/>
        <v>46000</v>
      </c>
      <c r="AM52" s="265">
        <f t="shared" si="3"/>
        <v>46001</v>
      </c>
    </row>
    <row r="53" spans="1:39" ht="21.6" customHeight="1">
      <c r="A53" s="11">
        <v>44</v>
      </c>
      <c r="B53" s="11" t="s">
        <v>362</v>
      </c>
      <c r="C53" s="11">
        <v>2025121484</v>
      </c>
      <c r="D53" s="11" t="s">
        <v>609</v>
      </c>
      <c r="E53" s="11" t="s">
        <v>364</v>
      </c>
      <c r="F53" s="11" t="s">
        <v>72</v>
      </c>
      <c r="G53" s="11" t="s">
        <v>438</v>
      </c>
      <c r="H53" s="11" t="s">
        <v>357</v>
      </c>
      <c r="I53" s="11" t="s">
        <v>610</v>
      </c>
      <c r="J53" s="11" t="s">
        <v>367</v>
      </c>
      <c r="K53" s="11" t="s">
        <v>445</v>
      </c>
      <c r="L53" s="11" t="s">
        <v>611</v>
      </c>
      <c r="M53" s="12" t="s">
        <v>612</v>
      </c>
      <c r="N53" s="11">
        <v>2901</v>
      </c>
      <c r="O53" s="12" t="s">
        <v>449</v>
      </c>
      <c r="P53" s="13" t="s">
        <v>613</v>
      </c>
      <c r="Q53" s="11" t="s">
        <v>439</v>
      </c>
      <c r="R53" s="11" t="s">
        <v>325</v>
      </c>
      <c r="S53" s="11" t="s">
        <v>128</v>
      </c>
      <c r="T53" s="11">
        <v>1</v>
      </c>
      <c r="U53" s="11" t="s">
        <v>326</v>
      </c>
      <c r="V53" s="11" t="s">
        <v>614</v>
      </c>
      <c r="W53" s="11" t="s">
        <v>615</v>
      </c>
      <c r="X53" s="440">
        <v>46001.440972222219</v>
      </c>
      <c r="Y53" s="11" t="s">
        <v>616</v>
      </c>
      <c r="Z53" s="11">
        <v>0.3</v>
      </c>
      <c r="AA53" s="11"/>
      <c r="AB53" s="11" t="s">
        <v>329</v>
      </c>
      <c r="AC53" s="266" t="s">
        <v>617</v>
      </c>
      <c r="AD53" s="11"/>
      <c r="AE53" s="11"/>
      <c r="AF53" s="11"/>
      <c r="AG53" s="11"/>
      <c r="AH53" s="11"/>
      <c r="AI53" s="11"/>
      <c r="AJ53" s="11"/>
      <c r="AK53" s="11" t="s">
        <v>331</v>
      </c>
      <c r="AL53" s="267">
        <f t="shared" si="2"/>
        <v>46000</v>
      </c>
      <c r="AM53" s="265">
        <f t="shared" si="3"/>
        <v>46001</v>
      </c>
    </row>
    <row r="54" spans="1:39" ht="21.6" customHeight="1">
      <c r="A54" s="11">
        <v>54</v>
      </c>
      <c r="B54" s="11" t="s">
        <v>321</v>
      </c>
      <c r="C54" s="11">
        <v>2025121586</v>
      </c>
      <c r="D54" s="11"/>
      <c r="E54" s="11"/>
      <c r="F54" s="11">
        <v>4529</v>
      </c>
      <c r="G54" s="11" t="s">
        <v>618</v>
      </c>
      <c r="H54" s="11" t="s">
        <v>566</v>
      </c>
      <c r="I54" s="11"/>
      <c r="J54" s="11"/>
      <c r="K54" s="11"/>
      <c r="L54" s="11"/>
      <c r="M54" s="12"/>
      <c r="N54" s="11"/>
      <c r="O54" s="12"/>
      <c r="P54" s="13"/>
      <c r="Q54" s="11" t="s">
        <v>619</v>
      </c>
      <c r="R54" s="11" t="s">
        <v>325</v>
      </c>
      <c r="S54" s="11" t="s">
        <v>128</v>
      </c>
      <c r="T54" s="11">
        <v>1</v>
      </c>
      <c r="U54" s="11" t="s">
        <v>326</v>
      </c>
      <c r="V54" s="11" t="s">
        <v>620</v>
      </c>
      <c r="W54" s="11" t="s">
        <v>621</v>
      </c>
      <c r="X54" s="440">
        <v>46000.704861111109</v>
      </c>
      <c r="Y54" s="11"/>
      <c r="Z54" s="11">
        <v>0.3</v>
      </c>
      <c r="AA54" s="11"/>
      <c r="AB54" s="11" t="s">
        <v>329</v>
      </c>
      <c r="AC54" s="266" t="s">
        <v>330</v>
      </c>
      <c r="AD54" s="11" t="s">
        <v>331</v>
      </c>
      <c r="AE54" s="11"/>
      <c r="AF54" s="11"/>
      <c r="AG54" s="11"/>
      <c r="AH54" s="11"/>
      <c r="AI54" s="11"/>
      <c r="AJ54" s="11"/>
      <c r="AK54" s="11" t="s">
        <v>331</v>
      </c>
      <c r="AL54" s="267" t="e">
        <f t="shared" si="2"/>
        <v>#VALUE!</v>
      </c>
      <c r="AM54" s="265">
        <f t="shared" si="3"/>
        <v>46000</v>
      </c>
    </row>
    <row r="55" spans="1:39" ht="21.6" customHeight="1">
      <c r="A55" s="11">
        <v>55</v>
      </c>
      <c r="B55" s="11" t="s">
        <v>321</v>
      </c>
      <c r="C55" s="11">
        <v>2025121764</v>
      </c>
      <c r="D55" s="11"/>
      <c r="E55" s="11"/>
      <c r="F55" s="11">
        <v>3853</v>
      </c>
      <c r="G55" s="11" t="s">
        <v>622</v>
      </c>
      <c r="H55" s="11" t="s">
        <v>395</v>
      </c>
      <c r="I55" s="11"/>
      <c r="J55" s="11"/>
      <c r="K55" s="11"/>
      <c r="L55" s="11"/>
      <c r="M55" s="12"/>
      <c r="N55" s="11"/>
      <c r="O55" s="12"/>
      <c r="P55" s="13"/>
      <c r="Q55" s="11" t="s">
        <v>623</v>
      </c>
      <c r="R55" s="11" t="s">
        <v>325</v>
      </c>
      <c r="S55" s="11" t="s">
        <v>139</v>
      </c>
      <c r="T55" s="11">
        <v>1</v>
      </c>
      <c r="U55" s="11" t="s">
        <v>326</v>
      </c>
      <c r="V55" s="11" t="s">
        <v>624</v>
      </c>
      <c r="W55" s="11" t="s">
        <v>625</v>
      </c>
      <c r="X55" s="440">
        <v>46001.631944444453</v>
      </c>
      <c r="Y55" s="11"/>
      <c r="Z55" s="11">
        <v>0.2</v>
      </c>
      <c r="AA55" s="11"/>
      <c r="AB55" s="11" t="s">
        <v>329</v>
      </c>
      <c r="AC55" s="266" t="s">
        <v>330</v>
      </c>
      <c r="AD55" s="11" t="s">
        <v>331</v>
      </c>
      <c r="AE55" s="11"/>
      <c r="AF55" s="11"/>
      <c r="AG55" s="11"/>
      <c r="AH55" s="11"/>
      <c r="AI55" s="11"/>
      <c r="AJ55" s="11"/>
      <c r="AK55" s="11" t="s">
        <v>331</v>
      </c>
      <c r="AL55" s="267" t="e">
        <f t="shared" si="2"/>
        <v>#VALUE!</v>
      </c>
      <c r="AM55" s="265">
        <f t="shared" si="3"/>
        <v>46001</v>
      </c>
    </row>
    <row r="56" spans="1:39" ht="21.6" customHeight="1">
      <c r="A56" s="11">
        <v>56</v>
      </c>
      <c r="B56" s="11" t="s">
        <v>321</v>
      </c>
      <c r="C56" s="11">
        <v>2025121787</v>
      </c>
      <c r="D56" s="11"/>
      <c r="E56" s="11"/>
      <c r="F56" s="11">
        <v>3955</v>
      </c>
      <c r="G56" s="11" t="s">
        <v>626</v>
      </c>
      <c r="H56" s="11" t="s">
        <v>395</v>
      </c>
      <c r="I56" s="11"/>
      <c r="J56" s="11"/>
      <c r="K56" s="11"/>
      <c r="L56" s="11"/>
      <c r="M56" s="12"/>
      <c r="N56" s="11"/>
      <c r="O56" s="12"/>
      <c r="P56" s="13"/>
      <c r="Q56" s="11" t="s">
        <v>627</v>
      </c>
      <c r="R56" s="11" t="s">
        <v>325</v>
      </c>
      <c r="S56" s="11" t="s">
        <v>139</v>
      </c>
      <c r="T56" s="11">
        <v>1</v>
      </c>
      <c r="U56" s="11" t="s">
        <v>326</v>
      </c>
      <c r="V56" s="11" t="s">
        <v>628</v>
      </c>
      <c r="W56" s="11" t="s">
        <v>629</v>
      </c>
      <c r="X56" s="440">
        <v>46001.618055555547</v>
      </c>
      <c r="Y56" s="11"/>
      <c r="Z56" s="11">
        <v>0.3</v>
      </c>
      <c r="AA56" s="11"/>
      <c r="AB56" s="11" t="s">
        <v>329</v>
      </c>
      <c r="AC56" s="266" t="s">
        <v>330</v>
      </c>
      <c r="AD56" s="11" t="s">
        <v>331</v>
      </c>
      <c r="AE56" s="11"/>
      <c r="AF56" s="11"/>
      <c r="AG56" s="11"/>
      <c r="AH56" s="11"/>
      <c r="AI56" s="11"/>
      <c r="AJ56" s="11"/>
      <c r="AK56" s="11" t="s">
        <v>331</v>
      </c>
      <c r="AL56" s="267" t="e">
        <f t="shared" si="2"/>
        <v>#VALUE!</v>
      </c>
      <c r="AM56" s="265">
        <f t="shared" si="3"/>
        <v>46001</v>
      </c>
    </row>
    <row r="57" spans="1:39" ht="21.6" customHeight="1">
      <c r="A57" s="11">
        <v>55</v>
      </c>
      <c r="B57" s="11" t="s">
        <v>362</v>
      </c>
      <c r="C57" s="11">
        <v>2025121763</v>
      </c>
      <c r="D57" s="11" t="s">
        <v>630</v>
      </c>
      <c r="E57" s="11" t="s">
        <v>474</v>
      </c>
      <c r="F57" s="11">
        <v>5428</v>
      </c>
      <c r="G57" s="11" t="s">
        <v>187</v>
      </c>
      <c r="H57" s="11" t="s">
        <v>357</v>
      </c>
      <c r="I57" s="11" t="s">
        <v>631</v>
      </c>
      <c r="J57" s="11" t="s">
        <v>382</v>
      </c>
      <c r="K57" s="11" t="s">
        <v>199</v>
      </c>
      <c r="L57" s="11" t="s">
        <v>557</v>
      </c>
      <c r="M57" s="12" t="s">
        <v>558</v>
      </c>
      <c r="N57" s="11">
        <v>2405</v>
      </c>
      <c r="O57" s="12" t="s">
        <v>559</v>
      </c>
      <c r="P57" s="13" t="s">
        <v>632</v>
      </c>
      <c r="Q57" s="11" t="s">
        <v>633</v>
      </c>
      <c r="R57" s="11" t="s">
        <v>325</v>
      </c>
      <c r="S57" s="11" t="s">
        <v>128</v>
      </c>
      <c r="T57" s="11">
        <v>1</v>
      </c>
      <c r="U57" s="11" t="s">
        <v>326</v>
      </c>
      <c r="V57" s="11" t="s">
        <v>634</v>
      </c>
      <c r="W57" s="11" t="s">
        <v>635</v>
      </c>
      <c r="X57" s="440">
        <v>46001.785416666673</v>
      </c>
      <c r="Y57" s="11" t="s">
        <v>636</v>
      </c>
      <c r="Z57" s="11">
        <v>1.9</v>
      </c>
      <c r="AA57" s="11"/>
      <c r="AB57" s="11" t="s">
        <v>329</v>
      </c>
      <c r="AC57" s="266" t="s">
        <v>637</v>
      </c>
      <c r="AD57" s="11"/>
      <c r="AE57" s="11"/>
      <c r="AF57" s="11"/>
      <c r="AG57" s="11"/>
      <c r="AH57" s="11"/>
      <c r="AI57" s="11"/>
      <c r="AJ57" s="11"/>
      <c r="AK57" s="11" t="s">
        <v>331</v>
      </c>
      <c r="AL57" s="267">
        <f t="shared" si="2"/>
        <v>46001</v>
      </c>
      <c r="AM57" s="265">
        <f t="shared" si="3"/>
        <v>46001</v>
      </c>
    </row>
    <row r="58" spans="1:39" ht="21.6" customHeight="1">
      <c r="A58" s="11">
        <v>58</v>
      </c>
      <c r="B58" s="11" t="s">
        <v>321</v>
      </c>
      <c r="C58" s="11">
        <v>2025121884</v>
      </c>
      <c r="D58" s="11"/>
      <c r="E58" s="11"/>
      <c r="F58" s="11">
        <v>2746</v>
      </c>
      <c r="G58" s="11" t="s">
        <v>638</v>
      </c>
      <c r="H58" s="11" t="s">
        <v>395</v>
      </c>
      <c r="I58" s="11"/>
      <c r="J58" s="11"/>
      <c r="K58" s="11"/>
      <c r="L58" s="11"/>
      <c r="M58" s="12"/>
      <c r="N58" s="11"/>
      <c r="O58" s="12"/>
      <c r="P58" s="13"/>
      <c r="Q58" s="11" t="s">
        <v>639</v>
      </c>
      <c r="R58" s="11" t="s">
        <v>325</v>
      </c>
      <c r="S58" s="11" t="s">
        <v>139</v>
      </c>
      <c r="T58" s="11">
        <v>1</v>
      </c>
      <c r="U58" s="11" t="s">
        <v>326</v>
      </c>
      <c r="V58" s="11" t="s">
        <v>640</v>
      </c>
      <c r="W58" s="11" t="s">
        <v>641</v>
      </c>
      <c r="X58" s="440">
        <v>46002.458333333343</v>
      </c>
      <c r="Y58" s="11"/>
      <c r="Z58" s="11">
        <v>0.3</v>
      </c>
      <c r="AA58" s="11"/>
      <c r="AB58" s="11" t="s">
        <v>329</v>
      </c>
      <c r="AC58" s="266" t="s">
        <v>330</v>
      </c>
      <c r="AD58" s="11" t="s">
        <v>331</v>
      </c>
      <c r="AE58" s="11"/>
      <c r="AF58" s="11"/>
      <c r="AG58" s="11"/>
      <c r="AH58" s="11"/>
      <c r="AI58" s="11"/>
      <c r="AJ58" s="11"/>
      <c r="AK58" s="11" t="s">
        <v>331</v>
      </c>
      <c r="AL58" s="267" t="e">
        <f t="shared" si="2"/>
        <v>#VALUE!</v>
      </c>
      <c r="AM58" s="265">
        <f t="shared" si="3"/>
        <v>46002</v>
      </c>
    </row>
    <row r="59" spans="1:39" ht="21.6" customHeight="1">
      <c r="A59" s="11">
        <v>59</v>
      </c>
      <c r="B59" s="11" t="s">
        <v>321</v>
      </c>
      <c r="C59" s="11">
        <v>2025121887</v>
      </c>
      <c r="D59" s="11"/>
      <c r="E59" s="11"/>
      <c r="F59" s="11">
        <v>2221</v>
      </c>
      <c r="G59" s="11" t="s">
        <v>642</v>
      </c>
      <c r="H59" s="11" t="s">
        <v>395</v>
      </c>
      <c r="I59" s="11"/>
      <c r="J59" s="11"/>
      <c r="K59" s="11"/>
      <c r="L59" s="11"/>
      <c r="M59" s="12"/>
      <c r="N59" s="11"/>
      <c r="O59" s="12"/>
      <c r="P59" s="13"/>
      <c r="Q59" s="11" t="s">
        <v>643</v>
      </c>
      <c r="R59" s="11" t="s">
        <v>325</v>
      </c>
      <c r="S59" s="11" t="s">
        <v>139</v>
      </c>
      <c r="T59" s="11">
        <v>1</v>
      </c>
      <c r="U59" s="11" t="s">
        <v>326</v>
      </c>
      <c r="V59" s="11" t="s">
        <v>644</v>
      </c>
      <c r="W59" s="11" t="s">
        <v>645</v>
      </c>
      <c r="X59" s="440">
        <v>46002.46875</v>
      </c>
      <c r="Y59" s="11"/>
      <c r="Z59" s="11">
        <v>0.3</v>
      </c>
      <c r="AA59" s="11"/>
      <c r="AB59" s="11" t="s">
        <v>329</v>
      </c>
      <c r="AC59" s="266" t="s">
        <v>330</v>
      </c>
      <c r="AD59" s="11" t="s">
        <v>331</v>
      </c>
      <c r="AE59" s="11"/>
      <c r="AF59" s="11"/>
      <c r="AG59" s="11"/>
      <c r="AH59" s="11"/>
      <c r="AI59" s="11"/>
      <c r="AJ59" s="11"/>
      <c r="AK59" s="11" t="s">
        <v>331</v>
      </c>
      <c r="AL59" s="267" t="e">
        <f t="shared" si="2"/>
        <v>#VALUE!</v>
      </c>
      <c r="AM59" s="265">
        <f t="shared" si="3"/>
        <v>46002</v>
      </c>
    </row>
    <row r="60" spans="1:39" ht="21.6" customHeight="1">
      <c r="A60" s="11">
        <v>60</v>
      </c>
      <c r="B60" s="11" t="s">
        <v>321</v>
      </c>
      <c r="C60" s="11">
        <v>2025121905</v>
      </c>
      <c r="D60" s="11"/>
      <c r="E60" s="11"/>
      <c r="F60" s="11">
        <v>3627</v>
      </c>
      <c r="G60" s="11" t="s">
        <v>159</v>
      </c>
      <c r="H60" s="11" t="s">
        <v>357</v>
      </c>
      <c r="I60" s="11"/>
      <c r="J60" s="11"/>
      <c r="K60" s="11"/>
      <c r="L60" s="11"/>
      <c r="M60" s="12"/>
      <c r="N60" s="11"/>
      <c r="O60" s="12"/>
      <c r="P60" s="13"/>
      <c r="Q60" s="11" t="s">
        <v>646</v>
      </c>
      <c r="R60" s="11" t="s">
        <v>325</v>
      </c>
      <c r="S60" s="11" t="s">
        <v>128</v>
      </c>
      <c r="T60" s="11">
        <v>1</v>
      </c>
      <c r="U60" s="11" t="s">
        <v>326</v>
      </c>
      <c r="V60" s="11" t="s">
        <v>647</v>
      </c>
      <c r="W60" s="11" t="s">
        <v>648</v>
      </c>
      <c r="X60" s="440">
        <v>46002.5625</v>
      </c>
      <c r="Y60" s="11"/>
      <c r="Z60" s="11">
        <v>0.5</v>
      </c>
      <c r="AA60" s="11"/>
      <c r="AB60" s="11" t="s">
        <v>329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331</v>
      </c>
      <c r="AK60" s="11" t="s">
        <v>331</v>
      </c>
      <c r="AL60" s="267" t="e">
        <f t="shared" si="2"/>
        <v>#VALUE!</v>
      </c>
      <c r="AM60" s="265">
        <f t="shared" si="3"/>
        <v>46002</v>
      </c>
    </row>
    <row r="61" spans="1:39" ht="21.6" customHeight="1">
      <c r="A61" s="11">
        <v>61</v>
      </c>
      <c r="B61" s="11" t="s">
        <v>321</v>
      </c>
      <c r="C61" s="11">
        <v>2025121906</v>
      </c>
      <c r="D61" s="11"/>
      <c r="E61" s="11"/>
      <c r="F61" s="11">
        <v>4260</v>
      </c>
      <c r="G61" s="11" t="s">
        <v>649</v>
      </c>
      <c r="H61" s="11" t="s">
        <v>357</v>
      </c>
      <c r="I61" s="11"/>
      <c r="J61" s="11"/>
      <c r="K61" s="11"/>
      <c r="L61" s="11"/>
      <c r="M61" s="12"/>
      <c r="N61" s="11"/>
      <c r="O61" s="12"/>
      <c r="P61" s="13"/>
      <c r="Q61" s="11" t="s">
        <v>650</v>
      </c>
      <c r="R61" s="11" t="s">
        <v>325</v>
      </c>
      <c r="S61" s="11" t="s">
        <v>128</v>
      </c>
      <c r="T61" s="11">
        <v>1</v>
      </c>
      <c r="U61" s="11" t="s">
        <v>326</v>
      </c>
      <c r="V61" s="11" t="s">
        <v>651</v>
      </c>
      <c r="W61" s="11" t="s">
        <v>652</v>
      </c>
      <c r="X61" s="440">
        <v>46002.572916666657</v>
      </c>
      <c r="Y61" s="11"/>
      <c r="Z61" s="11">
        <v>0.3</v>
      </c>
      <c r="AA61" s="11"/>
      <c r="AB61" s="11" t="s">
        <v>329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331</v>
      </c>
      <c r="AK61" s="11" t="s">
        <v>331</v>
      </c>
      <c r="AL61" s="267" t="e">
        <f t="shared" si="2"/>
        <v>#VALUE!</v>
      </c>
      <c r="AM61" s="265">
        <f t="shared" si="3"/>
        <v>46002</v>
      </c>
    </row>
    <row r="62" spans="1:39" ht="21.6" customHeight="1">
      <c r="A62" s="11">
        <v>62</v>
      </c>
      <c r="B62" s="11" t="s">
        <v>321</v>
      </c>
      <c r="C62" s="11">
        <v>2025121909</v>
      </c>
      <c r="D62" s="11"/>
      <c r="E62" s="11"/>
      <c r="F62" s="11">
        <v>4084</v>
      </c>
      <c r="G62" s="11" t="s">
        <v>653</v>
      </c>
      <c r="H62" s="11" t="s">
        <v>357</v>
      </c>
      <c r="I62" s="11"/>
      <c r="J62" s="11"/>
      <c r="K62" s="11"/>
      <c r="L62" s="11"/>
      <c r="M62" s="12"/>
      <c r="N62" s="11"/>
      <c r="O62" s="12"/>
      <c r="P62" s="13"/>
      <c r="Q62" s="11" t="s">
        <v>654</v>
      </c>
      <c r="R62" s="11" t="s">
        <v>325</v>
      </c>
      <c r="S62" s="11" t="s">
        <v>128</v>
      </c>
      <c r="T62" s="11">
        <v>1</v>
      </c>
      <c r="U62" s="11" t="s">
        <v>326</v>
      </c>
      <c r="V62" s="11" t="s">
        <v>655</v>
      </c>
      <c r="W62" s="11" t="s">
        <v>656</v>
      </c>
      <c r="X62" s="440">
        <v>46002.575694444437</v>
      </c>
      <c r="Y62" s="11"/>
      <c r="Z62" s="11">
        <v>0.1</v>
      </c>
      <c r="AA62" s="11"/>
      <c r="AB62" s="11" t="s">
        <v>329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331</v>
      </c>
      <c r="AK62" s="11" t="s">
        <v>331</v>
      </c>
      <c r="AL62" s="267" t="e">
        <f t="shared" si="2"/>
        <v>#VALUE!</v>
      </c>
      <c r="AM62" s="265">
        <f t="shared" si="3"/>
        <v>46002</v>
      </c>
    </row>
    <row r="63" spans="1:39" ht="21.6" customHeight="1">
      <c r="A63" s="11">
        <v>63</v>
      </c>
      <c r="B63" s="11" t="s">
        <v>321</v>
      </c>
      <c r="C63" s="11">
        <v>2025121912</v>
      </c>
      <c r="D63" s="11"/>
      <c r="E63" s="11"/>
      <c r="F63" s="11">
        <v>2321</v>
      </c>
      <c r="G63" s="11" t="s">
        <v>657</v>
      </c>
      <c r="H63" s="11" t="s">
        <v>357</v>
      </c>
      <c r="I63" s="11"/>
      <c r="J63" s="11"/>
      <c r="K63" s="11"/>
      <c r="L63" s="11"/>
      <c r="M63" s="12"/>
      <c r="N63" s="11"/>
      <c r="O63" s="12"/>
      <c r="P63" s="13"/>
      <c r="Q63" s="11" t="s">
        <v>658</v>
      </c>
      <c r="R63" s="11" t="s">
        <v>325</v>
      </c>
      <c r="S63" s="11" t="s">
        <v>128</v>
      </c>
      <c r="T63" s="11">
        <v>1</v>
      </c>
      <c r="U63" s="11" t="s">
        <v>326</v>
      </c>
      <c r="V63" s="11" t="s">
        <v>659</v>
      </c>
      <c r="W63" s="11" t="s">
        <v>660</v>
      </c>
      <c r="X63" s="440">
        <v>46002.579861111109</v>
      </c>
      <c r="Y63" s="11"/>
      <c r="Z63" s="11">
        <v>0.1</v>
      </c>
      <c r="AA63" s="11"/>
      <c r="AB63" s="11" t="s">
        <v>329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331</v>
      </c>
      <c r="AK63" s="11" t="s">
        <v>331</v>
      </c>
      <c r="AL63" s="267" t="e">
        <f t="shared" si="2"/>
        <v>#VALUE!</v>
      </c>
      <c r="AM63" s="265">
        <f t="shared" si="3"/>
        <v>46002</v>
      </c>
    </row>
    <row r="64" spans="1:39" ht="21.6" customHeight="1">
      <c r="A64" s="11">
        <v>64</v>
      </c>
      <c r="B64" s="11" t="s">
        <v>321</v>
      </c>
      <c r="C64" s="11">
        <v>2025121917</v>
      </c>
      <c r="D64" s="11"/>
      <c r="E64" s="11"/>
      <c r="F64" s="11">
        <v>4134</v>
      </c>
      <c r="G64" s="11" t="s">
        <v>661</v>
      </c>
      <c r="H64" s="11" t="s">
        <v>357</v>
      </c>
      <c r="I64" s="11"/>
      <c r="J64" s="11"/>
      <c r="K64" s="11"/>
      <c r="L64" s="11"/>
      <c r="M64" s="12"/>
      <c r="N64" s="11"/>
      <c r="O64" s="12"/>
      <c r="P64" s="13"/>
      <c r="Q64" s="11" t="s">
        <v>662</v>
      </c>
      <c r="R64" s="11" t="s">
        <v>325</v>
      </c>
      <c r="S64" s="11" t="s">
        <v>128</v>
      </c>
      <c r="T64" s="11">
        <v>1</v>
      </c>
      <c r="U64" s="11" t="s">
        <v>326</v>
      </c>
      <c r="V64" s="11" t="s">
        <v>663</v>
      </c>
      <c r="W64" s="11" t="s">
        <v>664</v>
      </c>
      <c r="X64" s="440">
        <v>46002.586805555547</v>
      </c>
      <c r="Y64" s="11"/>
      <c r="Z64" s="11">
        <v>0.2</v>
      </c>
      <c r="AA64" s="11"/>
      <c r="AB64" s="11" t="s">
        <v>329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331</v>
      </c>
      <c r="AK64" s="11" t="s">
        <v>331</v>
      </c>
      <c r="AL64" s="267" t="e">
        <f t="shared" si="2"/>
        <v>#VALUE!</v>
      </c>
      <c r="AM64" s="265">
        <f t="shared" si="3"/>
        <v>46002</v>
      </c>
    </row>
    <row r="65" spans="1:39" ht="21.6" customHeight="1">
      <c r="A65" s="11">
        <v>65</v>
      </c>
      <c r="B65" s="11" t="s">
        <v>321</v>
      </c>
      <c r="C65" s="11">
        <v>2025121919</v>
      </c>
      <c r="D65" s="11"/>
      <c r="E65" s="11"/>
      <c r="F65" s="11">
        <v>2302</v>
      </c>
      <c r="G65" s="11" t="s">
        <v>665</v>
      </c>
      <c r="H65" s="11" t="s">
        <v>357</v>
      </c>
      <c r="I65" s="11"/>
      <c r="J65" s="11"/>
      <c r="K65" s="11"/>
      <c r="L65" s="11"/>
      <c r="M65" s="12"/>
      <c r="N65" s="11"/>
      <c r="O65" s="12"/>
      <c r="P65" s="13"/>
      <c r="Q65" s="11" t="s">
        <v>666</v>
      </c>
      <c r="R65" s="11" t="s">
        <v>325</v>
      </c>
      <c r="S65" s="11" t="s">
        <v>128</v>
      </c>
      <c r="T65" s="11">
        <v>1</v>
      </c>
      <c r="U65" s="11" t="s">
        <v>326</v>
      </c>
      <c r="V65" s="11" t="s">
        <v>667</v>
      </c>
      <c r="W65" s="11" t="s">
        <v>668</v>
      </c>
      <c r="X65" s="440">
        <v>46002.591666666667</v>
      </c>
      <c r="Y65" s="11"/>
      <c r="Z65" s="11">
        <v>0.1</v>
      </c>
      <c r="AA65" s="11"/>
      <c r="AB65" s="11" t="s">
        <v>329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331</v>
      </c>
      <c r="AK65" s="11" t="s">
        <v>331</v>
      </c>
      <c r="AL65" s="267" t="e">
        <f t="shared" si="2"/>
        <v>#VALUE!</v>
      </c>
      <c r="AM65" s="265">
        <f t="shared" si="3"/>
        <v>46002</v>
      </c>
    </row>
    <row r="66" spans="1:39" ht="21.6" customHeight="1">
      <c r="A66" s="11">
        <v>66</v>
      </c>
      <c r="B66" s="11" t="s">
        <v>321</v>
      </c>
      <c r="C66" s="11">
        <v>2025121920</v>
      </c>
      <c r="D66" s="11"/>
      <c r="E66" s="11"/>
      <c r="F66" s="11">
        <v>3741</v>
      </c>
      <c r="G66" s="11" t="s">
        <v>669</v>
      </c>
      <c r="H66" s="11" t="s">
        <v>357</v>
      </c>
      <c r="I66" s="11"/>
      <c r="J66" s="11"/>
      <c r="K66" s="11"/>
      <c r="L66" s="11"/>
      <c r="M66" s="12"/>
      <c r="N66" s="11"/>
      <c r="O66" s="12"/>
      <c r="P66" s="13"/>
      <c r="Q66" s="11" t="s">
        <v>670</v>
      </c>
      <c r="R66" s="11" t="s">
        <v>325</v>
      </c>
      <c r="S66" s="11" t="s">
        <v>128</v>
      </c>
      <c r="T66" s="11">
        <v>1</v>
      </c>
      <c r="U66" s="11" t="s">
        <v>326</v>
      </c>
      <c r="V66" s="11" t="s">
        <v>671</v>
      </c>
      <c r="W66" s="11" t="s">
        <v>672</v>
      </c>
      <c r="X66" s="440">
        <v>46002.597222222219</v>
      </c>
      <c r="Y66" s="11"/>
      <c r="Z66" s="11">
        <v>0.1</v>
      </c>
      <c r="AA66" s="11"/>
      <c r="AB66" s="11" t="s">
        <v>329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331</v>
      </c>
      <c r="AK66" s="11" t="s">
        <v>331</v>
      </c>
      <c r="AL66" s="267" t="e">
        <f t="shared" ref="AL66:AL97" si="4">DATEVALUE(TEXT(I66, "yyyy/mm/dd"))</f>
        <v>#VALUE!</v>
      </c>
      <c r="AM66" s="265">
        <f t="shared" ref="AM66:AM97" si="5">DATEVALUE(TEXT(X66, "yyyy/mm/dd"))</f>
        <v>46002</v>
      </c>
    </row>
    <row r="67" spans="1:39" ht="21.6" customHeight="1">
      <c r="A67" s="11">
        <v>67</v>
      </c>
      <c r="B67" s="11" t="s">
        <v>321</v>
      </c>
      <c r="C67" s="11">
        <v>2025121938</v>
      </c>
      <c r="D67" s="11"/>
      <c r="E67" s="11"/>
      <c r="F67" s="11">
        <v>3983</v>
      </c>
      <c r="G67" s="11" t="s">
        <v>673</v>
      </c>
      <c r="H67" s="11" t="s">
        <v>357</v>
      </c>
      <c r="I67" s="11"/>
      <c r="J67" s="11"/>
      <c r="K67" s="11"/>
      <c r="L67" s="11"/>
      <c r="M67" s="12"/>
      <c r="N67" s="11"/>
      <c r="O67" s="12"/>
      <c r="P67" s="13"/>
      <c r="Q67" s="11" t="s">
        <v>674</v>
      </c>
      <c r="R67" s="11" t="s">
        <v>325</v>
      </c>
      <c r="S67" s="11" t="s">
        <v>128</v>
      </c>
      <c r="T67" s="11">
        <v>1</v>
      </c>
      <c r="U67" s="11" t="s">
        <v>326</v>
      </c>
      <c r="V67" s="11" t="s">
        <v>675</v>
      </c>
      <c r="W67" s="11" t="s">
        <v>676</v>
      </c>
      <c r="X67" s="440">
        <v>46002.600694444453</v>
      </c>
      <c r="Y67" s="11"/>
      <c r="Z67" s="11">
        <v>0.1</v>
      </c>
      <c r="AA67" s="11"/>
      <c r="AB67" s="11" t="s">
        <v>329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331</v>
      </c>
      <c r="AK67" s="11" t="s">
        <v>331</v>
      </c>
      <c r="AL67" s="267" t="e">
        <f t="shared" si="4"/>
        <v>#VALUE!</v>
      </c>
      <c r="AM67" s="265">
        <f t="shared" si="5"/>
        <v>46002</v>
      </c>
    </row>
    <row r="68" spans="1:39" ht="21.6" customHeight="1">
      <c r="A68" s="11">
        <v>68</v>
      </c>
      <c r="B68" s="11" t="s">
        <v>321</v>
      </c>
      <c r="C68" s="11">
        <v>2025121946</v>
      </c>
      <c r="D68" s="11"/>
      <c r="E68" s="11"/>
      <c r="F68" s="11">
        <v>4586</v>
      </c>
      <c r="G68" s="11" t="s">
        <v>677</v>
      </c>
      <c r="H68" s="11" t="s">
        <v>357</v>
      </c>
      <c r="I68" s="11"/>
      <c r="J68" s="11"/>
      <c r="K68" s="11"/>
      <c r="L68" s="11"/>
      <c r="M68" s="12"/>
      <c r="N68" s="11"/>
      <c r="O68" s="12"/>
      <c r="P68" s="13"/>
      <c r="Q68" s="11" t="s">
        <v>678</v>
      </c>
      <c r="R68" s="11" t="s">
        <v>325</v>
      </c>
      <c r="S68" s="11" t="s">
        <v>128</v>
      </c>
      <c r="T68" s="11">
        <v>1</v>
      </c>
      <c r="U68" s="11" t="s">
        <v>326</v>
      </c>
      <c r="V68" s="11" t="s">
        <v>679</v>
      </c>
      <c r="W68" s="11" t="s">
        <v>680</v>
      </c>
      <c r="X68" s="440">
        <v>46002.615277777782</v>
      </c>
      <c r="Y68" s="11"/>
      <c r="Z68" s="11">
        <v>0.1</v>
      </c>
      <c r="AA68" s="11"/>
      <c r="AB68" s="11" t="s">
        <v>329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331</v>
      </c>
      <c r="AK68" s="11" t="s">
        <v>331</v>
      </c>
      <c r="AL68" s="267" t="e">
        <f t="shared" si="4"/>
        <v>#VALUE!</v>
      </c>
      <c r="AM68" s="265">
        <f t="shared" si="5"/>
        <v>46002</v>
      </c>
    </row>
    <row r="69" spans="1:39" ht="21.6" customHeight="1">
      <c r="A69" s="11">
        <v>69</v>
      </c>
      <c r="B69" s="11" t="s">
        <v>321</v>
      </c>
      <c r="C69" s="11">
        <v>2025121948</v>
      </c>
      <c r="D69" s="11"/>
      <c r="E69" s="11"/>
      <c r="F69" s="11">
        <v>4397</v>
      </c>
      <c r="G69" s="11" t="s">
        <v>681</v>
      </c>
      <c r="H69" s="11" t="s">
        <v>357</v>
      </c>
      <c r="I69" s="11"/>
      <c r="J69" s="11"/>
      <c r="K69" s="11"/>
      <c r="L69" s="11"/>
      <c r="M69" s="12"/>
      <c r="N69" s="11"/>
      <c r="O69" s="12"/>
      <c r="P69" s="13"/>
      <c r="Q69" s="11" t="s">
        <v>682</v>
      </c>
      <c r="R69" s="11" t="s">
        <v>325</v>
      </c>
      <c r="S69" s="11" t="s">
        <v>128</v>
      </c>
      <c r="T69" s="11">
        <v>1</v>
      </c>
      <c r="U69" s="11" t="s">
        <v>326</v>
      </c>
      <c r="V69" s="11" t="s">
        <v>683</v>
      </c>
      <c r="W69" s="11" t="s">
        <v>684</v>
      </c>
      <c r="X69" s="440">
        <v>46002.625694444447</v>
      </c>
      <c r="Y69" s="11"/>
      <c r="Z69" s="11">
        <v>0.1</v>
      </c>
      <c r="AA69" s="11"/>
      <c r="AB69" s="11" t="s">
        <v>329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331</v>
      </c>
      <c r="AK69" s="11" t="s">
        <v>331</v>
      </c>
      <c r="AL69" s="267" t="e">
        <f t="shared" si="4"/>
        <v>#VALUE!</v>
      </c>
      <c r="AM69" s="265">
        <f t="shared" si="5"/>
        <v>46002</v>
      </c>
    </row>
    <row r="70" spans="1:39" ht="21.6" customHeight="1">
      <c r="A70" s="11">
        <v>70</v>
      </c>
      <c r="B70" s="11" t="s">
        <v>321</v>
      </c>
      <c r="C70" s="11">
        <v>2025121949</v>
      </c>
      <c r="D70" s="11"/>
      <c r="E70" s="11"/>
      <c r="F70" s="11">
        <v>3840</v>
      </c>
      <c r="G70" s="11" t="s">
        <v>685</v>
      </c>
      <c r="H70" s="11" t="s">
        <v>357</v>
      </c>
      <c r="I70" s="11"/>
      <c r="J70" s="11"/>
      <c r="K70" s="11"/>
      <c r="L70" s="11"/>
      <c r="M70" s="12"/>
      <c r="N70" s="11"/>
      <c r="O70" s="12"/>
      <c r="P70" s="13"/>
      <c r="Q70" s="11" t="s">
        <v>686</v>
      </c>
      <c r="R70" s="11" t="s">
        <v>325</v>
      </c>
      <c r="S70" s="11" t="s">
        <v>128</v>
      </c>
      <c r="T70" s="11">
        <v>1</v>
      </c>
      <c r="U70" s="11" t="s">
        <v>326</v>
      </c>
      <c r="V70" s="11" t="s">
        <v>687</v>
      </c>
      <c r="W70" s="11" t="s">
        <v>688</v>
      </c>
      <c r="X70" s="440">
        <v>46002.628472222219</v>
      </c>
      <c r="Y70" s="11"/>
      <c r="Z70" s="11">
        <v>0.1</v>
      </c>
      <c r="AA70" s="11"/>
      <c r="AB70" s="11" t="s">
        <v>329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331</v>
      </c>
      <c r="AK70" s="11" t="s">
        <v>331</v>
      </c>
      <c r="AL70" s="267" t="e">
        <f t="shared" si="4"/>
        <v>#VALUE!</v>
      </c>
      <c r="AM70" s="265">
        <f t="shared" si="5"/>
        <v>46002</v>
      </c>
    </row>
    <row r="71" spans="1:39" ht="21.6" customHeight="1">
      <c r="A71" s="11">
        <v>71</v>
      </c>
      <c r="B71" s="11" t="s">
        <v>321</v>
      </c>
      <c r="C71" s="11">
        <v>2025121951</v>
      </c>
      <c r="D71" s="11"/>
      <c r="E71" s="11"/>
      <c r="F71" s="11">
        <v>4352</v>
      </c>
      <c r="G71" s="11" t="s">
        <v>689</v>
      </c>
      <c r="H71" s="11" t="s">
        <v>357</v>
      </c>
      <c r="I71" s="11"/>
      <c r="J71" s="11"/>
      <c r="K71" s="11"/>
      <c r="L71" s="11"/>
      <c r="M71" s="12"/>
      <c r="N71" s="11"/>
      <c r="O71" s="12"/>
      <c r="P71" s="13"/>
      <c r="Q71" s="11" t="s">
        <v>690</v>
      </c>
      <c r="R71" s="11" t="s">
        <v>325</v>
      </c>
      <c r="S71" s="11" t="s">
        <v>128</v>
      </c>
      <c r="T71" s="11">
        <v>1</v>
      </c>
      <c r="U71" s="11" t="s">
        <v>326</v>
      </c>
      <c r="V71" s="11" t="s">
        <v>691</v>
      </c>
      <c r="W71" s="11" t="s">
        <v>692</v>
      </c>
      <c r="X71" s="440">
        <v>46002.631944444453</v>
      </c>
      <c r="Y71" s="11"/>
      <c r="Z71" s="11">
        <v>0.1</v>
      </c>
      <c r="AA71" s="11"/>
      <c r="AB71" s="11" t="s">
        <v>329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331</v>
      </c>
      <c r="AK71" s="11" t="s">
        <v>331</v>
      </c>
      <c r="AL71" s="267" t="e">
        <f t="shared" si="4"/>
        <v>#VALUE!</v>
      </c>
      <c r="AM71" s="265">
        <f t="shared" si="5"/>
        <v>46002</v>
      </c>
    </row>
    <row r="72" spans="1:39" ht="21.6" customHeight="1">
      <c r="A72" s="11">
        <v>72</v>
      </c>
      <c r="B72" s="11" t="s">
        <v>321</v>
      </c>
      <c r="C72" s="11">
        <v>2025121957</v>
      </c>
      <c r="D72" s="11"/>
      <c r="E72" s="11"/>
      <c r="F72" s="11">
        <v>4241</v>
      </c>
      <c r="G72" s="11" t="s">
        <v>693</v>
      </c>
      <c r="H72" s="11" t="s">
        <v>357</v>
      </c>
      <c r="I72" s="11"/>
      <c r="J72" s="11"/>
      <c r="K72" s="11"/>
      <c r="L72" s="11"/>
      <c r="M72" s="12"/>
      <c r="N72" s="11"/>
      <c r="O72" s="12"/>
      <c r="P72" s="13"/>
      <c r="Q72" s="11" t="s">
        <v>694</v>
      </c>
      <c r="R72" s="11" t="s">
        <v>325</v>
      </c>
      <c r="S72" s="11" t="s">
        <v>128</v>
      </c>
      <c r="T72" s="11">
        <v>1</v>
      </c>
      <c r="U72" s="11" t="s">
        <v>326</v>
      </c>
      <c r="V72" s="11" t="s">
        <v>695</v>
      </c>
      <c r="W72" s="11" t="s">
        <v>696</v>
      </c>
      <c r="X72" s="440">
        <v>46002.635416666657</v>
      </c>
      <c r="Y72" s="11"/>
      <c r="Z72" s="11">
        <v>0.1</v>
      </c>
      <c r="AA72" s="11"/>
      <c r="AB72" s="11" t="s">
        <v>329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331</v>
      </c>
      <c r="AK72" s="11" t="s">
        <v>331</v>
      </c>
      <c r="AL72" s="267" t="e">
        <f t="shared" si="4"/>
        <v>#VALUE!</v>
      </c>
      <c r="AM72" s="265">
        <f t="shared" si="5"/>
        <v>46002</v>
      </c>
    </row>
    <row r="73" spans="1:39" ht="21.6" customHeight="1">
      <c r="A73" s="11">
        <v>73</v>
      </c>
      <c r="B73" s="11" t="s">
        <v>321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323</v>
      </c>
      <c r="I73" s="11"/>
      <c r="J73" s="11"/>
      <c r="K73" s="11"/>
      <c r="L73" s="11"/>
      <c r="M73" s="12"/>
      <c r="N73" s="11"/>
      <c r="O73" s="12"/>
      <c r="P73" s="13"/>
      <c r="Q73" s="11" t="s">
        <v>697</v>
      </c>
      <c r="R73" s="11" t="s">
        <v>325</v>
      </c>
      <c r="S73" s="11" t="s">
        <v>128</v>
      </c>
      <c r="T73" s="11">
        <v>1</v>
      </c>
      <c r="U73" s="11" t="s">
        <v>326</v>
      </c>
      <c r="V73" s="11" t="s">
        <v>698</v>
      </c>
      <c r="W73" s="11" t="s">
        <v>699</v>
      </c>
      <c r="X73" s="440">
        <v>46003.458333333343</v>
      </c>
      <c r="Y73" s="11"/>
      <c r="Z73" s="11">
        <v>2</v>
      </c>
      <c r="AA73" s="11"/>
      <c r="AB73" s="11" t="s">
        <v>329</v>
      </c>
      <c r="AC73" s="266" t="s">
        <v>700</v>
      </c>
      <c r="AD73" s="11"/>
      <c r="AE73" s="11" t="s">
        <v>331</v>
      </c>
      <c r="AF73" s="11"/>
      <c r="AG73" s="11"/>
      <c r="AH73" s="11"/>
      <c r="AI73" s="11"/>
      <c r="AJ73" s="11"/>
      <c r="AK73" s="11" t="s">
        <v>331</v>
      </c>
      <c r="AL73" s="267" t="e">
        <f t="shared" si="4"/>
        <v>#VALUE!</v>
      </c>
      <c r="AM73" s="265">
        <f t="shared" si="5"/>
        <v>46003</v>
      </c>
    </row>
    <row r="74" spans="1:39" ht="21.6" customHeight="1">
      <c r="A74" s="11">
        <v>74</v>
      </c>
      <c r="B74" s="11" t="s">
        <v>321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323</v>
      </c>
      <c r="I74" s="11"/>
      <c r="J74" s="11"/>
      <c r="K74" s="11"/>
      <c r="L74" s="11"/>
      <c r="M74" s="12"/>
      <c r="N74" s="11"/>
      <c r="O74" s="12"/>
      <c r="P74" s="13"/>
      <c r="Q74" s="11" t="s">
        <v>697</v>
      </c>
      <c r="R74" s="11" t="s">
        <v>325</v>
      </c>
      <c r="S74" s="11" t="s">
        <v>123</v>
      </c>
      <c r="T74" s="11">
        <v>1</v>
      </c>
      <c r="U74" s="11" t="s">
        <v>326</v>
      </c>
      <c r="V74" s="11" t="s">
        <v>701</v>
      </c>
      <c r="W74" s="11" t="s">
        <v>699</v>
      </c>
      <c r="X74" s="440">
        <v>46003.458333333343</v>
      </c>
      <c r="Y74" s="11"/>
      <c r="Z74" s="11">
        <v>2</v>
      </c>
      <c r="AA74" s="11"/>
      <c r="AB74" s="11" t="s">
        <v>329</v>
      </c>
      <c r="AC74" s="266" t="s">
        <v>23</v>
      </c>
      <c r="AD74" s="11"/>
      <c r="AE74" s="11" t="s">
        <v>331</v>
      </c>
      <c r="AF74" s="11"/>
      <c r="AG74" s="11"/>
      <c r="AH74" s="11"/>
      <c r="AI74" s="11"/>
      <c r="AJ74" s="11"/>
      <c r="AK74" s="11" t="s">
        <v>331</v>
      </c>
      <c r="AL74" s="267" t="e">
        <f t="shared" si="4"/>
        <v>#VALUE!</v>
      </c>
      <c r="AM74" s="265">
        <f t="shared" si="5"/>
        <v>46003</v>
      </c>
    </row>
    <row r="75" spans="1:39" ht="21.6" customHeight="1">
      <c r="A75" s="11">
        <v>75</v>
      </c>
      <c r="B75" s="11" t="s">
        <v>321</v>
      </c>
      <c r="C75" s="11">
        <v>2025122094</v>
      </c>
      <c r="D75" s="11"/>
      <c r="E75" s="11"/>
      <c r="F75" s="11">
        <v>5384</v>
      </c>
      <c r="G75" s="11" t="s">
        <v>264</v>
      </c>
      <c r="H75" s="11" t="s">
        <v>395</v>
      </c>
      <c r="I75" s="11"/>
      <c r="J75" s="11"/>
      <c r="K75" s="11"/>
      <c r="L75" s="11"/>
      <c r="M75" s="12"/>
      <c r="N75" s="11"/>
      <c r="O75" s="12"/>
      <c r="P75" s="13"/>
      <c r="Q75" s="11" t="s">
        <v>702</v>
      </c>
      <c r="R75" s="11" t="s">
        <v>325</v>
      </c>
      <c r="S75" s="11" t="s">
        <v>139</v>
      </c>
      <c r="T75" s="11">
        <v>1</v>
      </c>
      <c r="U75" s="11" t="s">
        <v>326</v>
      </c>
      <c r="V75" s="11" t="s">
        <v>703</v>
      </c>
      <c r="W75" s="11" t="s">
        <v>704</v>
      </c>
      <c r="X75" s="440">
        <v>46003.552777777782</v>
      </c>
      <c r="Y75" s="11"/>
      <c r="Z75" s="11">
        <v>0.3</v>
      </c>
      <c r="AA75" s="11"/>
      <c r="AB75" s="11" t="s">
        <v>329</v>
      </c>
      <c r="AC75" s="266" t="s">
        <v>330</v>
      </c>
      <c r="AD75" s="11" t="s">
        <v>331</v>
      </c>
      <c r="AE75" s="11"/>
      <c r="AF75" s="11"/>
      <c r="AG75" s="11"/>
      <c r="AH75" s="11"/>
      <c r="AI75" s="11"/>
      <c r="AJ75" s="11"/>
      <c r="AK75" s="11" t="s">
        <v>331</v>
      </c>
      <c r="AL75" s="267" t="e">
        <f t="shared" si="4"/>
        <v>#VALUE!</v>
      </c>
      <c r="AM75" s="265">
        <f t="shared" si="5"/>
        <v>46003</v>
      </c>
    </row>
    <row r="76" spans="1:39" ht="21.6" customHeight="1">
      <c r="A76" s="11">
        <v>76</v>
      </c>
      <c r="B76" s="11" t="s">
        <v>321</v>
      </c>
      <c r="C76" s="11">
        <v>2025122103</v>
      </c>
      <c r="D76" s="11"/>
      <c r="E76" s="11"/>
      <c r="F76" s="11">
        <v>3818</v>
      </c>
      <c r="G76" s="11" t="s">
        <v>705</v>
      </c>
      <c r="H76" s="11" t="s">
        <v>395</v>
      </c>
      <c r="I76" s="11"/>
      <c r="J76" s="11"/>
      <c r="K76" s="11"/>
      <c r="L76" s="11"/>
      <c r="M76" s="12"/>
      <c r="N76" s="11"/>
      <c r="O76" s="12"/>
      <c r="P76" s="13"/>
      <c r="Q76" s="11" t="s">
        <v>706</v>
      </c>
      <c r="R76" s="11" t="s">
        <v>325</v>
      </c>
      <c r="S76" s="11" t="s">
        <v>139</v>
      </c>
      <c r="T76" s="11">
        <v>1</v>
      </c>
      <c r="U76" s="11" t="s">
        <v>326</v>
      </c>
      <c r="V76" s="11" t="s">
        <v>707</v>
      </c>
      <c r="W76" s="11" t="s">
        <v>708</v>
      </c>
      <c r="X76" s="440">
        <v>46003.572916666657</v>
      </c>
      <c r="Y76" s="11"/>
      <c r="Z76" s="11">
        <v>0.3</v>
      </c>
      <c r="AA76" s="11"/>
      <c r="AB76" s="11" t="s">
        <v>329</v>
      </c>
      <c r="AC76" s="266" t="s">
        <v>330</v>
      </c>
      <c r="AD76" s="11" t="s">
        <v>331</v>
      </c>
      <c r="AE76" s="11"/>
      <c r="AF76" s="11"/>
      <c r="AG76" s="11"/>
      <c r="AH76" s="11"/>
      <c r="AI76" s="11"/>
      <c r="AJ76" s="11"/>
      <c r="AK76" s="11" t="s">
        <v>331</v>
      </c>
      <c r="AL76" s="267" t="e">
        <f t="shared" si="4"/>
        <v>#VALUE!</v>
      </c>
      <c r="AM76" s="265">
        <f t="shared" si="5"/>
        <v>46003</v>
      </c>
    </row>
    <row r="77" spans="1:39" ht="21.6" customHeight="1">
      <c r="A77" s="11">
        <v>77</v>
      </c>
      <c r="B77" s="11" t="s">
        <v>362</v>
      </c>
      <c r="C77" s="11">
        <v>2025122156</v>
      </c>
      <c r="D77" s="11" t="s">
        <v>709</v>
      </c>
      <c r="E77" s="11" t="s">
        <v>364</v>
      </c>
      <c r="F77" s="11">
        <v>2014</v>
      </c>
      <c r="G77" s="11" t="s">
        <v>710</v>
      </c>
      <c r="H77" s="11" t="s">
        <v>357</v>
      </c>
      <c r="I77" s="11" t="s">
        <v>711</v>
      </c>
      <c r="J77" s="11" t="s">
        <v>444</v>
      </c>
      <c r="K77" s="11" t="s">
        <v>199</v>
      </c>
      <c r="L77" s="11" t="s">
        <v>557</v>
      </c>
      <c r="M77" s="12" t="s">
        <v>558</v>
      </c>
      <c r="N77" s="11">
        <v>2401</v>
      </c>
      <c r="O77" s="12" t="s">
        <v>712</v>
      </c>
      <c r="P77" s="13" t="s">
        <v>713</v>
      </c>
      <c r="Q77" s="11" t="s">
        <v>714</v>
      </c>
      <c r="R77" s="11" t="s">
        <v>325</v>
      </c>
      <c r="S77" s="11" t="s">
        <v>128</v>
      </c>
      <c r="T77" s="11">
        <v>1</v>
      </c>
      <c r="U77" s="11" t="s">
        <v>326</v>
      </c>
      <c r="V77" s="11" t="s">
        <v>715</v>
      </c>
      <c r="W77" s="11" t="s">
        <v>716</v>
      </c>
      <c r="X77" s="440">
        <v>46004.760416666657</v>
      </c>
      <c r="Y77" s="11" t="s">
        <v>717</v>
      </c>
      <c r="Z77" s="11">
        <v>2.2999999999999998</v>
      </c>
      <c r="AA77" s="11"/>
      <c r="AB77" s="11" t="s">
        <v>329</v>
      </c>
      <c r="AC77" s="266" t="s">
        <v>718</v>
      </c>
      <c r="AD77" s="11"/>
      <c r="AE77" s="11"/>
      <c r="AF77" s="11"/>
      <c r="AG77" s="11"/>
      <c r="AH77" s="11"/>
      <c r="AI77" s="11"/>
      <c r="AJ77" s="11"/>
      <c r="AK77" s="11" t="s">
        <v>331</v>
      </c>
      <c r="AL77" s="267">
        <f t="shared" si="4"/>
        <v>46003</v>
      </c>
      <c r="AM77" s="265">
        <f t="shared" si="5"/>
        <v>46004</v>
      </c>
    </row>
    <row r="78" spans="1:39" ht="21.6" customHeight="1">
      <c r="A78" s="11">
        <v>78</v>
      </c>
      <c r="B78" s="11" t="s">
        <v>362</v>
      </c>
      <c r="C78" s="11">
        <v>2025122170</v>
      </c>
      <c r="D78" s="11" t="s">
        <v>719</v>
      </c>
      <c r="E78" s="11" t="s">
        <v>474</v>
      </c>
      <c r="F78" s="11">
        <v>2014</v>
      </c>
      <c r="G78" s="11" t="s">
        <v>710</v>
      </c>
      <c r="H78" s="11" t="s">
        <v>357</v>
      </c>
      <c r="I78" s="11" t="s">
        <v>720</v>
      </c>
      <c r="J78" s="11" t="s">
        <v>457</v>
      </c>
      <c r="K78" s="11" t="s">
        <v>199</v>
      </c>
      <c r="L78" s="11" t="s">
        <v>557</v>
      </c>
      <c r="M78" s="12" t="s">
        <v>558</v>
      </c>
      <c r="N78" s="11">
        <v>2401</v>
      </c>
      <c r="O78" s="12" t="s">
        <v>712</v>
      </c>
      <c r="P78" s="13" t="s">
        <v>721</v>
      </c>
      <c r="Q78" s="11" t="s">
        <v>714</v>
      </c>
      <c r="R78" s="11" t="s">
        <v>325</v>
      </c>
      <c r="S78" s="11" t="s">
        <v>128</v>
      </c>
      <c r="T78" s="11">
        <v>1</v>
      </c>
      <c r="U78" s="11" t="s">
        <v>326</v>
      </c>
      <c r="V78" s="11" t="s">
        <v>722</v>
      </c>
      <c r="W78" s="11" t="s">
        <v>716</v>
      </c>
      <c r="X78" s="440">
        <v>46004.760416666657</v>
      </c>
      <c r="Y78" s="11" t="s">
        <v>723</v>
      </c>
      <c r="Z78" s="11">
        <v>2.2999999999999998</v>
      </c>
      <c r="AA78" s="11"/>
      <c r="AB78" s="11" t="s">
        <v>329</v>
      </c>
      <c r="AC78" s="266" t="s">
        <v>718</v>
      </c>
      <c r="AD78" s="11"/>
      <c r="AE78" s="11"/>
      <c r="AF78" s="11"/>
      <c r="AG78" s="11"/>
      <c r="AH78" s="11"/>
      <c r="AI78" s="11"/>
      <c r="AJ78" s="11"/>
      <c r="AK78" s="11" t="s">
        <v>331</v>
      </c>
      <c r="AL78" s="267">
        <f t="shared" si="4"/>
        <v>46004</v>
      </c>
      <c r="AM78" s="265">
        <f t="shared" si="5"/>
        <v>46004</v>
      </c>
    </row>
    <row r="79" spans="1:39" ht="21.6" customHeight="1">
      <c r="A79" s="11">
        <v>79</v>
      </c>
      <c r="B79" s="11" t="s">
        <v>362</v>
      </c>
      <c r="C79" s="11">
        <v>2025122172</v>
      </c>
      <c r="D79" s="11" t="s">
        <v>724</v>
      </c>
      <c r="E79" s="11" t="s">
        <v>364</v>
      </c>
      <c r="F79" s="11">
        <v>3962</v>
      </c>
      <c r="G79" s="11" t="s">
        <v>725</v>
      </c>
      <c r="H79" s="11" t="s">
        <v>395</v>
      </c>
      <c r="I79" s="11" t="s">
        <v>726</v>
      </c>
      <c r="J79" s="11" t="s">
        <v>482</v>
      </c>
      <c r="K79" s="11" t="s">
        <v>199</v>
      </c>
      <c r="L79" s="11" t="s">
        <v>446</v>
      </c>
      <c r="M79" s="12" t="s">
        <v>447</v>
      </c>
      <c r="N79" s="11" t="s">
        <v>448</v>
      </c>
      <c r="O79" s="12" t="s">
        <v>449</v>
      </c>
      <c r="P79" s="13" t="s">
        <v>727</v>
      </c>
      <c r="Q79" s="11" t="s">
        <v>728</v>
      </c>
      <c r="R79" s="11" t="s">
        <v>325</v>
      </c>
      <c r="S79" s="11" t="s">
        <v>139</v>
      </c>
      <c r="T79" s="11">
        <v>1</v>
      </c>
      <c r="U79" s="11" t="s">
        <v>326</v>
      </c>
      <c r="V79" s="11" t="s">
        <v>729</v>
      </c>
      <c r="W79" s="11" t="s">
        <v>730</v>
      </c>
      <c r="X79" s="440">
        <v>46007.520833333343</v>
      </c>
      <c r="Y79" s="11" t="s">
        <v>731</v>
      </c>
      <c r="Z79" s="11">
        <v>0.5</v>
      </c>
      <c r="AA79" s="11"/>
      <c r="AB79" s="11" t="s">
        <v>329</v>
      </c>
      <c r="AC79" s="266" t="s">
        <v>732</v>
      </c>
      <c r="AD79" s="11"/>
      <c r="AE79" s="11"/>
      <c r="AF79" s="11"/>
      <c r="AG79" s="11"/>
      <c r="AH79" s="11"/>
      <c r="AI79" s="11"/>
      <c r="AJ79" s="11"/>
      <c r="AK79" s="11" t="s">
        <v>331</v>
      </c>
      <c r="AL79" s="267">
        <f t="shared" si="4"/>
        <v>46005</v>
      </c>
      <c r="AM79" s="265">
        <f t="shared" si="5"/>
        <v>46007</v>
      </c>
    </row>
    <row r="80" spans="1:39" ht="21.6" customHeight="1">
      <c r="A80" s="11">
        <v>80</v>
      </c>
      <c r="B80" s="11" t="s">
        <v>362</v>
      </c>
      <c r="C80" s="11">
        <v>2025122173</v>
      </c>
      <c r="D80" s="11" t="s">
        <v>733</v>
      </c>
      <c r="E80" s="11" t="s">
        <v>364</v>
      </c>
      <c r="F80" s="11">
        <v>3962</v>
      </c>
      <c r="G80" s="11" t="s">
        <v>725</v>
      </c>
      <c r="H80" s="11" t="s">
        <v>395</v>
      </c>
      <c r="I80" s="11" t="s">
        <v>734</v>
      </c>
      <c r="J80" s="11" t="s">
        <v>482</v>
      </c>
      <c r="K80" s="11" t="s">
        <v>199</v>
      </c>
      <c r="L80" s="11" t="s">
        <v>446</v>
      </c>
      <c r="M80" s="12" t="s">
        <v>447</v>
      </c>
      <c r="N80" s="11" t="s">
        <v>448</v>
      </c>
      <c r="O80" s="12" t="s">
        <v>449</v>
      </c>
      <c r="P80" s="13" t="s">
        <v>735</v>
      </c>
      <c r="Q80" s="11" t="s">
        <v>728</v>
      </c>
      <c r="R80" s="11" t="s">
        <v>325</v>
      </c>
      <c r="S80" s="11" t="s">
        <v>139</v>
      </c>
      <c r="T80" s="11">
        <v>1</v>
      </c>
      <c r="U80" s="11" t="s">
        <v>326</v>
      </c>
      <c r="V80" s="11" t="s">
        <v>736</v>
      </c>
      <c r="W80" s="11" t="s">
        <v>730</v>
      </c>
      <c r="X80" s="440">
        <v>46007.520833333343</v>
      </c>
      <c r="Y80" s="11" t="s">
        <v>731</v>
      </c>
      <c r="Z80" s="11">
        <v>0.5</v>
      </c>
      <c r="AA80" s="11"/>
      <c r="AB80" s="11" t="s">
        <v>329</v>
      </c>
      <c r="AC80" s="266" t="s">
        <v>737</v>
      </c>
      <c r="AD80" s="11"/>
      <c r="AE80" s="11"/>
      <c r="AF80" s="11"/>
      <c r="AG80" s="11"/>
      <c r="AH80" s="11"/>
      <c r="AI80" s="11"/>
      <c r="AJ80" s="11"/>
      <c r="AK80" s="11" t="s">
        <v>331</v>
      </c>
      <c r="AL80" s="267">
        <f t="shared" si="4"/>
        <v>46005</v>
      </c>
      <c r="AM80" s="265">
        <f t="shared" si="5"/>
        <v>46007</v>
      </c>
    </row>
    <row r="81" spans="1:39" ht="21.6" customHeight="1">
      <c r="A81" s="11">
        <v>81</v>
      </c>
      <c r="B81" s="11" t="s">
        <v>362</v>
      </c>
      <c r="C81" s="11">
        <v>2025122213</v>
      </c>
      <c r="D81" s="11" t="s">
        <v>738</v>
      </c>
      <c r="E81" s="11" t="s">
        <v>364</v>
      </c>
      <c r="F81" s="11">
        <v>2154</v>
      </c>
      <c r="G81" s="11" t="s">
        <v>739</v>
      </c>
      <c r="H81" s="11" t="s">
        <v>395</v>
      </c>
      <c r="I81" s="11" t="s">
        <v>740</v>
      </c>
      <c r="J81" s="11" t="s">
        <v>491</v>
      </c>
      <c r="K81" s="11" t="s">
        <v>445</v>
      </c>
      <c r="L81" s="11" t="s">
        <v>368</v>
      </c>
      <c r="M81" s="12" t="s">
        <v>369</v>
      </c>
      <c r="N81" s="11">
        <v>2301</v>
      </c>
      <c r="O81" s="12" t="s">
        <v>741</v>
      </c>
      <c r="P81" s="13" t="s">
        <v>742</v>
      </c>
      <c r="Q81" s="11" t="s">
        <v>743</v>
      </c>
      <c r="R81" s="11" t="s">
        <v>325</v>
      </c>
      <c r="S81" s="11" t="s">
        <v>139</v>
      </c>
      <c r="T81" s="11">
        <v>1</v>
      </c>
      <c r="U81" s="11" t="s">
        <v>326</v>
      </c>
      <c r="V81" s="11" t="s">
        <v>744</v>
      </c>
      <c r="W81" s="11" t="s">
        <v>745</v>
      </c>
      <c r="X81" s="440">
        <v>46007.611111111109</v>
      </c>
      <c r="Y81" s="11" t="s">
        <v>746</v>
      </c>
      <c r="Z81" s="11">
        <v>2</v>
      </c>
      <c r="AA81" s="11"/>
      <c r="AB81" s="11" t="s">
        <v>329</v>
      </c>
      <c r="AC81" s="266" t="s">
        <v>747</v>
      </c>
      <c r="AD81" s="11"/>
      <c r="AE81" s="11"/>
      <c r="AF81" s="11"/>
      <c r="AG81" s="11"/>
      <c r="AH81" s="11"/>
      <c r="AI81" s="11"/>
      <c r="AJ81" s="11"/>
      <c r="AK81" s="11" t="s">
        <v>331</v>
      </c>
      <c r="AL81" s="267">
        <f t="shared" si="4"/>
        <v>46006</v>
      </c>
      <c r="AM81" s="265">
        <f t="shared" si="5"/>
        <v>46007</v>
      </c>
    </row>
    <row r="82" spans="1:39" ht="21.6" customHeight="1">
      <c r="A82" s="11">
        <v>82</v>
      </c>
      <c r="B82" s="11" t="s">
        <v>321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748</v>
      </c>
      <c r="I82" s="11"/>
      <c r="J82" s="11"/>
      <c r="K82" s="11"/>
      <c r="L82" s="11"/>
      <c r="M82" s="12"/>
      <c r="N82" s="11"/>
      <c r="O82" s="12"/>
      <c r="P82" s="13"/>
      <c r="Q82" s="11" t="s">
        <v>749</v>
      </c>
      <c r="R82" s="11" t="s">
        <v>325</v>
      </c>
      <c r="S82" s="11" t="s">
        <v>123</v>
      </c>
      <c r="T82" s="11">
        <v>1</v>
      </c>
      <c r="U82" s="11" t="s">
        <v>326</v>
      </c>
      <c r="V82" s="11" t="s">
        <v>750</v>
      </c>
      <c r="W82" s="11" t="s">
        <v>751</v>
      </c>
      <c r="X82" s="440">
        <v>46006.583333333343</v>
      </c>
      <c r="Y82" s="11"/>
      <c r="Z82" s="11">
        <v>4</v>
      </c>
      <c r="AA82" s="11"/>
      <c r="AB82" s="11" t="s">
        <v>329</v>
      </c>
      <c r="AC82" s="266" t="s">
        <v>752</v>
      </c>
      <c r="AD82" s="11"/>
      <c r="AE82" s="11" t="s">
        <v>331</v>
      </c>
      <c r="AF82" s="11"/>
      <c r="AG82" s="11"/>
      <c r="AH82" s="11"/>
      <c r="AI82" s="11"/>
      <c r="AJ82" s="11"/>
      <c r="AK82" s="11" t="s">
        <v>331</v>
      </c>
      <c r="AL82" s="267" t="e">
        <f t="shared" si="4"/>
        <v>#VALUE!</v>
      </c>
      <c r="AM82" s="265">
        <f t="shared" si="5"/>
        <v>46006</v>
      </c>
    </row>
    <row r="83" spans="1:39" ht="21.6" customHeight="1">
      <c r="A83" s="11">
        <v>83</v>
      </c>
      <c r="B83" s="11" t="s">
        <v>321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748</v>
      </c>
      <c r="I83" s="11"/>
      <c r="J83" s="11"/>
      <c r="K83" s="11"/>
      <c r="L83" s="11"/>
      <c r="M83" s="12"/>
      <c r="N83" s="11"/>
      <c r="O83" s="12"/>
      <c r="P83" s="13"/>
      <c r="Q83" s="11" t="s">
        <v>749</v>
      </c>
      <c r="R83" s="11" t="s">
        <v>325</v>
      </c>
      <c r="S83" s="11" t="s">
        <v>128</v>
      </c>
      <c r="T83" s="11">
        <v>1</v>
      </c>
      <c r="U83" s="11" t="s">
        <v>326</v>
      </c>
      <c r="V83" s="11" t="s">
        <v>753</v>
      </c>
      <c r="W83" s="11" t="s">
        <v>754</v>
      </c>
      <c r="X83" s="440">
        <v>46006.583333333343</v>
      </c>
      <c r="Y83" s="11"/>
      <c r="Z83" s="11">
        <v>3</v>
      </c>
      <c r="AA83" s="11"/>
      <c r="AB83" s="11" t="s">
        <v>329</v>
      </c>
      <c r="AC83" s="266" t="s">
        <v>755</v>
      </c>
      <c r="AD83" s="11"/>
      <c r="AE83" s="11" t="s">
        <v>331</v>
      </c>
      <c r="AF83" s="11"/>
      <c r="AG83" s="11"/>
      <c r="AH83" s="11"/>
      <c r="AI83" s="11"/>
      <c r="AJ83" s="11"/>
      <c r="AK83" s="11" t="s">
        <v>331</v>
      </c>
      <c r="AL83" s="267" t="e">
        <f t="shared" si="4"/>
        <v>#VALUE!</v>
      </c>
      <c r="AM83" s="265">
        <f t="shared" si="5"/>
        <v>46006</v>
      </c>
    </row>
    <row r="84" spans="1:39" ht="21.6" customHeight="1">
      <c r="A84" s="11">
        <v>84</v>
      </c>
      <c r="B84" s="11" t="s">
        <v>321</v>
      </c>
      <c r="C84" s="11">
        <v>2025122269</v>
      </c>
      <c r="D84" s="11"/>
      <c r="E84" s="11"/>
      <c r="F84" s="11">
        <v>2222</v>
      </c>
      <c r="G84" s="11" t="s">
        <v>154</v>
      </c>
      <c r="H84" s="11" t="s">
        <v>357</v>
      </c>
      <c r="I84" s="11"/>
      <c r="J84" s="11"/>
      <c r="K84" s="11"/>
      <c r="L84" s="11"/>
      <c r="M84" s="12"/>
      <c r="N84" s="11"/>
      <c r="O84" s="12"/>
      <c r="P84" s="13"/>
      <c r="Q84" s="11" t="s">
        <v>524</v>
      </c>
      <c r="R84" s="11" t="s">
        <v>325</v>
      </c>
      <c r="S84" s="11" t="s">
        <v>123</v>
      </c>
      <c r="T84" s="11">
        <v>1</v>
      </c>
      <c r="U84" s="11" t="s">
        <v>326</v>
      </c>
      <c r="V84" s="11" t="s">
        <v>756</v>
      </c>
      <c r="W84" s="11" t="s">
        <v>757</v>
      </c>
      <c r="X84" s="440">
        <v>46006.645833333343</v>
      </c>
      <c r="Y84" s="11"/>
      <c r="Z84" s="11">
        <v>0.5</v>
      </c>
      <c r="AA84" s="11"/>
      <c r="AB84" s="11" t="s">
        <v>329</v>
      </c>
      <c r="AC84" s="266" t="s">
        <v>758</v>
      </c>
      <c r="AD84" s="11"/>
      <c r="AE84" s="11" t="s">
        <v>331</v>
      </c>
      <c r="AF84" s="11"/>
      <c r="AG84" s="11"/>
      <c r="AH84" s="11"/>
      <c r="AI84" s="11"/>
      <c r="AJ84" s="11"/>
      <c r="AK84" s="11" t="s">
        <v>331</v>
      </c>
      <c r="AL84" s="267" t="e">
        <f t="shared" si="4"/>
        <v>#VALUE!</v>
      </c>
      <c r="AM84" s="265">
        <f t="shared" si="5"/>
        <v>46006</v>
      </c>
    </row>
    <row r="85" spans="1:39" ht="21.6" customHeight="1">
      <c r="A85" s="11">
        <v>85</v>
      </c>
      <c r="B85" s="11" t="s">
        <v>321</v>
      </c>
      <c r="C85" s="11">
        <v>2025122270</v>
      </c>
      <c r="D85" s="11"/>
      <c r="E85" s="11"/>
      <c r="F85" s="11">
        <v>2222</v>
      </c>
      <c r="G85" s="11" t="s">
        <v>154</v>
      </c>
      <c r="H85" s="11" t="s">
        <v>357</v>
      </c>
      <c r="I85" s="11"/>
      <c r="J85" s="11"/>
      <c r="K85" s="11"/>
      <c r="L85" s="11"/>
      <c r="M85" s="12"/>
      <c r="N85" s="11"/>
      <c r="O85" s="12"/>
      <c r="P85" s="13"/>
      <c r="Q85" s="11" t="s">
        <v>524</v>
      </c>
      <c r="R85" s="11" t="s">
        <v>325</v>
      </c>
      <c r="S85" s="11" t="s">
        <v>128</v>
      </c>
      <c r="T85" s="11">
        <v>1</v>
      </c>
      <c r="U85" s="11" t="s">
        <v>326</v>
      </c>
      <c r="V85" s="11" t="s">
        <v>759</v>
      </c>
      <c r="W85" s="11" t="s">
        <v>757</v>
      </c>
      <c r="X85" s="440">
        <v>46006.645833333343</v>
      </c>
      <c r="Y85" s="11"/>
      <c r="Z85" s="11">
        <v>0.5</v>
      </c>
      <c r="AA85" s="11"/>
      <c r="AB85" s="11" t="s">
        <v>329</v>
      </c>
      <c r="AC85" s="266" t="s">
        <v>700</v>
      </c>
      <c r="AD85" s="11"/>
      <c r="AE85" s="11" t="s">
        <v>331</v>
      </c>
      <c r="AF85" s="11"/>
      <c r="AG85" s="11"/>
      <c r="AH85" s="11"/>
      <c r="AI85" s="11"/>
      <c r="AJ85" s="11"/>
      <c r="AK85" s="11" t="s">
        <v>331</v>
      </c>
      <c r="AL85" s="267" t="e">
        <f t="shared" si="4"/>
        <v>#VALUE!</v>
      </c>
      <c r="AM85" s="265">
        <f t="shared" si="5"/>
        <v>46006</v>
      </c>
    </row>
    <row r="86" spans="1:39" ht="21.6" customHeight="1">
      <c r="A86" s="11">
        <v>86</v>
      </c>
      <c r="B86" s="11" t="s">
        <v>321</v>
      </c>
      <c r="C86" s="11">
        <v>2025122359</v>
      </c>
      <c r="D86" s="11"/>
      <c r="E86" s="11"/>
      <c r="F86" s="11">
        <v>3962</v>
      </c>
      <c r="G86" s="11" t="s">
        <v>725</v>
      </c>
      <c r="H86" s="11" t="s">
        <v>395</v>
      </c>
      <c r="I86" s="11"/>
      <c r="J86" s="11"/>
      <c r="K86" s="11"/>
      <c r="L86" s="11"/>
      <c r="M86" s="12"/>
      <c r="N86" s="11"/>
      <c r="O86" s="12"/>
      <c r="P86" s="13"/>
      <c r="Q86" s="11" t="s">
        <v>728</v>
      </c>
      <c r="R86" s="11" t="s">
        <v>325</v>
      </c>
      <c r="S86" s="11" t="s">
        <v>139</v>
      </c>
      <c r="T86" s="11">
        <v>1</v>
      </c>
      <c r="U86" s="11" t="s">
        <v>326</v>
      </c>
      <c r="V86" s="11" t="s">
        <v>760</v>
      </c>
      <c r="W86" s="11" t="s">
        <v>761</v>
      </c>
      <c r="X86" s="440">
        <v>46007.520833333343</v>
      </c>
      <c r="Y86" s="11"/>
      <c r="Z86" s="11">
        <v>0.3</v>
      </c>
      <c r="AA86" s="11"/>
      <c r="AB86" s="11" t="s">
        <v>329</v>
      </c>
      <c r="AC86" s="266" t="s">
        <v>330</v>
      </c>
      <c r="AD86" s="11" t="s">
        <v>331</v>
      </c>
      <c r="AE86" s="11"/>
      <c r="AF86" s="11"/>
      <c r="AG86" s="11"/>
      <c r="AH86" s="11"/>
      <c r="AI86" s="11"/>
      <c r="AJ86" s="11"/>
      <c r="AK86" s="11"/>
      <c r="AL86" s="267" t="e">
        <f t="shared" si="4"/>
        <v>#VALUE!</v>
      </c>
      <c r="AM86" s="265">
        <f t="shared" si="5"/>
        <v>46007</v>
      </c>
    </row>
    <row r="87" spans="1:39" ht="21.6" customHeight="1">
      <c r="A87" s="11">
        <v>87</v>
      </c>
      <c r="B87" s="11" t="s">
        <v>321</v>
      </c>
      <c r="C87" s="11">
        <v>2025122365</v>
      </c>
      <c r="D87" s="11"/>
      <c r="E87" s="11"/>
      <c r="F87" s="11">
        <v>2691</v>
      </c>
      <c r="G87" s="11" t="s">
        <v>762</v>
      </c>
      <c r="H87" s="11" t="s">
        <v>763</v>
      </c>
      <c r="I87" s="11"/>
      <c r="J87" s="11"/>
      <c r="K87" s="11"/>
      <c r="L87" s="11"/>
      <c r="M87" s="12"/>
      <c r="N87" s="11"/>
      <c r="O87" s="12"/>
      <c r="P87" s="13"/>
      <c r="Q87" s="11" t="s">
        <v>764</v>
      </c>
      <c r="R87" s="11" t="s">
        <v>325</v>
      </c>
      <c r="S87" s="11" t="s">
        <v>123</v>
      </c>
      <c r="T87" s="11">
        <v>1</v>
      </c>
      <c r="U87" s="11" t="s">
        <v>326</v>
      </c>
      <c r="V87" s="11" t="s">
        <v>765</v>
      </c>
      <c r="W87" s="11" t="s">
        <v>731</v>
      </c>
      <c r="X87" s="440">
        <v>46007.555555555547</v>
      </c>
      <c r="Y87" s="11"/>
      <c r="Z87" s="11">
        <v>0.3</v>
      </c>
      <c r="AA87" s="11"/>
      <c r="AB87" s="11" t="s">
        <v>329</v>
      </c>
      <c r="AC87" s="266" t="s">
        <v>330</v>
      </c>
      <c r="AD87" s="11" t="s">
        <v>331</v>
      </c>
      <c r="AE87" s="11"/>
      <c r="AF87" s="11"/>
      <c r="AG87" s="11"/>
      <c r="AH87" s="11"/>
      <c r="AI87" s="11"/>
      <c r="AJ87" s="11" t="s">
        <v>331</v>
      </c>
      <c r="AK87" s="11" t="s">
        <v>331</v>
      </c>
      <c r="AL87" s="267" t="e">
        <f t="shared" si="4"/>
        <v>#VALUE!</v>
      </c>
      <c r="AM87" s="265">
        <f t="shared" si="5"/>
        <v>46007</v>
      </c>
    </row>
    <row r="88" spans="1:39" ht="21.6" customHeight="1">
      <c r="A88" s="11">
        <v>88</v>
      </c>
      <c r="B88" s="11" t="s">
        <v>321</v>
      </c>
      <c r="C88" s="11">
        <v>2025122398</v>
      </c>
      <c r="D88" s="11"/>
      <c r="E88" s="11"/>
      <c r="F88" s="11">
        <v>2154</v>
      </c>
      <c r="G88" s="11" t="s">
        <v>739</v>
      </c>
      <c r="H88" s="11" t="s">
        <v>395</v>
      </c>
      <c r="I88" s="11"/>
      <c r="J88" s="11"/>
      <c r="K88" s="11"/>
      <c r="L88" s="11"/>
      <c r="M88" s="12"/>
      <c r="N88" s="11"/>
      <c r="O88" s="12"/>
      <c r="P88" s="13"/>
      <c r="Q88" s="11" t="s">
        <v>743</v>
      </c>
      <c r="R88" s="11" t="s">
        <v>325</v>
      </c>
      <c r="S88" s="11" t="s">
        <v>139</v>
      </c>
      <c r="T88" s="11">
        <v>1</v>
      </c>
      <c r="U88" s="11" t="s">
        <v>326</v>
      </c>
      <c r="V88" s="11" t="s">
        <v>766</v>
      </c>
      <c r="W88" s="11" t="s">
        <v>745</v>
      </c>
      <c r="X88" s="440">
        <v>46007.621527777781</v>
      </c>
      <c r="Y88" s="11"/>
      <c r="Z88" s="11">
        <v>2.2999999999999998</v>
      </c>
      <c r="AA88" s="11"/>
      <c r="AB88" s="11" t="s">
        <v>329</v>
      </c>
      <c r="AC88" s="266" t="s">
        <v>330</v>
      </c>
      <c r="AD88" s="11" t="s">
        <v>331</v>
      </c>
      <c r="AE88" s="11"/>
      <c r="AF88" s="11"/>
      <c r="AG88" s="11"/>
      <c r="AH88" s="11"/>
      <c r="AI88" s="11"/>
      <c r="AJ88" s="11"/>
      <c r="AK88" s="11" t="s">
        <v>331</v>
      </c>
      <c r="AL88" s="267" t="e">
        <f t="shared" si="4"/>
        <v>#VALUE!</v>
      </c>
      <c r="AM88" s="265">
        <f t="shared" si="5"/>
        <v>46007</v>
      </c>
    </row>
    <row r="89" spans="1:39" ht="21.6" customHeight="1">
      <c r="A89" s="11">
        <v>89</v>
      </c>
      <c r="B89" s="11" t="s">
        <v>321</v>
      </c>
      <c r="C89" s="11">
        <v>2025122436</v>
      </c>
      <c r="D89" s="11"/>
      <c r="E89" s="11"/>
      <c r="F89" s="11">
        <v>4341</v>
      </c>
      <c r="G89" s="11" t="s">
        <v>767</v>
      </c>
      <c r="H89" s="11" t="s">
        <v>489</v>
      </c>
      <c r="I89" s="11"/>
      <c r="J89" s="11"/>
      <c r="K89" s="11"/>
      <c r="L89" s="11"/>
      <c r="M89" s="12"/>
      <c r="N89" s="11"/>
      <c r="O89" s="12"/>
      <c r="P89" s="13"/>
      <c r="Q89" s="11" t="s">
        <v>768</v>
      </c>
      <c r="R89" s="11" t="s">
        <v>325</v>
      </c>
      <c r="S89" s="11" t="s">
        <v>123</v>
      </c>
      <c r="T89" s="11">
        <v>1</v>
      </c>
      <c r="U89" s="11" t="s">
        <v>326</v>
      </c>
      <c r="V89" s="11" t="s">
        <v>769</v>
      </c>
      <c r="W89" s="11" t="s">
        <v>770</v>
      </c>
      <c r="X89" s="440">
        <v>46007.652777777781</v>
      </c>
      <c r="Y89" s="11"/>
      <c r="Z89" s="11">
        <v>0.3</v>
      </c>
      <c r="AA89" s="11"/>
      <c r="AB89" s="11" t="s">
        <v>329</v>
      </c>
      <c r="AC89" s="266" t="s">
        <v>330</v>
      </c>
      <c r="AD89" s="11" t="s">
        <v>331</v>
      </c>
      <c r="AE89" s="11"/>
      <c r="AF89" s="11"/>
      <c r="AG89" s="11"/>
      <c r="AH89" s="11"/>
      <c r="AI89" s="11"/>
      <c r="AJ89" s="11" t="s">
        <v>331</v>
      </c>
      <c r="AK89" s="11" t="s">
        <v>331</v>
      </c>
      <c r="AL89" s="267" t="e">
        <f t="shared" si="4"/>
        <v>#VALUE!</v>
      </c>
      <c r="AM89" s="265">
        <f t="shared" si="5"/>
        <v>46007</v>
      </c>
    </row>
    <row r="90" spans="1:39" ht="21.6" customHeight="1">
      <c r="A90" s="11">
        <v>90</v>
      </c>
      <c r="B90" s="11" t="s">
        <v>321</v>
      </c>
      <c r="C90" s="11">
        <v>2025122440</v>
      </c>
      <c r="D90" s="11"/>
      <c r="E90" s="11"/>
      <c r="F90" s="11">
        <v>4163</v>
      </c>
      <c r="G90" s="11" t="s">
        <v>771</v>
      </c>
      <c r="H90" s="11" t="s">
        <v>489</v>
      </c>
      <c r="I90" s="11"/>
      <c r="J90" s="11"/>
      <c r="K90" s="11"/>
      <c r="L90" s="11"/>
      <c r="M90" s="12"/>
      <c r="N90" s="11"/>
      <c r="O90" s="12"/>
      <c r="P90" s="13"/>
      <c r="Q90" s="11" t="s">
        <v>772</v>
      </c>
      <c r="R90" s="11" t="s">
        <v>325</v>
      </c>
      <c r="S90" s="11" t="s">
        <v>123</v>
      </c>
      <c r="T90" s="11">
        <v>1</v>
      </c>
      <c r="U90" s="11" t="s">
        <v>326</v>
      </c>
      <c r="V90" s="11" t="s">
        <v>773</v>
      </c>
      <c r="W90" s="11" t="s">
        <v>774</v>
      </c>
      <c r="X90" s="440">
        <v>46007.666666666657</v>
      </c>
      <c r="Y90" s="11"/>
      <c r="Z90" s="11">
        <v>0.3</v>
      </c>
      <c r="AA90" s="11"/>
      <c r="AB90" s="11" t="s">
        <v>329</v>
      </c>
      <c r="AC90" s="266" t="s">
        <v>330</v>
      </c>
      <c r="AD90" s="11" t="s">
        <v>331</v>
      </c>
      <c r="AE90" s="11"/>
      <c r="AF90" s="11"/>
      <c r="AG90" s="11"/>
      <c r="AH90" s="11"/>
      <c r="AI90" s="11"/>
      <c r="AJ90" s="11" t="s">
        <v>331</v>
      </c>
      <c r="AK90" s="11" t="s">
        <v>331</v>
      </c>
      <c r="AL90" s="267" t="e">
        <f t="shared" si="4"/>
        <v>#VALUE!</v>
      </c>
      <c r="AM90" s="265">
        <f t="shared" si="5"/>
        <v>46007</v>
      </c>
    </row>
    <row r="91" spans="1:39" ht="21.6" customHeight="1">
      <c r="A91" s="11">
        <v>89</v>
      </c>
      <c r="B91" s="11" t="s">
        <v>362</v>
      </c>
      <c r="C91" s="11">
        <v>2025122399</v>
      </c>
      <c r="D91" s="11" t="s">
        <v>775</v>
      </c>
      <c r="E91" s="11" t="s">
        <v>364</v>
      </c>
      <c r="F91" s="11">
        <v>2318</v>
      </c>
      <c r="G91" s="11" t="s">
        <v>776</v>
      </c>
      <c r="H91" s="11" t="s">
        <v>566</v>
      </c>
      <c r="I91" s="11" t="s">
        <v>777</v>
      </c>
      <c r="J91" s="11" t="s">
        <v>367</v>
      </c>
      <c r="K91" s="11" t="s">
        <v>199</v>
      </c>
      <c r="L91" s="11" t="s">
        <v>778</v>
      </c>
      <c r="M91" s="12" t="s">
        <v>779</v>
      </c>
      <c r="N91" s="11">
        <v>2803</v>
      </c>
      <c r="O91" s="12" t="s">
        <v>780</v>
      </c>
      <c r="P91" s="13" t="s">
        <v>781</v>
      </c>
      <c r="Q91" s="11" t="s">
        <v>782</v>
      </c>
      <c r="R91" s="11" t="s">
        <v>325</v>
      </c>
      <c r="S91" s="11" t="s">
        <v>128</v>
      </c>
      <c r="T91" s="11">
        <v>1</v>
      </c>
      <c r="U91" s="11" t="s">
        <v>326</v>
      </c>
      <c r="V91" s="11" t="s">
        <v>783</v>
      </c>
      <c r="W91" s="11" t="s">
        <v>784</v>
      </c>
      <c r="X91" s="440">
        <v>46008.493055555547</v>
      </c>
      <c r="Y91" s="11" t="s">
        <v>785</v>
      </c>
      <c r="Z91" s="11">
        <v>0.5</v>
      </c>
      <c r="AA91" s="11"/>
      <c r="AB91" s="11" t="s">
        <v>329</v>
      </c>
      <c r="AC91" s="266" t="s">
        <v>786</v>
      </c>
      <c r="AD91" s="11"/>
      <c r="AE91" s="11"/>
      <c r="AF91" s="11"/>
      <c r="AG91" s="11"/>
      <c r="AH91" s="11"/>
      <c r="AI91" s="11"/>
      <c r="AJ91" s="11"/>
      <c r="AK91" s="11" t="s">
        <v>331</v>
      </c>
      <c r="AL91" s="267">
        <f t="shared" si="4"/>
        <v>46007</v>
      </c>
      <c r="AM91" s="265">
        <f t="shared" si="5"/>
        <v>46008</v>
      </c>
    </row>
    <row r="92" spans="1:39" ht="21.6" customHeight="1">
      <c r="A92" s="11">
        <v>92</v>
      </c>
      <c r="B92" s="11" t="s">
        <v>362</v>
      </c>
      <c r="C92" s="11">
        <v>2025122528</v>
      </c>
      <c r="D92" s="11" t="s">
        <v>787</v>
      </c>
      <c r="E92" s="11" t="s">
        <v>364</v>
      </c>
      <c r="F92" s="11" t="s">
        <v>64</v>
      </c>
      <c r="G92" s="11" t="s">
        <v>788</v>
      </c>
      <c r="H92" s="11" t="s">
        <v>566</v>
      </c>
      <c r="I92" s="11" t="s">
        <v>789</v>
      </c>
      <c r="J92" s="11" t="s">
        <v>382</v>
      </c>
      <c r="K92" s="11" t="s">
        <v>199</v>
      </c>
      <c r="L92" s="11" t="s">
        <v>368</v>
      </c>
      <c r="M92" s="12" t="s">
        <v>369</v>
      </c>
      <c r="N92" s="11">
        <v>2305</v>
      </c>
      <c r="O92" s="12" t="s">
        <v>409</v>
      </c>
      <c r="P92" s="13" t="s">
        <v>790</v>
      </c>
      <c r="Q92" s="11" t="s">
        <v>791</v>
      </c>
      <c r="R92" s="11" t="s">
        <v>325</v>
      </c>
      <c r="S92" s="11" t="s">
        <v>128</v>
      </c>
      <c r="T92" s="11">
        <v>1</v>
      </c>
      <c r="U92" s="11" t="s">
        <v>326</v>
      </c>
      <c r="V92" s="11" t="s">
        <v>792</v>
      </c>
      <c r="W92" s="11" t="s">
        <v>793</v>
      </c>
      <c r="X92" s="440">
        <v>46008.55972222222</v>
      </c>
      <c r="Y92" s="11" t="s">
        <v>794</v>
      </c>
      <c r="Z92" s="11">
        <v>0.5</v>
      </c>
      <c r="AA92" s="11"/>
      <c r="AB92" s="11" t="s">
        <v>329</v>
      </c>
      <c r="AC92" s="266" t="s">
        <v>795</v>
      </c>
      <c r="AD92" s="11"/>
      <c r="AE92" s="11"/>
      <c r="AF92" s="11"/>
      <c r="AG92" s="11"/>
      <c r="AH92" s="11"/>
      <c r="AI92" s="11"/>
      <c r="AJ92" s="11"/>
      <c r="AK92" s="11" t="s">
        <v>331</v>
      </c>
      <c r="AL92" s="267">
        <f t="shared" si="4"/>
        <v>46008</v>
      </c>
      <c r="AM92" s="265">
        <f t="shared" si="5"/>
        <v>46008</v>
      </c>
    </row>
    <row r="93" spans="1:39" ht="21.6" customHeight="1">
      <c r="A93" s="11">
        <v>93</v>
      </c>
      <c r="B93" s="11" t="s">
        <v>362</v>
      </c>
      <c r="C93" s="11">
        <v>2025122571</v>
      </c>
      <c r="D93" s="11" t="s">
        <v>796</v>
      </c>
      <c r="E93" s="11" t="s">
        <v>364</v>
      </c>
      <c r="F93" s="11" t="s">
        <v>56</v>
      </c>
      <c r="G93" s="11" t="s">
        <v>797</v>
      </c>
      <c r="H93" s="11" t="s">
        <v>357</v>
      </c>
      <c r="I93" s="11" t="s">
        <v>798</v>
      </c>
      <c r="J93" s="11" t="s">
        <v>382</v>
      </c>
      <c r="K93" s="11" t="s">
        <v>199</v>
      </c>
      <c r="L93" s="11" t="s">
        <v>368</v>
      </c>
      <c r="M93" s="12" t="s">
        <v>369</v>
      </c>
      <c r="N93" s="11">
        <v>2305</v>
      </c>
      <c r="O93" s="12" t="s">
        <v>409</v>
      </c>
      <c r="P93" s="13" t="s">
        <v>799</v>
      </c>
      <c r="Q93" s="11" t="s">
        <v>800</v>
      </c>
      <c r="R93" s="11" t="s">
        <v>325</v>
      </c>
      <c r="S93" s="11" t="s">
        <v>128</v>
      </c>
      <c r="T93" s="11">
        <v>1</v>
      </c>
      <c r="U93" s="11" t="s">
        <v>326</v>
      </c>
      <c r="V93" s="11" t="s">
        <v>801</v>
      </c>
      <c r="W93" s="11" t="s">
        <v>802</v>
      </c>
      <c r="X93" s="440">
        <v>46009.458333333343</v>
      </c>
      <c r="Y93" s="11" t="s">
        <v>803</v>
      </c>
      <c r="Z93" s="11">
        <v>1</v>
      </c>
      <c r="AA93" s="11"/>
      <c r="AB93" s="11" t="s">
        <v>329</v>
      </c>
      <c r="AC93" s="266" t="s">
        <v>804</v>
      </c>
      <c r="AD93" s="11"/>
      <c r="AE93" s="11"/>
      <c r="AF93" s="11"/>
      <c r="AG93" s="11"/>
      <c r="AH93" s="11"/>
      <c r="AI93" s="11"/>
      <c r="AJ93" s="11"/>
      <c r="AK93" s="11" t="s">
        <v>331</v>
      </c>
      <c r="AL93" s="267">
        <f t="shared" si="4"/>
        <v>46008</v>
      </c>
      <c r="AM93" s="265">
        <f t="shared" si="5"/>
        <v>46009</v>
      </c>
    </row>
    <row r="94" spans="1:39" ht="21.6" customHeight="1">
      <c r="A94" s="11">
        <v>94</v>
      </c>
      <c r="B94" s="11" t="s">
        <v>321</v>
      </c>
      <c r="C94" s="11">
        <v>2025122586</v>
      </c>
      <c r="D94" s="11"/>
      <c r="E94" s="11"/>
      <c r="F94" s="11">
        <v>3627</v>
      </c>
      <c r="G94" s="11" t="s">
        <v>159</v>
      </c>
      <c r="H94" s="11" t="s">
        <v>357</v>
      </c>
      <c r="I94" s="11"/>
      <c r="J94" s="11"/>
      <c r="K94" s="11"/>
      <c r="L94" s="11"/>
      <c r="M94" s="12"/>
      <c r="N94" s="11"/>
      <c r="O94" s="12"/>
      <c r="P94" s="13"/>
      <c r="Q94" s="11" t="s">
        <v>646</v>
      </c>
      <c r="R94" s="11" t="s">
        <v>325</v>
      </c>
      <c r="S94" s="11" t="s">
        <v>123</v>
      </c>
      <c r="T94" s="11">
        <v>1</v>
      </c>
      <c r="U94" s="11" t="s">
        <v>326</v>
      </c>
      <c r="V94" s="11" t="s">
        <v>805</v>
      </c>
      <c r="W94" s="11" t="s">
        <v>806</v>
      </c>
      <c r="X94" s="440">
        <v>46008.645833333343</v>
      </c>
      <c r="Y94" s="11"/>
      <c r="Z94" s="11">
        <v>1</v>
      </c>
      <c r="AA94" s="11"/>
      <c r="AB94" s="11" t="s">
        <v>329</v>
      </c>
      <c r="AC94" s="266" t="s">
        <v>807</v>
      </c>
      <c r="AD94" s="11"/>
      <c r="AE94" s="11" t="s">
        <v>331</v>
      </c>
      <c r="AF94" s="11"/>
      <c r="AG94" s="11"/>
      <c r="AH94" s="11"/>
      <c r="AI94" s="11"/>
      <c r="AJ94" s="11"/>
      <c r="AK94" s="11" t="s">
        <v>331</v>
      </c>
      <c r="AL94" s="267" t="e">
        <f t="shared" si="4"/>
        <v>#VALUE!</v>
      </c>
      <c r="AM94" s="265">
        <f t="shared" si="5"/>
        <v>46008</v>
      </c>
    </row>
    <row r="95" spans="1:39" ht="21.6" customHeight="1">
      <c r="A95" s="11">
        <v>95</v>
      </c>
      <c r="B95" s="11" t="s">
        <v>321</v>
      </c>
      <c r="C95" s="11">
        <v>2025122587</v>
      </c>
      <c r="D95" s="11"/>
      <c r="E95" s="11"/>
      <c r="F95" s="11">
        <v>3627</v>
      </c>
      <c r="G95" s="11" t="s">
        <v>159</v>
      </c>
      <c r="H95" s="11" t="s">
        <v>357</v>
      </c>
      <c r="I95" s="11"/>
      <c r="J95" s="11"/>
      <c r="K95" s="11"/>
      <c r="L95" s="11"/>
      <c r="M95" s="12"/>
      <c r="N95" s="11"/>
      <c r="O95" s="12"/>
      <c r="P95" s="13"/>
      <c r="Q95" s="11" t="s">
        <v>646</v>
      </c>
      <c r="R95" s="11" t="s">
        <v>325</v>
      </c>
      <c r="S95" s="11" t="s">
        <v>128</v>
      </c>
      <c r="T95" s="11">
        <v>1</v>
      </c>
      <c r="U95" s="11" t="s">
        <v>326</v>
      </c>
      <c r="V95" s="11" t="s">
        <v>808</v>
      </c>
      <c r="W95" s="11" t="s">
        <v>806</v>
      </c>
      <c r="X95" s="440">
        <v>46008.645833333343</v>
      </c>
      <c r="Y95" s="11"/>
      <c r="Z95" s="11">
        <v>1</v>
      </c>
      <c r="AA95" s="11"/>
      <c r="AB95" s="11" t="s">
        <v>329</v>
      </c>
      <c r="AC95" s="266" t="s">
        <v>700</v>
      </c>
      <c r="AD95" s="11"/>
      <c r="AE95" s="11" t="s">
        <v>331</v>
      </c>
      <c r="AF95" s="11"/>
      <c r="AG95" s="11"/>
      <c r="AH95" s="11"/>
      <c r="AI95" s="11"/>
      <c r="AJ95" s="11"/>
      <c r="AK95" s="11" t="s">
        <v>331</v>
      </c>
      <c r="AL95" s="267" t="e">
        <f t="shared" si="4"/>
        <v>#VALUE!</v>
      </c>
      <c r="AM95" s="265">
        <f t="shared" si="5"/>
        <v>46008</v>
      </c>
    </row>
    <row r="96" spans="1:39" ht="21.6" customHeight="1">
      <c r="A96" s="11">
        <v>96</v>
      </c>
      <c r="B96" s="11" t="s">
        <v>362</v>
      </c>
      <c r="C96" s="11">
        <v>2025122626</v>
      </c>
      <c r="D96" s="11" t="s">
        <v>809</v>
      </c>
      <c r="E96" s="11" t="s">
        <v>364</v>
      </c>
      <c r="F96" s="11">
        <v>4057</v>
      </c>
      <c r="G96" s="11" t="s">
        <v>349</v>
      </c>
      <c r="H96" s="11" t="s">
        <v>323</v>
      </c>
      <c r="I96" s="11" t="s">
        <v>810</v>
      </c>
      <c r="J96" s="11" t="s">
        <v>423</v>
      </c>
      <c r="K96" s="11" t="s">
        <v>445</v>
      </c>
      <c r="L96" s="11" t="s">
        <v>446</v>
      </c>
      <c r="M96" s="12" t="s">
        <v>447</v>
      </c>
      <c r="N96" s="11" t="s">
        <v>448</v>
      </c>
      <c r="O96" s="12" t="s">
        <v>449</v>
      </c>
      <c r="P96" s="13" t="s">
        <v>811</v>
      </c>
      <c r="Q96" s="11" t="s">
        <v>350</v>
      </c>
      <c r="R96" s="11" t="s">
        <v>325</v>
      </c>
      <c r="S96" s="11" t="s">
        <v>123</v>
      </c>
      <c r="T96" s="11">
        <v>1</v>
      </c>
      <c r="U96" s="11" t="s">
        <v>326</v>
      </c>
      <c r="V96" s="11" t="s">
        <v>812</v>
      </c>
      <c r="W96" s="11" t="s">
        <v>813</v>
      </c>
      <c r="X96" s="440">
        <v>46009.666666666657</v>
      </c>
      <c r="Y96" s="11" t="s">
        <v>814</v>
      </c>
      <c r="Z96" s="11">
        <v>0.5</v>
      </c>
      <c r="AA96" s="11"/>
      <c r="AB96" s="11" t="s">
        <v>329</v>
      </c>
      <c r="AC96" s="266" t="s">
        <v>815</v>
      </c>
      <c r="AD96" s="11"/>
      <c r="AE96" s="11"/>
      <c r="AF96" s="11"/>
      <c r="AG96" s="11"/>
      <c r="AH96" s="11"/>
      <c r="AI96" s="11"/>
      <c r="AJ96" s="11"/>
      <c r="AK96" s="11" t="s">
        <v>331</v>
      </c>
      <c r="AL96" s="267">
        <f t="shared" si="4"/>
        <v>46009</v>
      </c>
      <c r="AM96" s="265">
        <f t="shared" si="5"/>
        <v>46009</v>
      </c>
    </row>
    <row r="97" spans="1:39" ht="21.6" customHeight="1">
      <c r="A97" s="11">
        <v>97</v>
      </c>
      <c r="B97" s="11" t="s">
        <v>362</v>
      </c>
      <c r="C97" s="11">
        <v>2025122627</v>
      </c>
      <c r="D97" s="11" t="s">
        <v>816</v>
      </c>
      <c r="E97" s="11" t="s">
        <v>364</v>
      </c>
      <c r="F97" s="11">
        <v>4057</v>
      </c>
      <c r="G97" s="11" t="s">
        <v>349</v>
      </c>
      <c r="H97" s="11" t="s">
        <v>323</v>
      </c>
      <c r="I97" s="11" t="s">
        <v>817</v>
      </c>
      <c r="J97" s="11" t="s">
        <v>423</v>
      </c>
      <c r="K97" s="11" t="s">
        <v>445</v>
      </c>
      <c r="L97" s="11" t="s">
        <v>446</v>
      </c>
      <c r="M97" s="12" t="s">
        <v>447</v>
      </c>
      <c r="N97" s="11" t="s">
        <v>448</v>
      </c>
      <c r="O97" s="12" t="s">
        <v>449</v>
      </c>
      <c r="P97" s="13" t="s">
        <v>818</v>
      </c>
      <c r="Q97" s="11" t="s">
        <v>350</v>
      </c>
      <c r="R97" s="11" t="s">
        <v>325</v>
      </c>
      <c r="S97" s="11" t="s">
        <v>123</v>
      </c>
      <c r="T97" s="11">
        <v>1</v>
      </c>
      <c r="U97" s="11" t="s">
        <v>326</v>
      </c>
      <c r="V97" s="11" t="s">
        <v>819</v>
      </c>
      <c r="W97" s="11" t="s">
        <v>820</v>
      </c>
      <c r="X97" s="440">
        <v>46009.6875</v>
      </c>
      <c r="Y97" s="11" t="s">
        <v>814</v>
      </c>
      <c r="Z97" s="11">
        <v>0.5</v>
      </c>
      <c r="AA97" s="11"/>
      <c r="AB97" s="11" t="s">
        <v>329</v>
      </c>
      <c r="AC97" s="266" t="s">
        <v>815</v>
      </c>
      <c r="AD97" s="11"/>
      <c r="AE97" s="11"/>
      <c r="AF97" s="11"/>
      <c r="AG97" s="11"/>
      <c r="AH97" s="11"/>
      <c r="AI97" s="11"/>
      <c r="AJ97" s="11"/>
      <c r="AK97" s="11" t="s">
        <v>331</v>
      </c>
      <c r="AL97" s="267">
        <f t="shared" si="4"/>
        <v>46009</v>
      </c>
      <c r="AM97" s="265">
        <f t="shared" si="5"/>
        <v>46009</v>
      </c>
    </row>
    <row r="98" spans="1:39" ht="21.6" customHeight="1">
      <c r="A98" s="11">
        <v>98</v>
      </c>
      <c r="B98" s="11" t="s">
        <v>321</v>
      </c>
      <c r="C98" s="11">
        <v>2025122761</v>
      </c>
      <c r="D98" s="11"/>
      <c r="E98" s="11"/>
      <c r="F98" s="11">
        <v>3890</v>
      </c>
      <c r="G98" s="11" t="s">
        <v>821</v>
      </c>
      <c r="H98" s="11" t="s">
        <v>357</v>
      </c>
      <c r="I98" s="11"/>
      <c r="J98" s="11"/>
      <c r="K98" s="11"/>
      <c r="L98" s="11"/>
      <c r="M98" s="12"/>
      <c r="N98" s="11"/>
      <c r="O98" s="12"/>
      <c r="P98" s="13"/>
      <c r="Q98" s="11" t="s">
        <v>822</v>
      </c>
      <c r="R98" s="11" t="s">
        <v>325</v>
      </c>
      <c r="S98" s="11" t="s">
        <v>128</v>
      </c>
      <c r="T98" s="11">
        <v>1</v>
      </c>
      <c r="U98" s="11" t="s">
        <v>326</v>
      </c>
      <c r="V98" s="11" t="s">
        <v>823</v>
      </c>
      <c r="W98" s="11" t="s">
        <v>824</v>
      </c>
      <c r="X98" s="440">
        <v>46010.521527777782</v>
      </c>
      <c r="Y98" s="11"/>
      <c r="Z98" s="11">
        <v>0.3</v>
      </c>
      <c r="AA98" s="11"/>
      <c r="AB98" s="11" t="s">
        <v>329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331</v>
      </c>
      <c r="AK98" s="11" t="s">
        <v>331</v>
      </c>
      <c r="AL98" s="267" t="e">
        <f t="shared" ref="AL98:AL129" si="6">DATEVALUE(TEXT(I98, "yyyy/mm/dd"))</f>
        <v>#VALUE!</v>
      </c>
      <c r="AM98" s="265">
        <f t="shared" ref="AM98:AM129" si="7">DATEVALUE(TEXT(X98, "yyyy/mm/dd"))</f>
        <v>46010</v>
      </c>
    </row>
    <row r="99" spans="1:39" ht="21.6" customHeight="1">
      <c r="A99" s="11">
        <v>99</v>
      </c>
      <c r="B99" s="11" t="s">
        <v>321</v>
      </c>
      <c r="C99" s="11">
        <v>2025122765</v>
      </c>
      <c r="D99" s="11"/>
      <c r="E99" s="11"/>
      <c r="F99" s="11">
        <v>5245</v>
      </c>
      <c r="G99" s="11" t="s">
        <v>257</v>
      </c>
      <c r="H99" s="11" t="s">
        <v>357</v>
      </c>
      <c r="I99" s="11"/>
      <c r="J99" s="11"/>
      <c r="K99" s="11"/>
      <c r="L99" s="11"/>
      <c r="M99" s="12"/>
      <c r="N99" s="11"/>
      <c r="O99" s="12"/>
      <c r="P99" s="13"/>
      <c r="Q99" s="11" t="s">
        <v>825</v>
      </c>
      <c r="R99" s="11" t="s">
        <v>325</v>
      </c>
      <c r="S99" s="11" t="s">
        <v>128</v>
      </c>
      <c r="T99" s="11">
        <v>1</v>
      </c>
      <c r="U99" s="11" t="s">
        <v>326</v>
      </c>
      <c r="V99" s="11" t="s">
        <v>826</v>
      </c>
      <c r="W99" s="11" t="s">
        <v>827</v>
      </c>
      <c r="X99" s="440">
        <v>46010.536111111112</v>
      </c>
      <c r="Y99" s="11"/>
      <c r="Z99" s="11">
        <v>0.3</v>
      </c>
      <c r="AA99" s="11"/>
      <c r="AB99" s="11" t="s">
        <v>329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331</v>
      </c>
      <c r="AK99" s="11" t="s">
        <v>331</v>
      </c>
      <c r="AL99" s="267" t="e">
        <f t="shared" si="6"/>
        <v>#VALUE!</v>
      </c>
      <c r="AM99" s="265">
        <f t="shared" si="7"/>
        <v>46010</v>
      </c>
    </row>
    <row r="100" spans="1:39" ht="21.6" customHeight="1">
      <c r="A100" s="11">
        <v>100</v>
      </c>
      <c r="B100" s="11" t="s">
        <v>321</v>
      </c>
      <c r="C100" s="11">
        <v>2025122766</v>
      </c>
      <c r="D100" s="11"/>
      <c r="E100" s="11"/>
      <c r="F100" s="11">
        <v>2399</v>
      </c>
      <c r="G100" s="11" t="s">
        <v>828</v>
      </c>
      <c r="H100" s="11" t="s">
        <v>357</v>
      </c>
      <c r="I100" s="11"/>
      <c r="J100" s="11"/>
      <c r="K100" s="11"/>
      <c r="L100" s="11"/>
      <c r="M100" s="12"/>
      <c r="N100" s="11"/>
      <c r="O100" s="12"/>
      <c r="P100" s="13"/>
      <c r="Q100" s="11" t="s">
        <v>829</v>
      </c>
      <c r="R100" s="11" t="s">
        <v>325</v>
      </c>
      <c r="S100" s="11" t="s">
        <v>128</v>
      </c>
      <c r="T100" s="11">
        <v>1</v>
      </c>
      <c r="U100" s="11" t="s">
        <v>326</v>
      </c>
      <c r="V100" s="11" t="s">
        <v>830</v>
      </c>
      <c r="W100" s="11" t="s">
        <v>826</v>
      </c>
      <c r="X100" s="440">
        <v>46010.540277777778</v>
      </c>
      <c r="Y100" s="11"/>
      <c r="Z100" s="11">
        <v>0.1</v>
      </c>
      <c r="AA100" s="11"/>
      <c r="AB100" s="11" t="s">
        <v>329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331</v>
      </c>
      <c r="AK100" s="11" t="s">
        <v>331</v>
      </c>
      <c r="AL100" s="267" t="e">
        <f t="shared" si="6"/>
        <v>#VALUE!</v>
      </c>
      <c r="AM100" s="265">
        <f t="shared" si="7"/>
        <v>46010</v>
      </c>
    </row>
    <row r="101" spans="1:39" ht="21.6" customHeight="1">
      <c r="A101" s="11">
        <v>101</v>
      </c>
      <c r="B101" s="11" t="s">
        <v>321</v>
      </c>
      <c r="C101" s="11">
        <v>2025122767</v>
      </c>
      <c r="D101" s="11"/>
      <c r="E101" s="11"/>
      <c r="F101" s="11" t="s">
        <v>48</v>
      </c>
      <c r="G101" s="11" t="s">
        <v>831</v>
      </c>
      <c r="H101" s="11" t="s">
        <v>357</v>
      </c>
      <c r="I101" s="11"/>
      <c r="J101" s="11"/>
      <c r="K101" s="11"/>
      <c r="L101" s="11"/>
      <c r="M101" s="12"/>
      <c r="N101" s="11"/>
      <c r="O101" s="12"/>
      <c r="P101" s="13"/>
      <c r="Q101" s="11" t="s">
        <v>832</v>
      </c>
      <c r="R101" s="11" t="s">
        <v>325</v>
      </c>
      <c r="S101" s="11" t="s">
        <v>128</v>
      </c>
      <c r="T101" s="11">
        <v>1</v>
      </c>
      <c r="U101" s="11" t="s">
        <v>326</v>
      </c>
      <c r="V101" s="11" t="s">
        <v>833</v>
      </c>
      <c r="W101" s="11" t="s">
        <v>834</v>
      </c>
      <c r="X101" s="440">
        <v>46010.543749999997</v>
      </c>
      <c r="Y101" s="11"/>
      <c r="Z101" s="11">
        <v>0.1</v>
      </c>
      <c r="AA101" s="11"/>
      <c r="AB101" s="11" t="s">
        <v>329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331</v>
      </c>
      <c r="AK101" s="11" t="s">
        <v>331</v>
      </c>
      <c r="AL101" s="267" t="e">
        <f t="shared" si="6"/>
        <v>#VALUE!</v>
      </c>
      <c r="AM101" s="265">
        <f t="shared" si="7"/>
        <v>46010</v>
      </c>
    </row>
    <row r="102" spans="1:39" ht="21.6" customHeight="1">
      <c r="A102" s="11">
        <v>102</v>
      </c>
      <c r="B102" s="11" t="s">
        <v>321</v>
      </c>
      <c r="C102" s="11">
        <v>2025122770</v>
      </c>
      <c r="D102" s="11"/>
      <c r="E102" s="11"/>
      <c r="F102" s="11">
        <v>2837</v>
      </c>
      <c r="G102" s="11" t="s">
        <v>835</v>
      </c>
      <c r="H102" s="11" t="s">
        <v>357</v>
      </c>
      <c r="I102" s="11"/>
      <c r="J102" s="11"/>
      <c r="K102" s="11"/>
      <c r="L102" s="11"/>
      <c r="M102" s="12"/>
      <c r="N102" s="11"/>
      <c r="O102" s="12"/>
      <c r="P102" s="13"/>
      <c r="Q102" s="11" t="s">
        <v>836</v>
      </c>
      <c r="R102" s="11" t="s">
        <v>325</v>
      </c>
      <c r="S102" s="11" t="s">
        <v>128</v>
      </c>
      <c r="T102" s="11">
        <v>1</v>
      </c>
      <c r="U102" s="11" t="s">
        <v>326</v>
      </c>
      <c r="V102" s="11" t="s">
        <v>837</v>
      </c>
      <c r="W102" s="11" t="s">
        <v>838</v>
      </c>
      <c r="X102" s="440">
        <v>46010.547222222223</v>
      </c>
      <c r="Y102" s="11"/>
      <c r="Z102" s="11">
        <v>0.1</v>
      </c>
      <c r="AA102" s="11"/>
      <c r="AB102" s="11" t="s">
        <v>329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331</v>
      </c>
      <c r="AK102" s="11" t="s">
        <v>331</v>
      </c>
      <c r="AL102" s="267" t="e">
        <f t="shared" si="6"/>
        <v>#VALUE!</v>
      </c>
      <c r="AM102" s="265">
        <f t="shared" si="7"/>
        <v>46010</v>
      </c>
    </row>
    <row r="103" spans="1:39" ht="21.6" customHeight="1">
      <c r="A103" s="11">
        <v>103</v>
      </c>
      <c r="B103" s="11" t="s">
        <v>321</v>
      </c>
      <c r="C103" s="11">
        <v>2025122771</v>
      </c>
      <c r="D103" s="11"/>
      <c r="E103" s="11"/>
      <c r="F103" s="11">
        <v>3676</v>
      </c>
      <c r="G103" s="11" t="s">
        <v>839</v>
      </c>
      <c r="H103" s="11" t="s">
        <v>357</v>
      </c>
      <c r="I103" s="11"/>
      <c r="J103" s="11"/>
      <c r="K103" s="11"/>
      <c r="L103" s="11"/>
      <c r="M103" s="12"/>
      <c r="N103" s="11"/>
      <c r="O103" s="12"/>
      <c r="P103" s="13"/>
      <c r="Q103" s="11" t="s">
        <v>840</v>
      </c>
      <c r="R103" s="11" t="s">
        <v>325</v>
      </c>
      <c r="S103" s="11" t="s">
        <v>128</v>
      </c>
      <c r="T103" s="11">
        <v>1</v>
      </c>
      <c r="U103" s="11" t="s">
        <v>326</v>
      </c>
      <c r="V103" s="11" t="s">
        <v>841</v>
      </c>
      <c r="W103" s="11" t="s">
        <v>842</v>
      </c>
      <c r="X103" s="440">
        <v>46010.549305555563</v>
      </c>
      <c r="Y103" s="11"/>
      <c r="Z103" s="11">
        <v>0.1</v>
      </c>
      <c r="AA103" s="11"/>
      <c r="AB103" s="11" t="s">
        <v>329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331</v>
      </c>
      <c r="AK103" s="11" t="s">
        <v>331</v>
      </c>
      <c r="AL103" s="267" t="e">
        <f t="shared" si="6"/>
        <v>#VALUE!</v>
      </c>
      <c r="AM103" s="265">
        <f t="shared" si="7"/>
        <v>46010</v>
      </c>
    </row>
    <row r="104" spans="1:39" ht="21.6" customHeight="1">
      <c r="A104" s="11">
        <v>104</v>
      </c>
      <c r="B104" s="11" t="s">
        <v>321</v>
      </c>
      <c r="C104" s="11">
        <v>2025122772</v>
      </c>
      <c r="D104" s="11"/>
      <c r="E104" s="11"/>
      <c r="F104" s="11">
        <v>2014</v>
      </c>
      <c r="G104" s="11" t="s">
        <v>710</v>
      </c>
      <c r="H104" s="11" t="s">
        <v>357</v>
      </c>
      <c r="I104" s="11"/>
      <c r="J104" s="11"/>
      <c r="K104" s="11"/>
      <c r="L104" s="11"/>
      <c r="M104" s="12"/>
      <c r="N104" s="11"/>
      <c r="O104" s="12"/>
      <c r="P104" s="13"/>
      <c r="Q104" s="11" t="s">
        <v>714</v>
      </c>
      <c r="R104" s="11" t="s">
        <v>325</v>
      </c>
      <c r="S104" s="11" t="s">
        <v>128</v>
      </c>
      <c r="T104" s="11">
        <v>1</v>
      </c>
      <c r="U104" s="11" t="s">
        <v>326</v>
      </c>
      <c r="V104" s="11" t="s">
        <v>843</v>
      </c>
      <c r="W104" s="11" t="s">
        <v>844</v>
      </c>
      <c r="X104" s="440">
        <v>46010.558333333327</v>
      </c>
      <c r="Y104" s="11"/>
      <c r="Z104" s="11">
        <v>0.2</v>
      </c>
      <c r="AA104" s="11"/>
      <c r="AB104" s="11" t="s">
        <v>329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331</v>
      </c>
      <c r="AK104" s="11" t="s">
        <v>331</v>
      </c>
      <c r="AL104" s="267" t="e">
        <f t="shared" si="6"/>
        <v>#VALUE!</v>
      </c>
      <c r="AM104" s="265">
        <f t="shared" si="7"/>
        <v>46010</v>
      </c>
    </row>
    <row r="105" spans="1:39" ht="21.6" customHeight="1">
      <c r="A105" s="11">
        <v>105</v>
      </c>
      <c r="B105" s="11" t="s">
        <v>321</v>
      </c>
      <c r="C105" s="11">
        <v>2025122774</v>
      </c>
      <c r="D105" s="11"/>
      <c r="E105" s="11"/>
      <c r="F105" s="11">
        <v>4652</v>
      </c>
      <c r="G105" s="11" t="s">
        <v>845</v>
      </c>
      <c r="H105" s="11" t="s">
        <v>357</v>
      </c>
      <c r="I105" s="11"/>
      <c r="J105" s="11"/>
      <c r="K105" s="11"/>
      <c r="L105" s="11"/>
      <c r="M105" s="12"/>
      <c r="N105" s="11"/>
      <c r="O105" s="12"/>
      <c r="P105" s="13"/>
      <c r="Q105" s="11" t="s">
        <v>846</v>
      </c>
      <c r="R105" s="11" t="s">
        <v>325</v>
      </c>
      <c r="S105" s="11" t="s">
        <v>128</v>
      </c>
      <c r="T105" s="11">
        <v>1</v>
      </c>
      <c r="U105" s="11" t="s">
        <v>326</v>
      </c>
      <c r="V105" s="11" t="s">
        <v>847</v>
      </c>
      <c r="W105" s="11" t="s">
        <v>848</v>
      </c>
      <c r="X105" s="440">
        <v>46010.56527777778</v>
      </c>
      <c r="Y105" s="11"/>
      <c r="Z105" s="11">
        <v>0.1</v>
      </c>
      <c r="AA105" s="11"/>
      <c r="AB105" s="11" t="s">
        <v>329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331</v>
      </c>
      <c r="AK105" s="11" t="s">
        <v>331</v>
      </c>
      <c r="AL105" s="267" t="e">
        <f t="shared" si="6"/>
        <v>#VALUE!</v>
      </c>
      <c r="AM105" s="265">
        <f t="shared" si="7"/>
        <v>46010</v>
      </c>
    </row>
    <row r="106" spans="1:39" ht="21.6" customHeight="1">
      <c r="A106" s="11">
        <v>106</v>
      </c>
      <c r="B106" s="11" t="s">
        <v>321</v>
      </c>
      <c r="C106" s="11">
        <v>2025122777</v>
      </c>
      <c r="D106" s="11"/>
      <c r="E106" s="11"/>
      <c r="F106" s="11">
        <v>4968</v>
      </c>
      <c r="G106" s="11" t="s">
        <v>849</v>
      </c>
      <c r="H106" s="11" t="s">
        <v>357</v>
      </c>
      <c r="I106" s="11"/>
      <c r="J106" s="11"/>
      <c r="K106" s="11"/>
      <c r="L106" s="11"/>
      <c r="M106" s="12"/>
      <c r="N106" s="11"/>
      <c r="O106" s="12"/>
      <c r="P106" s="13"/>
      <c r="Q106" s="11" t="s">
        <v>850</v>
      </c>
      <c r="R106" s="11" t="s">
        <v>325</v>
      </c>
      <c r="S106" s="11" t="s">
        <v>128</v>
      </c>
      <c r="T106" s="11">
        <v>1</v>
      </c>
      <c r="U106" s="11" t="s">
        <v>326</v>
      </c>
      <c r="V106" s="11" t="s">
        <v>851</v>
      </c>
      <c r="W106" s="11" t="s">
        <v>852</v>
      </c>
      <c r="X106" s="440">
        <v>46010.593055555553</v>
      </c>
      <c r="Y106" s="11"/>
      <c r="Z106" s="11">
        <v>0.3</v>
      </c>
      <c r="AA106" s="11"/>
      <c r="AB106" s="11" t="s">
        <v>329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331</v>
      </c>
      <c r="AK106" s="11" t="s">
        <v>331</v>
      </c>
      <c r="AL106" s="267" t="e">
        <f t="shared" si="6"/>
        <v>#VALUE!</v>
      </c>
      <c r="AM106" s="265">
        <f t="shared" si="7"/>
        <v>46010</v>
      </c>
    </row>
    <row r="107" spans="1:39" ht="21.6" customHeight="1">
      <c r="A107" s="11">
        <v>107</v>
      </c>
      <c r="B107" s="11" t="s">
        <v>321</v>
      </c>
      <c r="C107" s="11">
        <v>2025122793</v>
      </c>
      <c r="D107" s="11"/>
      <c r="E107" s="11"/>
      <c r="F107" s="11">
        <v>4191</v>
      </c>
      <c r="G107" s="11" t="s">
        <v>853</v>
      </c>
      <c r="H107" s="11" t="s">
        <v>357</v>
      </c>
      <c r="I107" s="11"/>
      <c r="J107" s="11"/>
      <c r="K107" s="11"/>
      <c r="L107" s="11"/>
      <c r="M107" s="12"/>
      <c r="N107" s="11"/>
      <c r="O107" s="12"/>
      <c r="P107" s="13"/>
      <c r="Q107" s="11" t="s">
        <v>854</v>
      </c>
      <c r="R107" s="11" t="s">
        <v>325</v>
      </c>
      <c r="S107" s="11" t="s">
        <v>128</v>
      </c>
      <c r="T107" s="11">
        <v>1</v>
      </c>
      <c r="U107" s="11" t="s">
        <v>326</v>
      </c>
      <c r="V107" s="11" t="s">
        <v>855</v>
      </c>
      <c r="W107" s="11" t="s">
        <v>856</v>
      </c>
      <c r="X107" s="440">
        <v>46010.607638888891</v>
      </c>
      <c r="Y107" s="11"/>
      <c r="Z107" s="11">
        <v>0.2</v>
      </c>
      <c r="AA107" s="11"/>
      <c r="AB107" s="11" t="s">
        <v>329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331</v>
      </c>
      <c r="AK107" s="11" t="s">
        <v>331</v>
      </c>
      <c r="AL107" s="267" t="e">
        <f t="shared" si="6"/>
        <v>#VALUE!</v>
      </c>
      <c r="AM107" s="265">
        <f t="shared" si="7"/>
        <v>46010</v>
      </c>
    </row>
    <row r="108" spans="1:39" ht="21.6" customHeight="1">
      <c r="A108" s="11">
        <v>108</v>
      </c>
      <c r="B108" s="11" t="s">
        <v>321</v>
      </c>
      <c r="C108" s="11">
        <v>2025122796</v>
      </c>
      <c r="D108" s="11"/>
      <c r="E108" s="11"/>
      <c r="F108" s="11" t="s">
        <v>50</v>
      </c>
      <c r="G108" s="11" t="s">
        <v>857</v>
      </c>
      <c r="H108" s="11" t="s">
        <v>357</v>
      </c>
      <c r="I108" s="11"/>
      <c r="J108" s="11"/>
      <c r="K108" s="11"/>
      <c r="L108" s="11"/>
      <c r="M108" s="12"/>
      <c r="N108" s="11"/>
      <c r="O108" s="12"/>
      <c r="P108" s="13"/>
      <c r="Q108" s="11" t="s">
        <v>858</v>
      </c>
      <c r="R108" s="11" t="s">
        <v>325</v>
      </c>
      <c r="S108" s="11" t="s">
        <v>128</v>
      </c>
      <c r="T108" s="11">
        <v>1</v>
      </c>
      <c r="U108" s="11" t="s">
        <v>326</v>
      </c>
      <c r="V108" s="11" t="s">
        <v>859</v>
      </c>
      <c r="W108" s="11" t="s">
        <v>860</v>
      </c>
      <c r="X108" s="440">
        <v>46010.61041666667</v>
      </c>
      <c r="Y108" s="11"/>
      <c r="Z108" s="11">
        <v>0.1</v>
      </c>
      <c r="AA108" s="11"/>
      <c r="AB108" s="11" t="s">
        <v>329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331</v>
      </c>
      <c r="AK108" s="11" t="s">
        <v>331</v>
      </c>
      <c r="AL108" s="267" t="e">
        <f t="shared" si="6"/>
        <v>#VALUE!</v>
      </c>
      <c r="AM108" s="265">
        <f t="shared" si="7"/>
        <v>46010</v>
      </c>
    </row>
    <row r="109" spans="1:39" ht="21.6" customHeight="1">
      <c r="A109" s="11">
        <v>109</v>
      </c>
      <c r="B109" s="11" t="s">
        <v>362</v>
      </c>
      <c r="C109" s="11">
        <v>2025122842</v>
      </c>
      <c r="D109" s="11" t="s">
        <v>861</v>
      </c>
      <c r="E109" s="11" t="s">
        <v>364</v>
      </c>
      <c r="F109" s="11">
        <v>3147</v>
      </c>
      <c r="G109" s="11" t="s">
        <v>862</v>
      </c>
      <c r="H109" s="11" t="s">
        <v>395</v>
      </c>
      <c r="I109" s="11" t="s">
        <v>863</v>
      </c>
      <c r="J109" s="11" t="s">
        <v>457</v>
      </c>
      <c r="K109" s="11" t="s">
        <v>445</v>
      </c>
      <c r="L109" s="11" t="s">
        <v>864</v>
      </c>
      <c r="M109" s="12" t="s">
        <v>865</v>
      </c>
      <c r="N109" s="11">
        <v>2703</v>
      </c>
      <c r="O109" s="12" t="s">
        <v>866</v>
      </c>
      <c r="P109" s="13" t="s">
        <v>867</v>
      </c>
      <c r="Q109" s="11" t="s">
        <v>868</v>
      </c>
      <c r="R109" s="11" t="s">
        <v>325</v>
      </c>
      <c r="S109" s="11" t="s">
        <v>139</v>
      </c>
      <c r="T109" s="11">
        <v>1</v>
      </c>
      <c r="U109" s="11" t="s">
        <v>326</v>
      </c>
      <c r="V109" s="11" t="s">
        <v>869</v>
      </c>
      <c r="W109" s="11" t="s">
        <v>870</v>
      </c>
      <c r="X109" s="440">
        <v>46014.518055555563</v>
      </c>
      <c r="Y109" s="11" t="s">
        <v>871</v>
      </c>
      <c r="Z109" s="11">
        <v>0.1</v>
      </c>
      <c r="AA109" s="11"/>
      <c r="AB109" s="11" t="s">
        <v>329</v>
      </c>
      <c r="AC109" s="266" t="s">
        <v>872</v>
      </c>
      <c r="AD109" s="11"/>
      <c r="AE109" s="11"/>
      <c r="AF109" s="11"/>
      <c r="AG109" s="11"/>
      <c r="AH109" s="11"/>
      <c r="AI109" s="11"/>
      <c r="AJ109" s="11"/>
      <c r="AK109" s="11" t="s">
        <v>331</v>
      </c>
      <c r="AL109" s="267">
        <f t="shared" si="6"/>
        <v>46011</v>
      </c>
      <c r="AM109" s="265">
        <f t="shared" si="7"/>
        <v>46014</v>
      </c>
    </row>
    <row r="110" spans="1:39" ht="21.6" customHeight="1">
      <c r="A110" s="11">
        <v>110</v>
      </c>
      <c r="B110" s="11" t="s">
        <v>362</v>
      </c>
      <c r="C110" s="11">
        <v>2025122850</v>
      </c>
      <c r="D110" s="11" t="s">
        <v>873</v>
      </c>
      <c r="E110" s="11" t="s">
        <v>364</v>
      </c>
      <c r="F110" s="11" t="s">
        <v>46</v>
      </c>
      <c r="G110" s="11" t="s">
        <v>874</v>
      </c>
      <c r="H110" s="11" t="s">
        <v>357</v>
      </c>
      <c r="I110" s="11" t="s">
        <v>875</v>
      </c>
      <c r="J110" s="11" t="s">
        <v>482</v>
      </c>
      <c r="K110" s="11" t="s">
        <v>199</v>
      </c>
      <c r="L110" s="11" t="s">
        <v>368</v>
      </c>
      <c r="M110" s="12" t="s">
        <v>369</v>
      </c>
      <c r="N110" s="11">
        <v>2306</v>
      </c>
      <c r="O110" s="12" t="s">
        <v>424</v>
      </c>
      <c r="P110" s="13" t="s">
        <v>876</v>
      </c>
      <c r="Q110" s="11" t="s">
        <v>877</v>
      </c>
      <c r="R110" s="11" t="s">
        <v>325</v>
      </c>
      <c r="S110" s="11" t="s">
        <v>128</v>
      </c>
      <c r="T110" s="11">
        <v>1</v>
      </c>
      <c r="U110" s="11" t="s">
        <v>326</v>
      </c>
      <c r="V110" s="11" t="s">
        <v>878</v>
      </c>
      <c r="W110" s="11" t="s">
        <v>879</v>
      </c>
      <c r="X110" s="440">
        <v>46013.510416666657</v>
      </c>
      <c r="Y110" s="11" t="s">
        <v>871</v>
      </c>
      <c r="Z110" s="11">
        <v>0.5</v>
      </c>
      <c r="AA110" s="11"/>
      <c r="AB110" s="11" t="s">
        <v>329</v>
      </c>
      <c r="AC110" s="266" t="s">
        <v>880</v>
      </c>
      <c r="AD110" s="11"/>
      <c r="AE110" s="11"/>
      <c r="AF110" s="11"/>
      <c r="AG110" s="11"/>
      <c r="AH110" s="11"/>
      <c r="AI110" s="11"/>
      <c r="AJ110" s="11"/>
      <c r="AK110" s="11" t="s">
        <v>331</v>
      </c>
      <c r="AL110" s="267">
        <f t="shared" si="6"/>
        <v>46012</v>
      </c>
      <c r="AM110" s="265">
        <f t="shared" si="7"/>
        <v>46013</v>
      </c>
    </row>
    <row r="111" spans="1:39" ht="21.6" customHeight="1">
      <c r="A111" s="11">
        <v>111</v>
      </c>
      <c r="B111" s="11" t="s">
        <v>321</v>
      </c>
      <c r="C111" s="11">
        <v>2025122923</v>
      </c>
      <c r="D111" s="11"/>
      <c r="E111" s="11"/>
      <c r="F111" s="11">
        <v>4228</v>
      </c>
      <c r="G111" s="11" t="s">
        <v>881</v>
      </c>
      <c r="H111" s="11" t="s">
        <v>489</v>
      </c>
      <c r="I111" s="11"/>
      <c r="J111" s="11"/>
      <c r="K111" s="11"/>
      <c r="L111" s="11"/>
      <c r="M111" s="12"/>
      <c r="N111" s="11"/>
      <c r="O111" s="12"/>
      <c r="P111" s="13"/>
      <c r="Q111" s="11" t="s">
        <v>882</v>
      </c>
      <c r="R111" s="11" t="s">
        <v>325</v>
      </c>
      <c r="S111" s="11" t="s">
        <v>123</v>
      </c>
      <c r="T111" s="11">
        <v>1</v>
      </c>
      <c r="U111" s="11" t="s">
        <v>326</v>
      </c>
      <c r="V111" s="11" t="s">
        <v>883</v>
      </c>
      <c r="W111" s="11" t="s">
        <v>884</v>
      </c>
      <c r="X111" s="440">
        <v>46013.5625</v>
      </c>
      <c r="Y111" s="11"/>
      <c r="Z111" s="11">
        <v>0.5</v>
      </c>
      <c r="AA111" s="11"/>
      <c r="AB111" s="11" t="s">
        <v>329</v>
      </c>
      <c r="AC111" s="266" t="s">
        <v>330</v>
      </c>
      <c r="AD111" s="11" t="s">
        <v>331</v>
      </c>
      <c r="AE111" s="11"/>
      <c r="AF111" s="11"/>
      <c r="AG111" s="11"/>
      <c r="AH111" s="11"/>
      <c r="AI111" s="11"/>
      <c r="AJ111" s="11" t="s">
        <v>331</v>
      </c>
      <c r="AK111" s="11" t="s">
        <v>331</v>
      </c>
      <c r="AL111" s="267" t="e">
        <f t="shared" si="6"/>
        <v>#VALUE!</v>
      </c>
      <c r="AM111" s="265">
        <f t="shared" si="7"/>
        <v>46013</v>
      </c>
    </row>
    <row r="112" spans="1:39" ht="21.6" customHeight="1">
      <c r="A112" s="11">
        <v>112</v>
      </c>
      <c r="B112" s="11" t="s">
        <v>321</v>
      </c>
      <c r="C112" s="11">
        <v>2025122926</v>
      </c>
      <c r="D112" s="11"/>
      <c r="E112" s="11"/>
      <c r="F112" s="11">
        <v>4194</v>
      </c>
      <c r="G112" s="11" t="s">
        <v>885</v>
      </c>
      <c r="H112" s="11" t="s">
        <v>489</v>
      </c>
      <c r="I112" s="11"/>
      <c r="J112" s="11"/>
      <c r="K112" s="11"/>
      <c r="L112" s="11"/>
      <c r="M112" s="12"/>
      <c r="N112" s="11"/>
      <c r="O112" s="12"/>
      <c r="P112" s="13"/>
      <c r="Q112" s="11" t="s">
        <v>886</v>
      </c>
      <c r="R112" s="11" t="s">
        <v>325</v>
      </c>
      <c r="S112" s="11" t="s">
        <v>123</v>
      </c>
      <c r="T112" s="11">
        <v>1</v>
      </c>
      <c r="U112" s="11" t="s">
        <v>326</v>
      </c>
      <c r="V112" s="11" t="s">
        <v>887</v>
      </c>
      <c r="W112" s="11" t="s">
        <v>888</v>
      </c>
      <c r="X112" s="440">
        <v>46013.583333333343</v>
      </c>
      <c r="Y112" s="11"/>
      <c r="Z112" s="11">
        <v>0.5</v>
      </c>
      <c r="AA112" s="11"/>
      <c r="AB112" s="11" t="s">
        <v>329</v>
      </c>
      <c r="AC112" s="266" t="s">
        <v>330</v>
      </c>
      <c r="AD112" s="11" t="s">
        <v>331</v>
      </c>
      <c r="AE112" s="11"/>
      <c r="AF112" s="11"/>
      <c r="AG112" s="11"/>
      <c r="AH112" s="11"/>
      <c r="AI112" s="11"/>
      <c r="AJ112" s="11" t="s">
        <v>331</v>
      </c>
      <c r="AK112" s="11" t="s">
        <v>331</v>
      </c>
      <c r="AL112" s="267" t="e">
        <f t="shared" si="6"/>
        <v>#VALUE!</v>
      </c>
      <c r="AM112" s="265">
        <f t="shared" si="7"/>
        <v>46013</v>
      </c>
    </row>
    <row r="113" spans="1:39" ht="21.6" customHeight="1">
      <c r="A113" s="11">
        <v>113</v>
      </c>
      <c r="B113" s="11" t="s">
        <v>321</v>
      </c>
      <c r="C113" s="11">
        <v>2025122930</v>
      </c>
      <c r="D113" s="11"/>
      <c r="E113" s="11"/>
      <c r="F113" s="11">
        <v>4701</v>
      </c>
      <c r="G113" s="11" t="s">
        <v>889</v>
      </c>
      <c r="H113" s="11" t="s">
        <v>489</v>
      </c>
      <c r="I113" s="11"/>
      <c r="J113" s="11"/>
      <c r="K113" s="11"/>
      <c r="L113" s="11"/>
      <c r="M113" s="12"/>
      <c r="N113" s="11"/>
      <c r="O113" s="12"/>
      <c r="P113" s="13"/>
      <c r="Q113" s="11" t="s">
        <v>890</v>
      </c>
      <c r="R113" s="11" t="s">
        <v>325</v>
      </c>
      <c r="S113" s="11" t="s">
        <v>123</v>
      </c>
      <c r="T113" s="11">
        <v>1</v>
      </c>
      <c r="U113" s="11" t="s">
        <v>326</v>
      </c>
      <c r="V113" s="11" t="s">
        <v>891</v>
      </c>
      <c r="W113" s="11" t="s">
        <v>892</v>
      </c>
      <c r="X113" s="440">
        <v>46013.604166666657</v>
      </c>
      <c r="Y113" s="11"/>
      <c r="Z113" s="11">
        <v>0.5</v>
      </c>
      <c r="AA113" s="11"/>
      <c r="AB113" s="11" t="s">
        <v>329</v>
      </c>
      <c r="AC113" s="266" t="s">
        <v>330</v>
      </c>
      <c r="AD113" s="11" t="s">
        <v>331</v>
      </c>
      <c r="AE113" s="11"/>
      <c r="AF113" s="11"/>
      <c r="AG113" s="11"/>
      <c r="AH113" s="11"/>
      <c r="AI113" s="11"/>
      <c r="AJ113" s="11" t="s">
        <v>331</v>
      </c>
      <c r="AK113" s="11" t="s">
        <v>331</v>
      </c>
      <c r="AL113" s="267" t="e">
        <f t="shared" si="6"/>
        <v>#VALUE!</v>
      </c>
      <c r="AM113" s="265">
        <f t="shared" si="7"/>
        <v>46013</v>
      </c>
    </row>
    <row r="114" spans="1:39" ht="21.6" customHeight="1">
      <c r="A114" s="11">
        <v>114</v>
      </c>
      <c r="B114" s="11" t="s">
        <v>321</v>
      </c>
      <c r="C114" s="11">
        <v>2025122937</v>
      </c>
      <c r="D114" s="11"/>
      <c r="E114" s="11"/>
      <c r="F114" s="11">
        <v>3999</v>
      </c>
      <c r="G114" s="11" t="s">
        <v>893</v>
      </c>
      <c r="H114" s="11" t="s">
        <v>489</v>
      </c>
      <c r="I114" s="11"/>
      <c r="J114" s="11"/>
      <c r="K114" s="11"/>
      <c r="L114" s="11"/>
      <c r="M114" s="12"/>
      <c r="N114" s="11"/>
      <c r="O114" s="12"/>
      <c r="P114" s="13"/>
      <c r="Q114" s="11" t="s">
        <v>894</v>
      </c>
      <c r="R114" s="11" t="s">
        <v>325</v>
      </c>
      <c r="S114" s="11" t="s">
        <v>123</v>
      </c>
      <c r="T114" s="11">
        <v>1</v>
      </c>
      <c r="U114" s="11" t="s">
        <v>326</v>
      </c>
      <c r="V114" s="11" t="s">
        <v>895</v>
      </c>
      <c r="W114" s="11" t="s">
        <v>896</v>
      </c>
      <c r="X114" s="440">
        <v>46013.625</v>
      </c>
      <c r="Y114" s="11"/>
      <c r="Z114" s="11">
        <v>0.5</v>
      </c>
      <c r="AA114" s="11"/>
      <c r="AB114" s="11" t="s">
        <v>329</v>
      </c>
      <c r="AC114" s="266" t="s">
        <v>330</v>
      </c>
      <c r="AD114" s="11" t="s">
        <v>331</v>
      </c>
      <c r="AE114" s="11"/>
      <c r="AF114" s="11"/>
      <c r="AG114" s="11"/>
      <c r="AH114" s="11"/>
      <c r="AI114" s="11"/>
      <c r="AJ114" s="11" t="s">
        <v>331</v>
      </c>
      <c r="AK114" s="11" t="s">
        <v>331</v>
      </c>
      <c r="AL114" s="267" t="e">
        <f t="shared" si="6"/>
        <v>#VALUE!</v>
      </c>
      <c r="AM114" s="265">
        <f t="shared" si="7"/>
        <v>46013</v>
      </c>
    </row>
    <row r="115" spans="1:39" ht="21.6" customHeight="1">
      <c r="A115" s="11">
        <v>115</v>
      </c>
      <c r="B115" s="11" t="s">
        <v>321</v>
      </c>
      <c r="C115" s="11">
        <v>2025122942</v>
      </c>
      <c r="D115" s="11"/>
      <c r="E115" s="11"/>
      <c r="F115" s="11">
        <v>4762</v>
      </c>
      <c r="G115" s="11" t="s">
        <v>897</v>
      </c>
      <c r="H115" s="11" t="s">
        <v>489</v>
      </c>
      <c r="I115" s="11"/>
      <c r="J115" s="11"/>
      <c r="K115" s="11"/>
      <c r="L115" s="11"/>
      <c r="M115" s="12"/>
      <c r="N115" s="11"/>
      <c r="O115" s="12"/>
      <c r="P115" s="13"/>
      <c r="Q115" s="11" t="s">
        <v>898</v>
      </c>
      <c r="R115" s="11" t="s">
        <v>325</v>
      </c>
      <c r="S115" s="11" t="s">
        <v>123</v>
      </c>
      <c r="T115" s="11">
        <v>1</v>
      </c>
      <c r="U115" s="11" t="s">
        <v>326</v>
      </c>
      <c r="V115" s="11" t="s">
        <v>899</v>
      </c>
      <c r="W115" s="11" t="s">
        <v>900</v>
      </c>
      <c r="X115" s="440">
        <v>46013.645833333343</v>
      </c>
      <c r="Y115" s="11"/>
      <c r="Z115" s="11">
        <v>0.5</v>
      </c>
      <c r="AA115" s="11"/>
      <c r="AB115" s="11" t="s">
        <v>329</v>
      </c>
      <c r="AC115" s="266" t="s">
        <v>330</v>
      </c>
      <c r="AD115" s="11" t="s">
        <v>331</v>
      </c>
      <c r="AE115" s="11"/>
      <c r="AF115" s="11"/>
      <c r="AG115" s="11"/>
      <c r="AH115" s="11"/>
      <c r="AI115" s="11"/>
      <c r="AJ115" s="11" t="s">
        <v>331</v>
      </c>
      <c r="AK115" s="11" t="s">
        <v>331</v>
      </c>
      <c r="AL115" s="267" t="e">
        <f t="shared" si="6"/>
        <v>#VALUE!</v>
      </c>
      <c r="AM115" s="265">
        <f t="shared" si="7"/>
        <v>46013</v>
      </c>
    </row>
    <row r="116" spans="1:39" ht="21.6" customHeight="1">
      <c r="A116" s="11">
        <v>116</v>
      </c>
      <c r="B116" s="11" t="s">
        <v>362</v>
      </c>
      <c r="C116" s="11">
        <v>2025122991</v>
      </c>
      <c r="D116" s="11" t="s">
        <v>901</v>
      </c>
      <c r="E116" s="11" t="s">
        <v>364</v>
      </c>
      <c r="F116" s="11">
        <v>4312</v>
      </c>
      <c r="G116" s="11" t="s">
        <v>902</v>
      </c>
      <c r="H116" s="11" t="s">
        <v>357</v>
      </c>
      <c r="I116" s="11" t="s">
        <v>903</v>
      </c>
      <c r="J116" s="11" t="s">
        <v>491</v>
      </c>
      <c r="K116" s="11" t="s">
        <v>904</v>
      </c>
      <c r="L116" s="11" t="s">
        <v>446</v>
      </c>
      <c r="M116" s="12" t="s">
        <v>447</v>
      </c>
      <c r="N116" s="11" t="s">
        <v>448</v>
      </c>
      <c r="O116" s="12" t="s">
        <v>449</v>
      </c>
      <c r="P116" s="13" t="s">
        <v>905</v>
      </c>
      <c r="Q116" s="11" t="s">
        <v>906</v>
      </c>
      <c r="R116" s="11" t="s">
        <v>325</v>
      </c>
      <c r="S116" s="11" t="s">
        <v>128</v>
      </c>
      <c r="T116" s="11">
        <v>1</v>
      </c>
      <c r="U116" s="11" t="s">
        <v>326</v>
      </c>
      <c r="V116" s="11" t="s">
        <v>907</v>
      </c>
      <c r="W116" s="11" t="s">
        <v>908</v>
      </c>
      <c r="X116" s="440">
        <v>46015.48541666667</v>
      </c>
      <c r="Y116" s="11" t="s">
        <v>909</v>
      </c>
      <c r="Z116" s="11">
        <v>0.7</v>
      </c>
      <c r="AA116" s="11"/>
      <c r="AB116" s="11" t="s">
        <v>329</v>
      </c>
      <c r="AC116" s="266" t="s">
        <v>910</v>
      </c>
      <c r="AD116" s="11"/>
      <c r="AE116" s="11"/>
      <c r="AF116" s="11"/>
      <c r="AG116" s="11"/>
      <c r="AH116" s="11"/>
      <c r="AI116" s="11"/>
      <c r="AJ116" s="11"/>
      <c r="AK116" s="11" t="s">
        <v>331</v>
      </c>
      <c r="AL116" s="267">
        <f t="shared" si="6"/>
        <v>46013</v>
      </c>
      <c r="AM116" s="265">
        <f t="shared" si="7"/>
        <v>46015</v>
      </c>
    </row>
    <row r="117" spans="1:39" ht="21.6" customHeight="1">
      <c r="A117" s="11">
        <v>117</v>
      </c>
      <c r="B117" s="11" t="s">
        <v>362</v>
      </c>
      <c r="C117" s="11">
        <v>2025122992</v>
      </c>
      <c r="D117" s="11" t="s">
        <v>911</v>
      </c>
      <c r="E117" s="11" t="s">
        <v>364</v>
      </c>
      <c r="F117" s="11">
        <v>4312</v>
      </c>
      <c r="G117" s="11" t="s">
        <v>902</v>
      </c>
      <c r="H117" s="11" t="s">
        <v>357</v>
      </c>
      <c r="I117" s="11" t="s">
        <v>912</v>
      </c>
      <c r="J117" s="11" t="s">
        <v>367</v>
      </c>
      <c r="K117" s="11" t="s">
        <v>445</v>
      </c>
      <c r="L117" s="11" t="s">
        <v>446</v>
      </c>
      <c r="M117" s="12" t="s">
        <v>447</v>
      </c>
      <c r="N117" s="11" t="s">
        <v>448</v>
      </c>
      <c r="O117" s="12" t="s">
        <v>449</v>
      </c>
      <c r="P117" s="13" t="s">
        <v>913</v>
      </c>
      <c r="Q117" s="11" t="s">
        <v>906</v>
      </c>
      <c r="R117" s="11" t="s">
        <v>325</v>
      </c>
      <c r="S117" s="11" t="s">
        <v>128</v>
      </c>
      <c r="T117" s="11">
        <v>1</v>
      </c>
      <c r="U117" s="11" t="s">
        <v>326</v>
      </c>
      <c r="V117" s="11" t="s">
        <v>914</v>
      </c>
      <c r="W117" s="11" t="s">
        <v>908</v>
      </c>
      <c r="X117" s="440">
        <v>46015.484722222223</v>
      </c>
      <c r="Y117" s="11" t="s">
        <v>915</v>
      </c>
      <c r="Z117" s="11">
        <v>0.6</v>
      </c>
      <c r="AA117" s="11"/>
      <c r="AB117" s="11" t="s">
        <v>329</v>
      </c>
      <c r="AC117" s="266" t="s">
        <v>916</v>
      </c>
      <c r="AD117" s="11"/>
      <c r="AE117" s="11"/>
      <c r="AF117" s="11"/>
      <c r="AG117" s="11"/>
      <c r="AH117" s="11"/>
      <c r="AI117" s="11"/>
      <c r="AJ117" s="11"/>
      <c r="AK117" s="11" t="s">
        <v>331</v>
      </c>
      <c r="AL117" s="267">
        <f t="shared" si="6"/>
        <v>46014</v>
      </c>
      <c r="AM117" s="265">
        <f t="shared" si="7"/>
        <v>46015</v>
      </c>
    </row>
    <row r="118" spans="1:39" ht="21.6" customHeight="1">
      <c r="A118" s="11">
        <v>118</v>
      </c>
      <c r="B118" s="11" t="s">
        <v>321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357</v>
      </c>
      <c r="I118" s="11"/>
      <c r="J118" s="11"/>
      <c r="K118" s="11"/>
      <c r="L118" s="11"/>
      <c r="M118" s="12"/>
      <c r="N118" s="11"/>
      <c r="O118" s="12"/>
      <c r="P118" s="13"/>
      <c r="Q118" s="11" t="s">
        <v>917</v>
      </c>
      <c r="R118" s="11" t="s">
        <v>325</v>
      </c>
      <c r="S118" s="11" t="s">
        <v>128</v>
      </c>
      <c r="T118" s="11">
        <v>1</v>
      </c>
      <c r="U118" s="11" t="s">
        <v>326</v>
      </c>
      <c r="V118" s="11" t="s">
        <v>918</v>
      </c>
      <c r="W118" s="11" t="s">
        <v>919</v>
      </c>
      <c r="X118" s="440">
        <v>46014.594444444447</v>
      </c>
      <c r="Y118" s="11"/>
      <c r="Z118" s="11">
        <v>3.3</v>
      </c>
      <c r="AA118" s="11"/>
      <c r="AB118" s="11" t="s">
        <v>329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331</v>
      </c>
      <c r="AK118" s="11"/>
      <c r="AL118" s="267" t="e">
        <f t="shared" si="6"/>
        <v>#VALUE!</v>
      </c>
      <c r="AM118" s="265">
        <f t="shared" si="7"/>
        <v>46014</v>
      </c>
    </row>
    <row r="119" spans="1:39" ht="21.6" customHeight="1">
      <c r="A119" s="11">
        <v>119</v>
      </c>
      <c r="B119" s="11" t="s">
        <v>321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357</v>
      </c>
      <c r="I119" s="11"/>
      <c r="J119" s="11"/>
      <c r="K119" s="11"/>
      <c r="L119" s="11"/>
      <c r="M119" s="12"/>
      <c r="N119" s="11"/>
      <c r="O119" s="12"/>
      <c r="P119" s="13"/>
      <c r="Q119" s="11" t="s">
        <v>917</v>
      </c>
      <c r="R119" s="11" t="s">
        <v>325</v>
      </c>
      <c r="S119" s="11" t="s">
        <v>128</v>
      </c>
      <c r="T119" s="11">
        <v>1</v>
      </c>
      <c r="U119" s="11" t="s">
        <v>326</v>
      </c>
      <c r="V119" s="11" t="s">
        <v>920</v>
      </c>
      <c r="W119" s="11" t="s">
        <v>919</v>
      </c>
      <c r="X119" s="440">
        <v>46014.604166666657</v>
      </c>
      <c r="Y119" s="11"/>
      <c r="Z119" s="11">
        <v>3.5</v>
      </c>
      <c r="AA119" s="11"/>
      <c r="AB119" s="11" t="s">
        <v>329</v>
      </c>
      <c r="AC119" s="266" t="s">
        <v>921</v>
      </c>
      <c r="AD119" s="11"/>
      <c r="AE119" s="11" t="s">
        <v>331</v>
      </c>
      <c r="AF119" s="11"/>
      <c r="AG119" s="11"/>
      <c r="AH119" s="11"/>
      <c r="AI119" s="11"/>
      <c r="AJ119" s="11"/>
      <c r="AK119" s="11"/>
      <c r="AL119" s="267" t="e">
        <f t="shared" si="6"/>
        <v>#VALUE!</v>
      </c>
      <c r="AM119" s="265">
        <f t="shared" si="7"/>
        <v>46014</v>
      </c>
    </row>
    <row r="120" spans="1:39" ht="21.6" customHeight="1">
      <c r="A120" s="11">
        <v>120</v>
      </c>
      <c r="B120" s="11" t="s">
        <v>362</v>
      </c>
      <c r="C120" s="11">
        <v>2025123026</v>
      </c>
      <c r="D120" s="11" t="s">
        <v>922</v>
      </c>
      <c r="E120" s="11" t="s">
        <v>364</v>
      </c>
      <c r="F120" s="11">
        <v>4834</v>
      </c>
      <c r="G120" s="11" t="s">
        <v>322</v>
      </c>
      <c r="H120" s="11" t="s">
        <v>323</v>
      </c>
      <c r="I120" s="11" t="s">
        <v>923</v>
      </c>
      <c r="J120" s="11" t="s">
        <v>367</v>
      </c>
      <c r="K120" s="11" t="s">
        <v>199</v>
      </c>
      <c r="L120" s="11" t="s">
        <v>492</v>
      </c>
      <c r="M120" s="12" t="s">
        <v>493</v>
      </c>
      <c r="N120" s="11">
        <v>2501</v>
      </c>
      <c r="O120" s="12" t="s">
        <v>494</v>
      </c>
      <c r="P120" s="13" t="s">
        <v>924</v>
      </c>
      <c r="Q120" s="11" t="s">
        <v>324</v>
      </c>
      <c r="R120" s="11" t="s">
        <v>325</v>
      </c>
      <c r="S120" s="11" t="s">
        <v>123</v>
      </c>
      <c r="T120" s="11">
        <v>1</v>
      </c>
      <c r="U120" s="11" t="s">
        <v>326</v>
      </c>
      <c r="V120" s="11" t="s">
        <v>925</v>
      </c>
      <c r="W120" s="11" t="s">
        <v>926</v>
      </c>
      <c r="X120" s="440">
        <v>46015.444444444453</v>
      </c>
      <c r="Y120" s="11" t="s">
        <v>927</v>
      </c>
      <c r="Z120" s="11">
        <v>0.5</v>
      </c>
      <c r="AA120" s="11"/>
      <c r="AB120" s="11" t="s">
        <v>329</v>
      </c>
      <c r="AC120" s="266" t="s">
        <v>928</v>
      </c>
      <c r="AD120" s="11"/>
      <c r="AE120" s="11"/>
      <c r="AF120" s="11"/>
      <c r="AG120" s="11"/>
      <c r="AH120" s="11"/>
      <c r="AI120" s="11"/>
      <c r="AJ120" s="11"/>
      <c r="AK120" s="11" t="s">
        <v>331</v>
      </c>
      <c r="AL120" s="267">
        <f t="shared" si="6"/>
        <v>46014</v>
      </c>
      <c r="AM120" s="265">
        <f t="shared" si="7"/>
        <v>46015</v>
      </c>
    </row>
    <row r="121" spans="1:39" ht="21.6" customHeight="1">
      <c r="A121" s="11">
        <v>121</v>
      </c>
      <c r="B121" s="11" t="s">
        <v>321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395</v>
      </c>
      <c r="I121" s="11"/>
      <c r="J121" s="11"/>
      <c r="K121" s="11"/>
      <c r="L121" s="11"/>
      <c r="M121" s="12"/>
      <c r="N121" s="11"/>
      <c r="O121" s="12"/>
      <c r="P121" s="13"/>
      <c r="Q121" s="11" t="s">
        <v>929</v>
      </c>
      <c r="R121" s="11" t="s">
        <v>325</v>
      </c>
      <c r="S121" s="11" t="s">
        <v>139</v>
      </c>
      <c r="T121" s="11">
        <v>1</v>
      </c>
      <c r="U121" s="11" t="s">
        <v>326</v>
      </c>
      <c r="V121" s="11" t="s">
        <v>930</v>
      </c>
      <c r="W121" s="11" t="s">
        <v>931</v>
      </c>
      <c r="X121" s="440">
        <v>46014.65347222222</v>
      </c>
      <c r="Y121" s="11"/>
      <c r="Z121" s="11">
        <v>3.7</v>
      </c>
      <c r="AA121" s="11"/>
      <c r="AB121" s="11" t="s">
        <v>329</v>
      </c>
      <c r="AC121" s="266" t="s">
        <v>932</v>
      </c>
      <c r="AD121" s="11"/>
      <c r="AE121" s="11" t="s">
        <v>331</v>
      </c>
      <c r="AF121" s="11"/>
      <c r="AG121" s="11"/>
      <c r="AH121" s="11"/>
      <c r="AI121" s="11"/>
      <c r="AJ121" s="11"/>
      <c r="AK121" s="11" t="s">
        <v>331</v>
      </c>
      <c r="AL121" s="267" t="e">
        <f t="shared" si="6"/>
        <v>#VALUE!</v>
      </c>
      <c r="AM121" s="265">
        <f t="shared" si="7"/>
        <v>46014</v>
      </c>
    </row>
    <row r="122" spans="1:39" ht="21.6" customHeight="1">
      <c r="A122" s="11">
        <v>122</v>
      </c>
      <c r="B122" s="11" t="s">
        <v>321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357</v>
      </c>
      <c r="I122" s="11"/>
      <c r="J122" s="11"/>
      <c r="K122" s="11"/>
      <c r="L122" s="11"/>
      <c r="M122" s="12"/>
      <c r="N122" s="11"/>
      <c r="O122" s="12"/>
      <c r="P122" s="13"/>
      <c r="Q122" s="11" t="s">
        <v>917</v>
      </c>
      <c r="R122" s="11" t="s">
        <v>325</v>
      </c>
      <c r="S122" s="11" t="s">
        <v>123</v>
      </c>
      <c r="T122" s="11">
        <v>1</v>
      </c>
      <c r="U122" s="11" t="s">
        <v>326</v>
      </c>
      <c r="V122" s="11" t="s">
        <v>933</v>
      </c>
      <c r="W122" s="11" t="s">
        <v>934</v>
      </c>
      <c r="X122" s="440">
        <v>46014.541666666657</v>
      </c>
      <c r="Y122" s="11"/>
      <c r="Z122" s="11">
        <v>4</v>
      </c>
      <c r="AA122" s="11"/>
      <c r="AB122" s="11" t="s">
        <v>329</v>
      </c>
      <c r="AC122" s="266" t="s">
        <v>152</v>
      </c>
      <c r="AD122" s="11"/>
      <c r="AE122" s="11" t="s">
        <v>331</v>
      </c>
      <c r="AF122" s="11"/>
      <c r="AG122" s="11"/>
      <c r="AH122" s="11"/>
      <c r="AI122" s="11"/>
      <c r="AJ122" s="11"/>
      <c r="AK122" s="11" t="s">
        <v>331</v>
      </c>
      <c r="AL122" s="267" t="e">
        <f t="shared" si="6"/>
        <v>#VALUE!</v>
      </c>
      <c r="AM122" s="265">
        <f t="shared" si="7"/>
        <v>46014</v>
      </c>
    </row>
    <row r="123" spans="1:39" ht="21.6" customHeight="1">
      <c r="A123" s="11">
        <v>123</v>
      </c>
      <c r="B123" s="11" t="s">
        <v>321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395</v>
      </c>
      <c r="I123" s="11"/>
      <c r="J123" s="11"/>
      <c r="K123" s="11"/>
      <c r="L123" s="11"/>
      <c r="M123" s="12"/>
      <c r="N123" s="11"/>
      <c r="O123" s="12"/>
      <c r="P123" s="13"/>
      <c r="Q123" s="11" t="s">
        <v>929</v>
      </c>
      <c r="R123" s="11" t="s">
        <v>325</v>
      </c>
      <c r="S123" s="11" t="s">
        <v>123</v>
      </c>
      <c r="T123" s="11">
        <v>1</v>
      </c>
      <c r="U123" s="11" t="s">
        <v>326</v>
      </c>
      <c r="V123" s="11" t="s">
        <v>935</v>
      </c>
      <c r="W123" s="11" t="s">
        <v>871</v>
      </c>
      <c r="X123" s="440">
        <v>46014.6875</v>
      </c>
      <c r="Y123" s="11"/>
      <c r="Z123" s="11">
        <v>3.5</v>
      </c>
      <c r="AA123" s="11"/>
      <c r="AB123" s="11" t="s">
        <v>329</v>
      </c>
      <c r="AC123" s="266" t="s">
        <v>936</v>
      </c>
      <c r="AD123" s="11"/>
      <c r="AE123" s="11" t="s">
        <v>331</v>
      </c>
      <c r="AF123" s="11"/>
      <c r="AG123" s="11"/>
      <c r="AH123" s="11"/>
      <c r="AI123" s="11"/>
      <c r="AJ123" s="11"/>
      <c r="AK123" s="11" t="s">
        <v>331</v>
      </c>
      <c r="AL123" s="267" t="e">
        <f t="shared" si="6"/>
        <v>#VALUE!</v>
      </c>
      <c r="AM123" s="265">
        <f t="shared" si="7"/>
        <v>46014</v>
      </c>
    </row>
    <row r="124" spans="1:39" ht="21.6" customHeight="1">
      <c r="A124" s="11">
        <v>124</v>
      </c>
      <c r="B124" s="11" t="s">
        <v>321</v>
      </c>
      <c r="C124" s="11">
        <v>2025123206</v>
      </c>
      <c r="D124" s="11"/>
      <c r="E124" s="11"/>
      <c r="F124" s="11">
        <v>3551</v>
      </c>
      <c r="G124" s="11" t="s">
        <v>937</v>
      </c>
      <c r="H124" s="11" t="s">
        <v>395</v>
      </c>
      <c r="I124" s="11"/>
      <c r="J124" s="11"/>
      <c r="K124" s="11"/>
      <c r="L124" s="11"/>
      <c r="M124" s="12"/>
      <c r="N124" s="11"/>
      <c r="O124" s="12"/>
      <c r="P124" s="13"/>
      <c r="Q124" s="11" t="s">
        <v>938</v>
      </c>
      <c r="R124" s="11" t="s">
        <v>325</v>
      </c>
      <c r="S124" s="11" t="s">
        <v>139</v>
      </c>
      <c r="T124" s="11">
        <v>1</v>
      </c>
      <c r="U124" s="11" t="s">
        <v>326</v>
      </c>
      <c r="V124" s="11" t="s">
        <v>939</v>
      </c>
      <c r="W124" s="11" t="s">
        <v>940</v>
      </c>
      <c r="X124" s="440">
        <v>46015.482638888891</v>
      </c>
      <c r="Y124" s="11"/>
      <c r="Z124" s="11">
        <v>0.5</v>
      </c>
      <c r="AA124" s="11"/>
      <c r="AB124" s="11" t="s">
        <v>329</v>
      </c>
      <c r="AC124" s="266" t="s">
        <v>330</v>
      </c>
      <c r="AD124" s="11" t="s">
        <v>331</v>
      </c>
      <c r="AE124" s="11"/>
      <c r="AF124" s="11"/>
      <c r="AG124" s="11"/>
      <c r="AH124" s="11"/>
      <c r="AI124" s="11"/>
      <c r="AJ124" s="11"/>
      <c r="AK124" s="11" t="s">
        <v>331</v>
      </c>
      <c r="AL124" s="267" t="e">
        <f t="shared" si="6"/>
        <v>#VALUE!</v>
      </c>
      <c r="AM124" s="265">
        <f t="shared" si="7"/>
        <v>46015</v>
      </c>
    </row>
    <row r="125" spans="1:39" ht="21.6" customHeight="1">
      <c r="A125" s="11">
        <v>125</v>
      </c>
      <c r="B125" s="11" t="s">
        <v>321</v>
      </c>
      <c r="C125" s="11">
        <v>2025123255</v>
      </c>
      <c r="D125" s="11"/>
      <c r="E125" s="11"/>
      <c r="F125" s="11">
        <v>3652</v>
      </c>
      <c r="G125" s="11" t="s">
        <v>941</v>
      </c>
      <c r="H125" s="11" t="s">
        <v>489</v>
      </c>
      <c r="I125" s="11"/>
      <c r="J125" s="11"/>
      <c r="K125" s="11"/>
      <c r="L125" s="11"/>
      <c r="M125" s="12"/>
      <c r="N125" s="11"/>
      <c r="O125" s="12"/>
      <c r="P125" s="13"/>
      <c r="Q125" s="11" t="s">
        <v>942</v>
      </c>
      <c r="R125" s="11" t="s">
        <v>325</v>
      </c>
      <c r="S125" s="11" t="s">
        <v>123</v>
      </c>
      <c r="T125" s="11">
        <v>1</v>
      </c>
      <c r="U125" s="11" t="s">
        <v>326</v>
      </c>
      <c r="V125" s="11" t="s">
        <v>943</v>
      </c>
      <c r="W125" s="11" t="s">
        <v>944</v>
      </c>
      <c r="X125" s="440">
        <v>46015.604166666657</v>
      </c>
      <c r="Y125" s="11"/>
      <c r="Z125" s="11">
        <v>0.5</v>
      </c>
      <c r="AA125" s="11"/>
      <c r="AB125" s="11" t="s">
        <v>329</v>
      </c>
      <c r="AC125" s="266" t="s">
        <v>330</v>
      </c>
      <c r="AD125" s="11" t="s">
        <v>331</v>
      </c>
      <c r="AE125" s="11"/>
      <c r="AF125" s="11"/>
      <c r="AG125" s="11"/>
      <c r="AH125" s="11"/>
      <c r="AI125" s="11"/>
      <c r="AJ125" s="11" t="s">
        <v>331</v>
      </c>
      <c r="AK125" s="11" t="s">
        <v>331</v>
      </c>
      <c r="AL125" s="267" t="e">
        <f t="shared" si="6"/>
        <v>#VALUE!</v>
      </c>
      <c r="AM125" s="265">
        <f t="shared" si="7"/>
        <v>46015</v>
      </c>
    </row>
    <row r="126" spans="1:39" ht="21.6" customHeight="1">
      <c r="A126" s="11">
        <v>126</v>
      </c>
      <c r="B126" s="11" t="s">
        <v>362</v>
      </c>
      <c r="C126" s="11">
        <v>2025123330</v>
      </c>
      <c r="D126" s="11" t="s">
        <v>945</v>
      </c>
      <c r="E126" s="11" t="s">
        <v>364</v>
      </c>
      <c r="F126" s="11" t="s">
        <v>64</v>
      </c>
      <c r="G126" s="11" t="s">
        <v>788</v>
      </c>
      <c r="H126" s="11" t="s">
        <v>566</v>
      </c>
      <c r="I126" s="11" t="s">
        <v>946</v>
      </c>
      <c r="J126" s="11" t="s">
        <v>423</v>
      </c>
      <c r="K126" s="11" t="s">
        <v>445</v>
      </c>
      <c r="L126" s="11" t="s">
        <v>368</v>
      </c>
      <c r="M126" s="12" t="s">
        <v>369</v>
      </c>
      <c r="N126" s="11">
        <v>2305</v>
      </c>
      <c r="O126" s="12" t="s">
        <v>409</v>
      </c>
      <c r="P126" s="13" t="s">
        <v>947</v>
      </c>
      <c r="Q126" s="11" t="s">
        <v>791</v>
      </c>
      <c r="R126" s="11" t="s">
        <v>325</v>
      </c>
      <c r="S126" s="11" t="s">
        <v>128</v>
      </c>
      <c r="T126" s="11">
        <v>1</v>
      </c>
      <c r="U126" s="11" t="s">
        <v>326</v>
      </c>
      <c r="V126" s="11" t="s">
        <v>948</v>
      </c>
      <c r="W126" s="11" t="s">
        <v>949</v>
      </c>
      <c r="X126" s="440">
        <v>46017.461805555547</v>
      </c>
      <c r="Y126" s="11" t="s">
        <v>950</v>
      </c>
      <c r="Z126" s="11">
        <v>0.6</v>
      </c>
      <c r="AA126" s="11"/>
      <c r="AB126" s="11" t="s">
        <v>329</v>
      </c>
      <c r="AC126" s="266" t="s">
        <v>951</v>
      </c>
      <c r="AD126" s="11"/>
      <c r="AE126" s="11"/>
      <c r="AF126" s="11"/>
      <c r="AG126" s="11"/>
      <c r="AH126" s="11"/>
      <c r="AI126" s="11"/>
      <c r="AJ126" s="11"/>
      <c r="AK126" s="11" t="s">
        <v>331</v>
      </c>
      <c r="AL126" s="267">
        <f t="shared" si="6"/>
        <v>46016</v>
      </c>
      <c r="AM126" s="265">
        <f t="shared" si="7"/>
        <v>46017</v>
      </c>
    </row>
    <row r="127" spans="1:39" ht="21.6" customHeight="1">
      <c r="A127" s="11">
        <v>127</v>
      </c>
      <c r="B127" s="11" t="s">
        <v>362</v>
      </c>
      <c r="C127" s="11">
        <v>2025123332</v>
      </c>
      <c r="D127" s="11" t="s">
        <v>952</v>
      </c>
      <c r="E127" s="11" t="s">
        <v>364</v>
      </c>
      <c r="F127" s="11">
        <v>4196</v>
      </c>
      <c r="G127" s="11" t="s">
        <v>175</v>
      </c>
      <c r="H127" s="11" t="s">
        <v>357</v>
      </c>
      <c r="I127" s="11" t="s">
        <v>953</v>
      </c>
      <c r="J127" s="11" t="s">
        <v>423</v>
      </c>
      <c r="K127" s="11" t="s">
        <v>445</v>
      </c>
      <c r="L127" s="11" t="s">
        <v>368</v>
      </c>
      <c r="M127" s="12" t="s">
        <v>369</v>
      </c>
      <c r="N127" s="11">
        <v>2307</v>
      </c>
      <c r="O127" s="12" t="s">
        <v>384</v>
      </c>
      <c r="P127" s="13" t="s">
        <v>954</v>
      </c>
      <c r="Q127" s="11" t="s">
        <v>917</v>
      </c>
      <c r="R127" s="11" t="s">
        <v>325</v>
      </c>
      <c r="S127" s="11" t="s">
        <v>128</v>
      </c>
      <c r="T127" s="11">
        <v>1</v>
      </c>
      <c r="U127" s="11" t="s">
        <v>326</v>
      </c>
      <c r="V127" s="11" t="s">
        <v>955</v>
      </c>
      <c r="W127" s="11" t="s">
        <v>956</v>
      </c>
      <c r="X127" s="440">
        <v>46017.574999999997</v>
      </c>
      <c r="Y127" s="11" t="s">
        <v>950</v>
      </c>
      <c r="Z127" s="11">
        <v>0.8</v>
      </c>
      <c r="AA127" s="11"/>
      <c r="AB127" s="11" t="s">
        <v>329</v>
      </c>
      <c r="AC127" s="266" t="s">
        <v>957</v>
      </c>
      <c r="AD127" s="11"/>
      <c r="AE127" s="11"/>
      <c r="AF127" s="11"/>
      <c r="AG127" s="11"/>
      <c r="AH127" s="11"/>
      <c r="AI127" s="11"/>
      <c r="AJ127" s="11"/>
      <c r="AK127" s="11" t="s">
        <v>331</v>
      </c>
      <c r="AL127" s="267">
        <f t="shared" si="6"/>
        <v>46016</v>
      </c>
      <c r="AM127" s="265">
        <f t="shared" si="7"/>
        <v>46017</v>
      </c>
    </row>
    <row r="128" spans="1:39" ht="21.6" customHeight="1">
      <c r="A128" s="11">
        <v>128</v>
      </c>
      <c r="B128" s="11" t="s">
        <v>362</v>
      </c>
      <c r="C128" s="11">
        <v>2025123339</v>
      </c>
      <c r="D128" s="11" t="s">
        <v>958</v>
      </c>
      <c r="E128" s="11" t="s">
        <v>364</v>
      </c>
      <c r="F128" s="11">
        <v>3227</v>
      </c>
      <c r="G128" s="11" t="s">
        <v>959</v>
      </c>
      <c r="H128" s="11" t="s">
        <v>763</v>
      </c>
      <c r="I128" s="11" t="s">
        <v>960</v>
      </c>
      <c r="J128" s="11" t="s">
        <v>423</v>
      </c>
      <c r="K128" s="11" t="s">
        <v>199</v>
      </c>
      <c r="L128" s="11" t="s">
        <v>446</v>
      </c>
      <c r="M128" s="12" t="s">
        <v>447</v>
      </c>
      <c r="N128" s="11" t="s">
        <v>448</v>
      </c>
      <c r="O128" s="12" t="s">
        <v>449</v>
      </c>
      <c r="P128" s="13" t="s">
        <v>961</v>
      </c>
      <c r="Q128" s="11" t="s">
        <v>962</v>
      </c>
      <c r="R128" s="11" t="s">
        <v>325</v>
      </c>
      <c r="S128" s="11" t="s">
        <v>123</v>
      </c>
      <c r="T128" s="11">
        <v>1</v>
      </c>
      <c r="U128" s="11" t="s">
        <v>326</v>
      </c>
      <c r="V128" s="11" t="s">
        <v>963</v>
      </c>
      <c r="W128" s="11" t="s">
        <v>949</v>
      </c>
      <c r="X128" s="440">
        <v>46017.458333333343</v>
      </c>
      <c r="Y128" s="11" t="s">
        <v>950</v>
      </c>
      <c r="Z128" s="11">
        <v>0.5</v>
      </c>
      <c r="AA128" s="11"/>
      <c r="AB128" s="11" t="s">
        <v>329</v>
      </c>
      <c r="AC128" s="266" t="s">
        <v>964</v>
      </c>
      <c r="AD128" s="11"/>
      <c r="AE128" s="11"/>
      <c r="AF128" s="11"/>
      <c r="AG128" s="11"/>
      <c r="AH128" s="11"/>
      <c r="AI128" s="11"/>
      <c r="AJ128" s="11"/>
      <c r="AK128" s="11" t="s">
        <v>331</v>
      </c>
      <c r="AL128" s="267">
        <f t="shared" si="6"/>
        <v>46016</v>
      </c>
      <c r="AM128" s="265">
        <f t="shared" si="7"/>
        <v>46017</v>
      </c>
    </row>
    <row r="129" spans="1:39" ht="21.6" customHeight="1">
      <c r="A129" s="11">
        <v>129</v>
      </c>
      <c r="B129" s="11" t="s">
        <v>362</v>
      </c>
      <c r="C129" s="11">
        <v>2025123340</v>
      </c>
      <c r="D129" s="11" t="s">
        <v>965</v>
      </c>
      <c r="E129" s="11" t="s">
        <v>364</v>
      </c>
      <c r="F129" s="11">
        <v>3227</v>
      </c>
      <c r="G129" s="11" t="s">
        <v>959</v>
      </c>
      <c r="H129" s="11" t="s">
        <v>763</v>
      </c>
      <c r="I129" s="11" t="s">
        <v>966</v>
      </c>
      <c r="J129" s="11" t="s">
        <v>423</v>
      </c>
      <c r="K129" s="11" t="s">
        <v>199</v>
      </c>
      <c r="L129" s="11" t="s">
        <v>446</v>
      </c>
      <c r="M129" s="12" t="s">
        <v>447</v>
      </c>
      <c r="N129" s="11" t="s">
        <v>448</v>
      </c>
      <c r="O129" s="12" t="s">
        <v>449</v>
      </c>
      <c r="P129" s="13" t="s">
        <v>967</v>
      </c>
      <c r="Q129" s="11" t="s">
        <v>962</v>
      </c>
      <c r="R129" s="11" t="s">
        <v>325</v>
      </c>
      <c r="S129" s="11" t="s">
        <v>123</v>
      </c>
      <c r="T129" s="11">
        <v>1</v>
      </c>
      <c r="U129" s="11" t="s">
        <v>326</v>
      </c>
      <c r="V129" s="11" t="s">
        <v>968</v>
      </c>
      <c r="W129" s="11" t="s">
        <v>969</v>
      </c>
      <c r="X129" s="440">
        <v>46017.479166666657</v>
      </c>
      <c r="Y129" s="11" t="s">
        <v>950</v>
      </c>
      <c r="Z129" s="11">
        <v>0.5</v>
      </c>
      <c r="AA129" s="11"/>
      <c r="AB129" s="11" t="s">
        <v>329</v>
      </c>
      <c r="AC129" s="266" t="s">
        <v>970</v>
      </c>
      <c r="AD129" s="11"/>
      <c r="AE129" s="11"/>
      <c r="AF129" s="11"/>
      <c r="AG129" s="11"/>
      <c r="AH129" s="11"/>
      <c r="AI129" s="11"/>
      <c r="AJ129" s="11"/>
      <c r="AK129" s="11" t="s">
        <v>331</v>
      </c>
      <c r="AL129" s="267">
        <f t="shared" si="6"/>
        <v>46016</v>
      </c>
      <c r="AM129" s="265">
        <f t="shared" si="7"/>
        <v>46017</v>
      </c>
    </row>
    <row r="130" spans="1:39" ht="21.6" customHeight="1">
      <c r="A130" s="11">
        <v>130</v>
      </c>
      <c r="B130" s="11" t="s">
        <v>321</v>
      </c>
      <c r="C130" s="11">
        <v>2025123427</v>
      </c>
      <c r="D130" s="11"/>
      <c r="E130" s="11"/>
      <c r="F130" s="11" t="s">
        <v>76</v>
      </c>
      <c r="G130" s="11" t="s">
        <v>203</v>
      </c>
      <c r="H130" s="11" t="s">
        <v>763</v>
      </c>
      <c r="I130" s="11"/>
      <c r="J130" s="11"/>
      <c r="K130" s="11"/>
      <c r="L130" s="11"/>
      <c r="M130" s="12"/>
      <c r="N130" s="11"/>
      <c r="O130" s="12"/>
      <c r="P130" s="13"/>
      <c r="Q130" s="11" t="s">
        <v>971</v>
      </c>
      <c r="R130" s="11" t="s">
        <v>325</v>
      </c>
      <c r="S130" s="11" t="s">
        <v>123</v>
      </c>
      <c r="T130" s="11">
        <v>1</v>
      </c>
      <c r="U130" s="11" t="s">
        <v>326</v>
      </c>
      <c r="V130" s="11" t="s">
        <v>972</v>
      </c>
      <c r="W130" s="11" t="s">
        <v>973</v>
      </c>
      <c r="X130" s="440">
        <v>46017.597222222219</v>
      </c>
      <c r="Y130" s="11"/>
      <c r="Z130" s="11">
        <v>0.5</v>
      </c>
      <c r="AA130" s="11"/>
      <c r="AB130" s="11" t="s">
        <v>329</v>
      </c>
      <c r="AC130" s="266" t="s">
        <v>340</v>
      </c>
      <c r="AD130" s="11" t="s">
        <v>331</v>
      </c>
      <c r="AE130" s="11"/>
      <c r="AF130" s="11"/>
      <c r="AG130" s="11"/>
      <c r="AH130" s="11"/>
      <c r="AI130" s="11"/>
      <c r="AJ130" s="11" t="s">
        <v>331</v>
      </c>
      <c r="AK130" s="11" t="s">
        <v>331</v>
      </c>
      <c r="AL130" s="267" t="e">
        <f t="shared" ref="AL130:AL151" si="8">DATEVALUE(TEXT(I130, "yyyy/mm/dd"))</f>
        <v>#VALUE!</v>
      </c>
      <c r="AM130" s="265">
        <f t="shared" ref="AM130:AM151" si="9">DATEVALUE(TEXT(X130, "yyyy/mm/dd"))</f>
        <v>46017</v>
      </c>
    </row>
    <row r="131" spans="1:39" ht="21.6" customHeight="1">
      <c r="A131" s="11">
        <v>131</v>
      </c>
      <c r="B131" s="11" t="s">
        <v>321</v>
      </c>
      <c r="C131" s="11">
        <v>2025123429</v>
      </c>
      <c r="D131" s="11"/>
      <c r="E131" s="11"/>
      <c r="F131" s="11">
        <v>2535</v>
      </c>
      <c r="G131" s="11" t="s">
        <v>974</v>
      </c>
      <c r="H131" s="11" t="s">
        <v>763</v>
      </c>
      <c r="I131" s="11"/>
      <c r="J131" s="11"/>
      <c r="K131" s="11"/>
      <c r="L131" s="11"/>
      <c r="M131" s="12"/>
      <c r="N131" s="11"/>
      <c r="O131" s="12"/>
      <c r="P131" s="13"/>
      <c r="Q131" s="11" t="s">
        <v>975</v>
      </c>
      <c r="R131" s="11" t="s">
        <v>325</v>
      </c>
      <c r="S131" s="11" t="s">
        <v>123</v>
      </c>
      <c r="T131" s="11">
        <v>1</v>
      </c>
      <c r="U131" s="11" t="s">
        <v>326</v>
      </c>
      <c r="V131" s="11" t="s">
        <v>976</v>
      </c>
      <c r="W131" s="11" t="s">
        <v>977</v>
      </c>
      <c r="X131" s="440">
        <v>46017.618055555547</v>
      </c>
      <c r="Y131" s="11"/>
      <c r="Z131" s="11">
        <v>0.5</v>
      </c>
      <c r="AA131" s="11"/>
      <c r="AB131" s="11" t="s">
        <v>329</v>
      </c>
      <c r="AC131" s="266" t="s">
        <v>330</v>
      </c>
      <c r="AD131" s="11" t="s">
        <v>331</v>
      </c>
      <c r="AE131" s="11"/>
      <c r="AF131" s="11"/>
      <c r="AG131" s="11"/>
      <c r="AH131" s="11"/>
      <c r="AI131" s="11"/>
      <c r="AJ131" s="11" t="s">
        <v>331</v>
      </c>
      <c r="AK131" s="11" t="s">
        <v>331</v>
      </c>
      <c r="AL131" s="267" t="e">
        <f t="shared" si="8"/>
        <v>#VALUE!</v>
      </c>
      <c r="AM131" s="265">
        <f t="shared" si="9"/>
        <v>46017</v>
      </c>
    </row>
    <row r="132" spans="1:39" ht="21.6" customHeight="1">
      <c r="A132" s="11">
        <v>132</v>
      </c>
      <c r="B132" s="11" t="s">
        <v>321</v>
      </c>
      <c r="C132" s="11">
        <v>2025123433</v>
      </c>
      <c r="D132" s="11"/>
      <c r="E132" s="11"/>
      <c r="F132" s="11">
        <v>3416</v>
      </c>
      <c r="G132" s="11" t="s">
        <v>978</v>
      </c>
      <c r="H132" s="11" t="s">
        <v>395</v>
      </c>
      <c r="I132" s="11"/>
      <c r="J132" s="11"/>
      <c r="K132" s="11"/>
      <c r="L132" s="11"/>
      <c r="M132" s="12"/>
      <c r="N132" s="11"/>
      <c r="O132" s="12"/>
      <c r="P132" s="13"/>
      <c r="Q132" s="11" t="s">
        <v>979</v>
      </c>
      <c r="R132" s="11" t="s">
        <v>325</v>
      </c>
      <c r="S132" s="11" t="s">
        <v>128</v>
      </c>
      <c r="T132" s="11">
        <v>1</v>
      </c>
      <c r="U132" s="11" t="s">
        <v>326</v>
      </c>
      <c r="V132" s="11" t="s">
        <v>980</v>
      </c>
      <c r="W132" s="11" t="s">
        <v>981</v>
      </c>
      <c r="X132" s="440">
        <v>46017.635416666657</v>
      </c>
      <c r="Y132" s="11"/>
      <c r="Z132" s="11">
        <v>0.3</v>
      </c>
      <c r="AA132" s="11"/>
      <c r="AB132" s="11" t="s">
        <v>329</v>
      </c>
      <c r="AC132" s="266" t="s">
        <v>330</v>
      </c>
      <c r="AD132" s="11" t="s">
        <v>331</v>
      </c>
      <c r="AE132" s="11"/>
      <c r="AF132" s="11"/>
      <c r="AG132" s="11"/>
      <c r="AH132" s="11"/>
      <c r="AI132" s="11"/>
      <c r="AJ132" s="11"/>
      <c r="AK132" s="11" t="s">
        <v>331</v>
      </c>
      <c r="AL132" s="267" t="e">
        <f t="shared" si="8"/>
        <v>#VALUE!</v>
      </c>
      <c r="AM132" s="265">
        <f t="shared" si="9"/>
        <v>46017</v>
      </c>
    </row>
    <row r="133" spans="1:39" ht="21.6" customHeight="1">
      <c r="A133" s="11">
        <v>133</v>
      </c>
      <c r="B133" s="11" t="s">
        <v>321</v>
      </c>
      <c r="C133" s="11">
        <v>2025123454</v>
      </c>
      <c r="D133" s="11"/>
      <c r="E133" s="11"/>
      <c r="F133" s="11">
        <v>3977</v>
      </c>
      <c r="G133" s="11" t="s">
        <v>982</v>
      </c>
      <c r="H133" s="11" t="s">
        <v>395</v>
      </c>
      <c r="I133" s="11"/>
      <c r="J133" s="11"/>
      <c r="K133" s="11"/>
      <c r="L133" s="11"/>
      <c r="M133" s="12"/>
      <c r="N133" s="11"/>
      <c r="O133" s="12"/>
      <c r="P133" s="13"/>
      <c r="Q133" s="11" t="s">
        <v>983</v>
      </c>
      <c r="R133" s="11" t="s">
        <v>325</v>
      </c>
      <c r="S133" s="11" t="s">
        <v>128</v>
      </c>
      <c r="T133" s="11">
        <v>1</v>
      </c>
      <c r="U133" s="11" t="s">
        <v>326</v>
      </c>
      <c r="V133" s="11" t="s">
        <v>984</v>
      </c>
      <c r="W133" s="11" t="s">
        <v>985</v>
      </c>
      <c r="X133" s="440">
        <v>46017.652777777781</v>
      </c>
      <c r="Y133" s="11"/>
      <c r="Z133" s="11">
        <v>0.3</v>
      </c>
      <c r="AA133" s="11"/>
      <c r="AB133" s="11" t="s">
        <v>329</v>
      </c>
      <c r="AC133" s="266" t="s">
        <v>330</v>
      </c>
      <c r="AD133" s="11" t="s">
        <v>331</v>
      </c>
      <c r="AE133" s="11"/>
      <c r="AF133" s="11"/>
      <c r="AG133" s="11"/>
      <c r="AH133" s="11"/>
      <c r="AI133" s="11"/>
      <c r="AJ133" s="11"/>
      <c r="AK133" s="11" t="s">
        <v>331</v>
      </c>
      <c r="AL133" s="267" t="e">
        <f t="shared" si="8"/>
        <v>#VALUE!</v>
      </c>
      <c r="AM133" s="265">
        <f t="shared" si="9"/>
        <v>46017</v>
      </c>
    </row>
    <row r="134" spans="1:39" ht="21.6" customHeight="1">
      <c r="A134" s="11">
        <v>134</v>
      </c>
      <c r="B134" s="11" t="s">
        <v>321</v>
      </c>
      <c r="C134" s="11">
        <v>2025123464</v>
      </c>
      <c r="D134" s="11"/>
      <c r="E134" s="11"/>
      <c r="F134" s="11">
        <v>3752</v>
      </c>
      <c r="G134" s="11" t="s">
        <v>986</v>
      </c>
      <c r="H134" s="11" t="s">
        <v>395</v>
      </c>
      <c r="I134" s="11"/>
      <c r="J134" s="11"/>
      <c r="K134" s="11"/>
      <c r="L134" s="11"/>
      <c r="M134" s="12"/>
      <c r="N134" s="11"/>
      <c r="O134" s="12"/>
      <c r="P134" s="13"/>
      <c r="Q134" s="11" t="s">
        <v>987</v>
      </c>
      <c r="R134" s="11" t="s">
        <v>325</v>
      </c>
      <c r="S134" s="11" t="s">
        <v>128</v>
      </c>
      <c r="T134" s="11">
        <v>1</v>
      </c>
      <c r="U134" s="11" t="s">
        <v>326</v>
      </c>
      <c r="V134" s="11" t="s">
        <v>988</v>
      </c>
      <c r="W134" s="11" t="s">
        <v>989</v>
      </c>
      <c r="X134" s="440">
        <v>46017.670138888891</v>
      </c>
      <c r="Y134" s="11"/>
      <c r="Z134" s="11">
        <v>0.3</v>
      </c>
      <c r="AA134" s="11"/>
      <c r="AB134" s="11" t="s">
        <v>329</v>
      </c>
      <c r="AC134" s="266" t="s">
        <v>330</v>
      </c>
      <c r="AD134" s="11" t="s">
        <v>331</v>
      </c>
      <c r="AE134" s="11"/>
      <c r="AF134" s="11"/>
      <c r="AG134" s="11"/>
      <c r="AH134" s="11"/>
      <c r="AI134" s="11"/>
      <c r="AJ134" s="11"/>
      <c r="AK134" s="11" t="s">
        <v>331</v>
      </c>
      <c r="AL134" s="267" t="e">
        <f t="shared" si="8"/>
        <v>#VALUE!</v>
      </c>
      <c r="AM134" s="265">
        <f t="shared" si="9"/>
        <v>46017</v>
      </c>
    </row>
    <row r="135" spans="1:39" ht="21.6" customHeight="1">
      <c r="A135" s="11">
        <v>135</v>
      </c>
      <c r="B135" s="11" t="s">
        <v>362</v>
      </c>
      <c r="C135" s="11">
        <v>2025123490</v>
      </c>
      <c r="D135" s="11" t="s">
        <v>990</v>
      </c>
      <c r="E135" s="11" t="s">
        <v>364</v>
      </c>
      <c r="F135" s="11">
        <v>3358</v>
      </c>
      <c r="G135" s="11" t="s">
        <v>991</v>
      </c>
      <c r="H135" s="11" t="s">
        <v>489</v>
      </c>
      <c r="I135" s="11" t="s">
        <v>992</v>
      </c>
      <c r="J135" s="11" t="s">
        <v>457</v>
      </c>
      <c r="K135" s="11" t="s">
        <v>445</v>
      </c>
      <c r="L135" s="11" t="s">
        <v>368</v>
      </c>
      <c r="M135" s="12" t="s">
        <v>369</v>
      </c>
      <c r="N135" s="11">
        <v>2306</v>
      </c>
      <c r="O135" s="12" t="s">
        <v>424</v>
      </c>
      <c r="P135" s="13" t="s">
        <v>993</v>
      </c>
      <c r="Q135" s="11" t="s">
        <v>994</v>
      </c>
      <c r="R135" s="11" t="s">
        <v>325</v>
      </c>
      <c r="S135" s="11" t="s">
        <v>123</v>
      </c>
      <c r="T135" s="11">
        <v>1</v>
      </c>
      <c r="U135" s="11" t="s">
        <v>326</v>
      </c>
      <c r="V135" s="11" t="s">
        <v>995</v>
      </c>
      <c r="W135" s="11" t="s">
        <v>996</v>
      </c>
      <c r="X135" s="440">
        <v>46018.493055555547</v>
      </c>
      <c r="Y135" s="11" t="s">
        <v>997</v>
      </c>
      <c r="Z135" s="11">
        <v>0.5</v>
      </c>
      <c r="AA135" s="11"/>
      <c r="AB135" s="11" t="s">
        <v>329</v>
      </c>
      <c r="AC135" s="266" t="s">
        <v>998</v>
      </c>
      <c r="AD135" s="11"/>
      <c r="AE135" s="11"/>
      <c r="AF135" s="11"/>
      <c r="AG135" s="11"/>
      <c r="AH135" s="11"/>
      <c r="AI135" s="11"/>
      <c r="AJ135" s="11"/>
      <c r="AK135" s="11" t="s">
        <v>331</v>
      </c>
      <c r="AL135" s="267">
        <f t="shared" si="8"/>
        <v>46018</v>
      </c>
      <c r="AM135" s="265">
        <f t="shared" si="9"/>
        <v>46018</v>
      </c>
    </row>
    <row r="136" spans="1:39" ht="21.6" customHeight="1">
      <c r="A136" s="11">
        <v>136</v>
      </c>
      <c r="B136" s="11" t="s">
        <v>362</v>
      </c>
      <c r="C136" s="11">
        <v>2025123491</v>
      </c>
      <c r="D136" s="11" t="s">
        <v>999</v>
      </c>
      <c r="E136" s="11" t="s">
        <v>474</v>
      </c>
      <c r="F136" s="11">
        <v>3358</v>
      </c>
      <c r="G136" s="11" t="s">
        <v>991</v>
      </c>
      <c r="H136" s="11" t="s">
        <v>489</v>
      </c>
      <c r="I136" s="11" t="s">
        <v>1000</v>
      </c>
      <c r="J136" s="11" t="s">
        <v>457</v>
      </c>
      <c r="K136" s="11" t="s">
        <v>445</v>
      </c>
      <c r="L136" s="11" t="s">
        <v>368</v>
      </c>
      <c r="M136" s="12" t="s">
        <v>369</v>
      </c>
      <c r="N136" s="11">
        <v>2306</v>
      </c>
      <c r="O136" s="12" t="s">
        <v>424</v>
      </c>
      <c r="P136" s="13" t="s">
        <v>1001</v>
      </c>
      <c r="Q136" s="11" t="s">
        <v>994</v>
      </c>
      <c r="R136" s="11" t="s">
        <v>325</v>
      </c>
      <c r="S136" s="11" t="s">
        <v>123</v>
      </c>
      <c r="T136" s="11">
        <v>1</v>
      </c>
      <c r="U136" s="11" t="s">
        <v>326</v>
      </c>
      <c r="V136" s="11" t="s">
        <v>1002</v>
      </c>
      <c r="W136" s="11" t="s">
        <v>996</v>
      </c>
      <c r="X136" s="440">
        <v>46018.493055555547</v>
      </c>
      <c r="Y136" s="11" t="s">
        <v>1003</v>
      </c>
      <c r="Z136" s="11">
        <v>0.5</v>
      </c>
      <c r="AA136" s="11"/>
      <c r="AB136" s="11" t="s">
        <v>329</v>
      </c>
      <c r="AC136" s="266" t="s">
        <v>1004</v>
      </c>
      <c r="AD136" s="11"/>
      <c r="AE136" s="11"/>
      <c r="AF136" s="11"/>
      <c r="AG136" s="11"/>
      <c r="AH136" s="11"/>
      <c r="AI136" s="11"/>
      <c r="AJ136" s="11"/>
      <c r="AK136" s="11" t="s">
        <v>331</v>
      </c>
      <c r="AL136" s="267">
        <f t="shared" si="8"/>
        <v>46018</v>
      </c>
      <c r="AM136" s="265">
        <f t="shared" si="9"/>
        <v>46018</v>
      </c>
    </row>
    <row r="137" spans="1:39" ht="21.6" customHeight="1">
      <c r="A137" s="11">
        <v>137</v>
      </c>
      <c r="B137" s="11" t="s">
        <v>362</v>
      </c>
      <c r="C137" s="11">
        <v>2025123518</v>
      </c>
      <c r="D137" s="11" t="s">
        <v>1005</v>
      </c>
      <c r="E137" s="11" t="s">
        <v>364</v>
      </c>
      <c r="F137" s="11">
        <v>4144</v>
      </c>
      <c r="G137" s="11" t="s">
        <v>1006</v>
      </c>
      <c r="H137" s="11" t="s">
        <v>489</v>
      </c>
      <c r="I137" s="11" t="s">
        <v>1007</v>
      </c>
      <c r="J137" s="11" t="s">
        <v>491</v>
      </c>
      <c r="K137" s="11" t="s">
        <v>445</v>
      </c>
      <c r="L137" s="11" t="s">
        <v>1008</v>
      </c>
      <c r="M137" s="12" t="s">
        <v>1009</v>
      </c>
      <c r="N137" s="11">
        <v>5801</v>
      </c>
      <c r="O137" s="12" t="s">
        <v>1010</v>
      </c>
      <c r="P137" s="13" t="s">
        <v>1011</v>
      </c>
      <c r="Q137" s="11" t="s">
        <v>1012</v>
      </c>
      <c r="R137" s="11" t="s">
        <v>325</v>
      </c>
      <c r="S137" s="11" t="s">
        <v>123</v>
      </c>
      <c r="T137" s="11">
        <v>1</v>
      </c>
      <c r="U137" s="11" t="s">
        <v>326</v>
      </c>
      <c r="V137" s="11" t="s">
        <v>1013</v>
      </c>
      <c r="W137" s="11" t="s">
        <v>1014</v>
      </c>
      <c r="X137" s="440">
        <v>46020.604166666657</v>
      </c>
      <c r="Y137" s="11" t="s">
        <v>1015</v>
      </c>
      <c r="Z137" s="11">
        <v>1</v>
      </c>
      <c r="AA137" s="11"/>
      <c r="AB137" s="11" t="s">
        <v>329</v>
      </c>
      <c r="AC137" s="266" t="s">
        <v>1016</v>
      </c>
      <c r="AD137" s="11"/>
      <c r="AE137" s="11"/>
      <c r="AF137" s="11"/>
      <c r="AG137" s="11"/>
      <c r="AH137" s="11"/>
      <c r="AI137" s="11"/>
      <c r="AJ137" s="11"/>
      <c r="AK137" s="11" t="s">
        <v>331</v>
      </c>
      <c r="AL137" s="267">
        <f t="shared" si="8"/>
        <v>46020</v>
      </c>
      <c r="AM137" s="265">
        <f t="shared" si="9"/>
        <v>46020</v>
      </c>
    </row>
    <row r="138" spans="1:39" ht="21.6" customHeight="1">
      <c r="A138" s="11">
        <v>138</v>
      </c>
      <c r="B138" s="11" t="s">
        <v>321</v>
      </c>
      <c r="C138" s="11">
        <v>2025123519</v>
      </c>
      <c r="D138" s="11"/>
      <c r="E138" s="11"/>
      <c r="F138" s="11">
        <v>2995</v>
      </c>
      <c r="G138" s="11" t="s">
        <v>1017</v>
      </c>
      <c r="H138" s="11" t="s">
        <v>395</v>
      </c>
      <c r="I138" s="11"/>
      <c r="J138" s="11"/>
      <c r="K138" s="11"/>
      <c r="L138" s="11"/>
      <c r="M138" s="12"/>
      <c r="N138" s="11"/>
      <c r="O138" s="12"/>
      <c r="P138" s="13"/>
      <c r="Q138" s="11" t="s">
        <v>1018</v>
      </c>
      <c r="R138" s="11" t="s">
        <v>325</v>
      </c>
      <c r="S138" s="11" t="s">
        <v>128</v>
      </c>
      <c r="T138" s="11">
        <v>1</v>
      </c>
      <c r="U138" s="11" t="s">
        <v>326</v>
      </c>
      <c r="V138" s="11" t="s">
        <v>1019</v>
      </c>
      <c r="W138" s="11" t="s">
        <v>1020</v>
      </c>
      <c r="X138" s="440">
        <v>46020.407638888893</v>
      </c>
      <c r="Y138" s="11"/>
      <c r="Z138" s="11">
        <v>0.8</v>
      </c>
      <c r="AA138" s="11"/>
      <c r="AB138" s="11" t="s">
        <v>329</v>
      </c>
      <c r="AC138" s="266" t="s">
        <v>330</v>
      </c>
      <c r="AD138" s="11" t="s">
        <v>331</v>
      </c>
      <c r="AE138" s="11"/>
      <c r="AF138" s="11"/>
      <c r="AG138" s="11"/>
      <c r="AH138" s="11"/>
      <c r="AI138" s="11"/>
      <c r="AJ138" s="11"/>
      <c r="AK138" s="11" t="s">
        <v>331</v>
      </c>
      <c r="AL138" s="267" t="e">
        <f t="shared" si="8"/>
        <v>#VALUE!</v>
      </c>
      <c r="AM138" s="265">
        <f t="shared" si="9"/>
        <v>46020</v>
      </c>
    </row>
    <row r="139" spans="1:39" ht="21.6" customHeight="1">
      <c r="A139" s="11">
        <v>139</v>
      </c>
      <c r="B139" s="11" t="s">
        <v>321</v>
      </c>
      <c r="C139" s="11">
        <v>2025123523</v>
      </c>
      <c r="D139" s="11"/>
      <c r="E139" s="11"/>
      <c r="F139" s="11">
        <v>4406</v>
      </c>
      <c r="G139" s="11" t="s">
        <v>1021</v>
      </c>
      <c r="H139" s="11" t="s">
        <v>395</v>
      </c>
      <c r="I139" s="11"/>
      <c r="J139" s="11"/>
      <c r="K139" s="11"/>
      <c r="L139" s="11"/>
      <c r="M139" s="12"/>
      <c r="N139" s="11"/>
      <c r="O139" s="12"/>
      <c r="P139" s="13"/>
      <c r="Q139" s="11" t="s">
        <v>1022</v>
      </c>
      <c r="R139" s="11" t="s">
        <v>325</v>
      </c>
      <c r="S139" s="11" t="s">
        <v>128</v>
      </c>
      <c r="T139" s="11">
        <v>1</v>
      </c>
      <c r="U139" s="11" t="s">
        <v>326</v>
      </c>
      <c r="V139" s="11" t="s">
        <v>1023</v>
      </c>
      <c r="W139" s="11" t="s">
        <v>1024</v>
      </c>
      <c r="X139" s="440">
        <v>46020.420138888891</v>
      </c>
      <c r="Y139" s="11"/>
      <c r="Z139" s="11">
        <v>0.3</v>
      </c>
      <c r="AA139" s="11"/>
      <c r="AB139" s="11" t="s">
        <v>329</v>
      </c>
      <c r="AC139" s="266" t="s">
        <v>330</v>
      </c>
      <c r="AD139" s="11" t="s">
        <v>331</v>
      </c>
      <c r="AE139" s="11"/>
      <c r="AF139" s="11"/>
      <c r="AG139" s="11"/>
      <c r="AH139" s="11"/>
      <c r="AI139" s="11"/>
      <c r="AJ139" s="11"/>
      <c r="AK139" s="11" t="s">
        <v>331</v>
      </c>
      <c r="AL139" s="267" t="e">
        <f t="shared" si="8"/>
        <v>#VALUE!</v>
      </c>
      <c r="AM139" s="265">
        <f t="shared" si="9"/>
        <v>46020</v>
      </c>
    </row>
    <row r="140" spans="1:39" ht="21.6" customHeight="1">
      <c r="A140" s="11">
        <v>140</v>
      </c>
      <c r="B140" s="11" t="s">
        <v>321</v>
      </c>
      <c r="C140" s="11">
        <v>2025123529</v>
      </c>
      <c r="D140" s="11"/>
      <c r="E140" s="11"/>
      <c r="F140" s="11" t="s">
        <v>79</v>
      </c>
      <c r="G140" s="11" t="s">
        <v>1025</v>
      </c>
      <c r="H140" s="11" t="s">
        <v>395</v>
      </c>
      <c r="I140" s="11"/>
      <c r="J140" s="11"/>
      <c r="K140" s="11"/>
      <c r="L140" s="11"/>
      <c r="M140" s="12"/>
      <c r="N140" s="11"/>
      <c r="O140" s="12"/>
      <c r="P140" s="13"/>
      <c r="Q140" s="11" t="s">
        <v>1026</v>
      </c>
      <c r="R140" s="11" t="s">
        <v>325</v>
      </c>
      <c r="S140" s="11" t="s">
        <v>128</v>
      </c>
      <c r="T140" s="11">
        <v>1</v>
      </c>
      <c r="U140" s="11" t="s">
        <v>326</v>
      </c>
      <c r="V140" s="11" t="s">
        <v>1027</v>
      </c>
      <c r="W140" s="11" t="s">
        <v>1028</v>
      </c>
      <c r="X140" s="440">
        <v>46020.4375</v>
      </c>
      <c r="Y140" s="11"/>
      <c r="Z140" s="11">
        <v>0.3</v>
      </c>
      <c r="AA140" s="11"/>
      <c r="AB140" s="11" t="s">
        <v>329</v>
      </c>
      <c r="AC140" s="266" t="s">
        <v>340</v>
      </c>
      <c r="AD140" s="11" t="s">
        <v>331</v>
      </c>
      <c r="AE140" s="11"/>
      <c r="AF140" s="11"/>
      <c r="AG140" s="11"/>
      <c r="AH140" s="11"/>
      <c r="AI140" s="11"/>
      <c r="AJ140" s="11"/>
      <c r="AK140" s="11" t="s">
        <v>331</v>
      </c>
      <c r="AL140" s="267" t="e">
        <f t="shared" si="8"/>
        <v>#VALUE!</v>
      </c>
      <c r="AM140" s="265">
        <f t="shared" si="9"/>
        <v>46020</v>
      </c>
    </row>
    <row r="141" spans="1:39" ht="21.6" customHeight="1">
      <c r="A141" s="11">
        <v>141</v>
      </c>
      <c r="B141" s="11" t="s">
        <v>321</v>
      </c>
      <c r="C141" s="11">
        <v>2025123536</v>
      </c>
      <c r="D141" s="11"/>
      <c r="E141" s="11"/>
      <c r="F141" s="11">
        <v>3147</v>
      </c>
      <c r="G141" s="11" t="s">
        <v>862</v>
      </c>
      <c r="H141" s="11" t="s">
        <v>395</v>
      </c>
      <c r="I141" s="11"/>
      <c r="J141" s="11"/>
      <c r="K141" s="11"/>
      <c r="L141" s="11"/>
      <c r="M141" s="12"/>
      <c r="N141" s="11"/>
      <c r="O141" s="12"/>
      <c r="P141" s="13"/>
      <c r="Q141" s="11" t="s">
        <v>868</v>
      </c>
      <c r="R141" s="11" t="s">
        <v>325</v>
      </c>
      <c r="S141" s="11" t="s">
        <v>128</v>
      </c>
      <c r="T141" s="11">
        <v>1</v>
      </c>
      <c r="U141" s="11" t="s">
        <v>326</v>
      </c>
      <c r="V141" s="11" t="s">
        <v>1029</v>
      </c>
      <c r="W141" s="11" t="s">
        <v>1030</v>
      </c>
      <c r="X141" s="440">
        <v>46020.458333333343</v>
      </c>
      <c r="Y141" s="11"/>
      <c r="Z141" s="11">
        <v>0.3</v>
      </c>
      <c r="AA141" s="11"/>
      <c r="AB141" s="11" t="s">
        <v>329</v>
      </c>
      <c r="AC141" s="266" t="s">
        <v>330</v>
      </c>
      <c r="AD141" s="11" t="s">
        <v>331</v>
      </c>
      <c r="AE141" s="11"/>
      <c r="AF141" s="11"/>
      <c r="AG141" s="11"/>
      <c r="AH141" s="11"/>
      <c r="AI141" s="11"/>
      <c r="AJ141" s="11"/>
      <c r="AK141" s="11" t="s">
        <v>331</v>
      </c>
      <c r="AL141" s="267" t="e">
        <f t="shared" si="8"/>
        <v>#VALUE!</v>
      </c>
      <c r="AM141" s="265">
        <f t="shared" si="9"/>
        <v>46020</v>
      </c>
    </row>
    <row r="142" spans="1:39" ht="21.6" customHeight="1">
      <c r="A142" s="11">
        <v>142</v>
      </c>
      <c r="B142" s="11" t="s">
        <v>321</v>
      </c>
      <c r="C142" s="11">
        <v>2025123538</v>
      </c>
      <c r="D142" s="11"/>
      <c r="E142" s="11"/>
      <c r="F142" s="11">
        <v>2224</v>
      </c>
      <c r="G142" s="11" t="s">
        <v>1031</v>
      </c>
      <c r="H142" s="11" t="s">
        <v>395</v>
      </c>
      <c r="I142" s="11"/>
      <c r="J142" s="11"/>
      <c r="K142" s="11"/>
      <c r="L142" s="11"/>
      <c r="M142" s="12"/>
      <c r="N142" s="11"/>
      <c r="O142" s="12"/>
      <c r="P142" s="13"/>
      <c r="Q142" s="11" t="s">
        <v>1032</v>
      </c>
      <c r="R142" s="11" t="s">
        <v>325</v>
      </c>
      <c r="S142" s="11" t="s">
        <v>128</v>
      </c>
      <c r="T142" s="11">
        <v>1</v>
      </c>
      <c r="U142" s="11" t="s">
        <v>326</v>
      </c>
      <c r="V142" s="11" t="s">
        <v>1033</v>
      </c>
      <c r="W142" s="11" t="s">
        <v>1034</v>
      </c>
      <c r="X142" s="440">
        <v>46020.475694444453</v>
      </c>
      <c r="Y142" s="11"/>
      <c r="Z142" s="11">
        <v>0.3</v>
      </c>
      <c r="AA142" s="11"/>
      <c r="AB142" s="11" t="s">
        <v>329</v>
      </c>
      <c r="AC142" s="266" t="s">
        <v>330</v>
      </c>
      <c r="AD142" s="11" t="s">
        <v>331</v>
      </c>
      <c r="AE142" s="11"/>
      <c r="AF142" s="11"/>
      <c r="AG142" s="11"/>
      <c r="AH142" s="11"/>
      <c r="AI142" s="11"/>
      <c r="AJ142" s="11"/>
      <c r="AK142" s="11" t="s">
        <v>331</v>
      </c>
      <c r="AL142" s="267" t="e">
        <f t="shared" si="8"/>
        <v>#VALUE!</v>
      </c>
      <c r="AM142" s="265">
        <f t="shared" si="9"/>
        <v>46020</v>
      </c>
    </row>
    <row r="143" spans="1:39" ht="21.6" customHeight="1">
      <c r="A143" s="11">
        <v>143</v>
      </c>
      <c r="B143" s="11" t="s">
        <v>321</v>
      </c>
      <c r="C143" s="11">
        <v>2025123542</v>
      </c>
      <c r="D143" s="11"/>
      <c r="E143" s="11"/>
      <c r="F143" s="11" t="s">
        <v>78</v>
      </c>
      <c r="G143" s="11" t="s">
        <v>1035</v>
      </c>
      <c r="H143" s="11" t="s">
        <v>395</v>
      </c>
      <c r="I143" s="11"/>
      <c r="J143" s="11"/>
      <c r="K143" s="11"/>
      <c r="L143" s="11"/>
      <c r="M143" s="12"/>
      <c r="N143" s="11"/>
      <c r="O143" s="12"/>
      <c r="P143" s="13"/>
      <c r="Q143" s="11" t="s">
        <v>1036</v>
      </c>
      <c r="R143" s="11" t="s">
        <v>325</v>
      </c>
      <c r="S143" s="11" t="s">
        <v>128</v>
      </c>
      <c r="T143" s="11">
        <v>1</v>
      </c>
      <c r="U143" s="11" t="s">
        <v>326</v>
      </c>
      <c r="V143" s="11" t="s">
        <v>1037</v>
      </c>
      <c r="W143" s="11" t="s">
        <v>1038</v>
      </c>
      <c r="X143" s="440">
        <v>46020.493055555547</v>
      </c>
      <c r="Y143" s="11"/>
      <c r="Z143" s="11">
        <v>0.3</v>
      </c>
      <c r="AA143" s="11"/>
      <c r="AB143" s="11" t="s">
        <v>329</v>
      </c>
      <c r="AC143" s="266" t="s">
        <v>330</v>
      </c>
      <c r="AD143" s="11" t="s">
        <v>331</v>
      </c>
      <c r="AE143" s="11"/>
      <c r="AF143" s="11"/>
      <c r="AG143" s="11"/>
      <c r="AH143" s="11"/>
      <c r="AI143" s="11"/>
      <c r="AJ143" s="11"/>
      <c r="AK143" s="11" t="s">
        <v>331</v>
      </c>
      <c r="AL143" s="267" t="e">
        <f t="shared" si="8"/>
        <v>#VALUE!</v>
      </c>
      <c r="AM143" s="265">
        <f t="shared" si="9"/>
        <v>46020</v>
      </c>
    </row>
    <row r="144" spans="1:39" ht="21.6" customHeight="1">
      <c r="A144" s="11">
        <v>144</v>
      </c>
      <c r="B144" s="11" t="s">
        <v>321</v>
      </c>
      <c r="C144" s="11">
        <v>2025123544</v>
      </c>
      <c r="D144" s="11"/>
      <c r="E144" s="11"/>
      <c r="F144" s="11">
        <v>3965</v>
      </c>
      <c r="G144" s="11" t="s">
        <v>1039</v>
      </c>
      <c r="H144" s="11" t="s">
        <v>395</v>
      </c>
      <c r="I144" s="11"/>
      <c r="J144" s="11"/>
      <c r="K144" s="11"/>
      <c r="L144" s="11"/>
      <c r="M144" s="12"/>
      <c r="N144" s="11"/>
      <c r="O144" s="12"/>
      <c r="P144" s="13"/>
      <c r="Q144" s="11" t="s">
        <v>1040</v>
      </c>
      <c r="R144" s="11" t="s">
        <v>325</v>
      </c>
      <c r="S144" s="11" t="s">
        <v>128</v>
      </c>
      <c r="T144" s="11">
        <v>1</v>
      </c>
      <c r="U144" s="11" t="s">
        <v>326</v>
      </c>
      <c r="V144" s="11" t="s">
        <v>1041</v>
      </c>
      <c r="W144" s="11" t="s">
        <v>1042</v>
      </c>
      <c r="X144" s="440">
        <v>46020.513194444437</v>
      </c>
      <c r="Y144" s="11"/>
      <c r="Z144" s="11">
        <v>0.3</v>
      </c>
      <c r="AA144" s="11"/>
      <c r="AB144" s="11" t="s">
        <v>329</v>
      </c>
      <c r="AC144" s="266" t="s">
        <v>330</v>
      </c>
      <c r="AD144" s="11" t="s">
        <v>331</v>
      </c>
      <c r="AE144" s="11"/>
      <c r="AF144" s="11"/>
      <c r="AG144" s="11"/>
      <c r="AH144" s="11"/>
      <c r="AI144" s="11"/>
      <c r="AJ144" s="11"/>
      <c r="AK144" s="11" t="s">
        <v>331</v>
      </c>
      <c r="AL144" s="267" t="e">
        <f t="shared" si="8"/>
        <v>#VALUE!</v>
      </c>
      <c r="AM144" s="265">
        <f t="shared" si="9"/>
        <v>46020</v>
      </c>
    </row>
    <row r="145" spans="1:39" ht="21.6" customHeight="1">
      <c r="A145" s="11">
        <v>145</v>
      </c>
      <c r="B145" s="11" t="s">
        <v>362</v>
      </c>
      <c r="C145" s="11">
        <v>2025123548</v>
      </c>
      <c r="D145" s="11" t="s">
        <v>1043</v>
      </c>
      <c r="E145" s="11" t="s">
        <v>364</v>
      </c>
      <c r="F145" s="11">
        <v>4196</v>
      </c>
      <c r="G145" s="11" t="s">
        <v>175</v>
      </c>
      <c r="H145" s="11" t="s">
        <v>357</v>
      </c>
      <c r="I145" s="11" t="s">
        <v>1044</v>
      </c>
      <c r="J145" s="11" t="s">
        <v>491</v>
      </c>
      <c r="K145" s="11" t="s">
        <v>199</v>
      </c>
      <c r="L145" s="11" t="s">
        <v>368</v>
      </c>
      <c r="M145" s="12" t="s">
        <v>369</v>
      </c>
      <c r="N145" s="11">
        <v>2307</v>
      </c>
      <c r="O145" s="12" t="s">
        <v>384</v>
      </c>
      <c r="P145" s="13" t="s">
        <v>1045</v>
      </c>
      <c r="Q145" s="11" t="s">
        <v>917</v>
      </c>
      <c r="R145" s="11" t="s">
        <v>325</v>
      </c>
      <c r="S145" s="11" t="s">
        <v>128</v>
      </c>
      <c r="T145" s="11">
        <v>1</v>
      </c>
      <c r="U145" s="11" t="s">
        <v>326</v>
      </c>
      <c r="V145" s="11" t="s">
        <v>1046</v>
      </c>
      <c r="W145" s="11" t="s">
        <v>1047</v>
      </c>
      <c r="X145" s="440">
        <v>46021.666666666657</v>
      </c>
      <c r="Y145" s="11" t="s">
        <v>1048</v>
      </c>
      <c r="Z145" s="11">
        <v>0.5</v>
      </c>
      <c r="AA145" s="11"/>
      <c r="AB145" s="11" t="s">
        <v>1049</v>
      </c>
      <c r="AC145" s="266" t="s">
        <v>454</v>
      </c>
      <c r="AD145" s="11"/>
      <c r="AE145" s="11"/>
      <c r="AF145" s="11"/>
      <c r="AG145" s="11"/>
      <c r="AH145" s="11"/>
      <c r="AI145" s="11"/>
      <c r="AJ145" s="11"/>
      <c r="AK145" s="11" t="s">
        <v>331</v>
      </c>
      <c r="AL145" s="267">
        <f t="shared" si="8"/>
        <v>46020</v>
      </c>
      <c r="AM145" s="265">
        <f t="shared" si="9"/>
        <v>46021</v>
      </c>
    </row>
    <row r="146" spans="1:39" ht="21.6" customHeight="1">
      <c r="A146" s="11">
        <v>146</v>
      </c>
      <c r="B146" s="11" t="s">
        <v>362</v>
      </c>
      <c r="C146" s="11">
        <v>2025123549</v>
      </c>
      <c r="D146" s="11" t="s">
        <v>1050</v>
      </c>
      <c r="E146" s="11" t="s">
        <v>364</v>
      </c>
      <c r="F146" s="11">
        <v>4196</v>
      </c>
      <c r="G146" s="11" t="s">
        <v>175</v>
      </c>
      <c r="H146" s="11" t="s">
        <v>357</v>
      </c>
      <c r="I146" s="11" t="s">
        <v>1051</v>
      </c>
      <c r="J146" s="11" t="s">
        <v>491</v>
      </c>
      <c r="K146" s="11" t="s">
        <v>199</v>
      </c>
      <c r="L146" s="11" t="s">
        <v>368</v>
      </c>
      <c r="M146" s="12" t="s">
        <v>369</v>
      </c>
      <c r="N146" s="11">
        <v>2307</v>
      </c>
      <c r="O146" s="12" t="s">
        <v>384</v>
      </c>
      <c r="P146" s="13" t="s">
        <v>1052</v>
      </c>
      <c r="Q146" s="11" t="s">
        <v>917</v>
      </c>
      <c r="R146" s="11" t="s">
        <v>325</v>
      </c>
      <c r="S146" s="11" t="s">
        <v>128</v>
      </c>
      <c r="T146" s="11">
        <v>1</v>
      </c>
      <c r="U146" s="11" t="s">
        <v>326</v>
      </c>
      <c r="V146" s="11" t="s">
        <v>1053</v>
      </c>
      <c r="W146" s="11" t="s">
        <v>1047</v>
      </c>
      <c r="X146" s="440">
        <v>46021.666666666657</v>
      </c>
      <c r="Y146" s="11" t="s">
        <v>1054</v>
      </c>
      <c r="Z146" s="11">
        <v>0.5</v>
      </c>
      <c r="AA146" s="11"/>
      <c r="AB146" s="11" t="s">
        <v>1049</v>
      </c>
      <c r="AC146" s="266" t="s">
        <v>454</v>
      </c>
      <c r="AD146" s="11"/>
      <c r="AE146" s="11"/>
      <c r="AF146" s="11"/>
      <c r="AG146" s="11"/>
      <c r="AH146" s="11"/>
      <c r="AI146" s="11"/>
      <c r="AJ146" s="11"/>
      <c r="AK146" s="11" t="s">
        <v>331</v>
      </c>
      <c r="AL146" s="267">
        <f t="shared" si="8"/>
        <v>46020</v>
      </c>
      <c r="AM146" s="265">
        <f t="shared" si="9"/>
        <v>46021</v>
      </c>
    </row>
    <row r="147" spans="1:39" ht="21.6" customHeight="1">
      <c r="A147" s="11">
        <v>147</v>
      </c>
      <c r="B147" s="11" t="s">
        <v>362</v>
      </c>
      <c r="C147" s="11">
        <v>2025123552</v>
      </c>
      <c r="D147" s="11" t="s">
        <v>1055</v>
      </c>
      <c r="E147" s="11" t="s">
        <v>364</v>
      </c>
      <c r="F147" s="11">
        <v>2302</v>
      </c>
      <c r="G147" s="11" t="s">
        <v>665</v>
      </c>
      <c r="H147" s="11" t="s">
        <v>357</v>
      </c>
      <c r="I147" s="11" t="s">
        <v>1056</v>
      </c>
      <c r="J147" s="11" t="s">
        <v>491</v>
      </c>
      <c r="K147" s="11" t="s">
        <v>199</v>
      </c>
      <c r="L147" s="11" t="s">
        <v>397</v>
      </c>
      <c r="M147" s="12" t="s">
        <v>398</v>
      </c>
      <c r="N147" s="11" t="s">
        <v>399</v>
      </c>
      <c r="O147" s="12" t="s">
        <v>400</v>
      </c>
      <c r="P147" s="13" t="s">
        <v>1057</v>
      </c>
      <c r="Q147" s="11" t="s">
        <v>666</v>
      </c>
      <c r="R147" s="11" t="s">
        <v>325</v>
      </c>
      <c r="S147" s="11" t="s">
        <v>128</v>
      </c>
      <c r="T147" s="11">
        <v>1</v>
      </c>
      <c r="U147" s="11" t="s">
        <v>326</v>
      </c>
      <c r="V147" s="11" t="s">
        <v>1058</v>
      </c>
      <c r="W147" s="11" t="s">
        <v>1059</v>
      </c>
      <c r="X147" s="440">
        <v>46021.565972222219</v>
      </c>
      <c r="Y147" s="11" t="s">
        <v>1060</v>
      </c>
      <c r="Z147" s="11">
        <v>0.9</v>
      </c>
      <c r="AA147" s="11"/>
      <c r="AB147" s="11" t="s">
        <v>329</v>
      </c>
      <c r="AC147" s="266" t="s">
        <v>1061</v>
      </c>
      <c r="AD147" s="11"/>
      <c r="AE147" s="11"/>
      <c r="AF147" s="11"/>
      <c r="AG147" s="11"/>
      <c r="AH147" s="11"/>
      <c r="AI147" s="11"/>
      <c r="AJ147" s="11"/>
      <c r="AK147" s="11" t="s">
        <v>331</v>
      </c>
      <c r="AL147" s="267">
        <f t="shared" si="8"/>
        <v>46020</v>
      </c>
      <c r="AM147" s="265">
        <f t="shared" si="9"/>
        <v>46021</v>
      </c>
    </row>
    <row r="148" spans="1:39" ht="21.6" customHeight="1">
      <c r="A148" s="11">
        <v>148</v>
      </c>
      <c r="B148" s="11" t="s">
        <v>321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489</v>
      </c>
      <c r="I148" s="11"/>
      <c r="J148" s="11"/>
      <c r="K148" s="11"/>
      <c r="L148" s="11"/>
      <c r="M148" s="12"/>
      <c r="N148" s="11"/>
      <c r="O148" s="12"/>
      <c r="P148" s="13"/>
      <c r="Q148" s="11" t="s">
        <v>1062</v>
      </c>
      <c r="R148" s="11" t="s">
        <v>325</v>
      </c>
      <c r="S148" s="11" t="s">
        <v>123</v>
      </c>
      <c r="T148" s="11">
        <v>1</v>
      </c>
      <c r="U148" s="11" t="s">
        <v>326</v>
      </c>
      <c r="V148" s="11" t="s">
        <v>1063</v>
      </c>
      <c r="W148" s="11" t="s">
        <v>1064</v>
      </c>
      <c r="X148" s="440">
        <v>46020.5625</v>
      </c>
      <c r="Y148" s="11"/>
      <c r="Z148" s="11">
        <v>2.5</v>
      </c>
      <c r="AA148" s="11"/>
      <c r="AB148" s="11" t="s">
        <v>329</v>
      </c>
      <c r="AC148" s="266" t="s">
        <v>1065</v>
      </c>
      <c r="AD148" s="11"/>
      <c r="AE148" s="11" t="s">
        <v>331</v>
      </c>
      <c r="AF148" s="11"/>
      <c r="AG148" s="11"/>
      <c r="AH148" s="11"/>
      <c r="AI148" s="11"/>
      <c r="AJ148" s="11"/>
      <c r="AK148" s="11" t="s">
        <v>331</v>
      </c>
      <c r="AL148" s="267" t="e">
        <f t="shared" si="8"/>
        <v>#VALUE!</v>
      </c>
      <c r="AM148" s="265">
        <f t="shared" si="9"/>
        <v>46020</v>
      </c>
    </row>
    <row r="149" spans="1:39" ht="21.6" customHeight="1">
      <c r="A149" s="11">
        <v>149</v>
      </c>
      <c r="B149" s="11" t="s">
        <v>321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566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325</v>
      </c>
      <c r="S149" s="11" t="s">
        <v>128</v>
      </c>
      <c r="T149" s="11">
        <v>1</v>
      </c>
      <c r="U149" s="11" t="s">
        <v>326</v>
      </c>
      <c r="V149" s="11" t="s">
        <v>1068</v>
      </c>
      <c r="W149" s="11" t="s">
        <v>1069</v>
      </c>
      <c r="X149" s="440">
        <v>46021.472222222219</v>
      </c>
      <c r="Y149" s="11"/>
      <c r="Z149" s="11">
        <v>0.3</v>
      </c>
      <c r="AA149" s="11"/>
      <c r="AB149" s="11" t="s">
        <v>329</v>
      </c>
      <c r="AC149" s="266" t="s">
        <v>330</v>
      </c>
      <c r="AD149" s="11" t="s">
        <v>331</v>
      </c>
      <c r="AE149" s="11"/>
      <c r="AF149" s="11"/>
      <c r="AG149" s="11"/>
      <c r="AH149" s="11"/>
      <c r="AI149" s="11"/>
      <c r="AJ149" s="11"/>
      <c r="AK149" s="11" t="s">
        <v>331</v>
      </c>
      <c r="AL149" s="267" t="e">
        <f t="shared" si="8"/>
        <v>#VALUE!</v>
      </c>
      <c r="AM149" s="265">
        <f t="shared" si="9"/>
        <v>46021</v>
      </c>
    </row>
    <row r="150" spans="1:39" ht="21.6" customHeight="1">
      <c r="A150" s="11">
        <v>150</v>
      </c>
      <c r="B150" s="11" t="s">
        <v>321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566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325</v>
      </c>
      <c r="S150" s="11" t="s">
        <v>128</v>
      </c>
      <c r="T150" s="11">
        <v>1</v>
      </c>
      <c r="U150" s="11" t="s">
        <v>326</v>
      </c>
      <c r="V150" s="11" t="s">
        <v>1071</v>
      </c>
      <c r="W150" s="11" t="s">
        <v>1072</v>
      </c>
      <c r="X150" s="440">
        <v>46021.5</v>
      </c>
      <c r="Y150" s="11"/>
      <c r="Z150" s="11">
        <v>2</v>
      </c>
      <c r="AA150" s="11"/>
      <c r="AB150" s="11" t="s">
        <v>329</v>
      </c>
      <c r="AC150" s="266" t="s">
        <v>1073</v>
      </c>
      <c r="AD150" s="11"/>
      <c r="AE150" s="11" t="s">
        <v>331</v>
      </c>
      <c r="AF150" s="11"/>
      <c r="AG150" s="11"/>
      <c r="AH150" s="11"/>
      <c r="AI150" s="11"/>
      <c r="AJ150" s="11"/>
      <c r="AK150" s="11" t="s">
        <v>331</v>
      </c>
      <c r="AL150" s="267" t="e">
        <f t="shared" si="8"/>
        <v>#VALUE!</v>
      </c>
      <c r="AM150" s="265">
        <f t="shared" si="9"/>
        <v>46021</v>
      </c>
    </row>
    <row r="151" spans="1:39" ht="21.6" customHeight="1">
      <c r="A151" s="11">
        <v>151</v>
      </c>
      <c r="B151" s="11" t="s">
        <v>321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566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325</v>
      </c>
      <c r="S151" s="11" t="s">
        <v>123</v>
      </c>
      <c r="T151" s="11">
        <v>1</v>
      </c>
      <c r="U151" s="11" t="s">
        <v>326</v>
      </c>
      <c r="V151" s="11" t="s">
        <v>1074</v>
      </c>
      <c r="W151" s="11" t="s">
        <v>1075</v>
      </c>
      <c r="X151" s="440">
        <v>46021.541666666657</v>
      </c>
      <c r="Y151" s="11"/>
      <c r="Z151" s="11">
        <v>4</v>
      </c>
      <c r="AA151" s="11"/>
      <c r="AB151" s="11" t="s">
        <v>329</v>
      </c>
      <c r="AC151" s="266" t="s">
        <v>1076</v>
      </c>
      <c r="AD151" s="11"/>
      <c r="AE151" s="11" t="s">
        <v>331</v>
      </c>
      <c r="AF151" s="11"/>
      <c r="AG151" s="11"/>
      <c r="AH151" s="11"/>
      <c r="AI151" s="11"/>
      <c r="AJ151" s="11"/>
      <c r="AK151" s="11" t="s">
        <v>331</v>
      </c>
      <c r="AL151" s="267" t="e">
        <f t="shared" si="8"/>
        <v>#VALUE!</v>
      </c>
      <c r="AM151" s="265">
        <f t="shared" si="9"/>
        <v>46021</v>
      </c>
    </row>
  </sheetData>
  <autoFilter ref="A1:AM1" xr:uid="{00000000-0009-0000-0000-000004000000}"/>
  <phoneticPr fontId="43" type="noConversion"/>
  <conditionalFormatting sqref="C1">
    <cfRule type="duplicateValues" dxfId="465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283</v>
      </c>
      <c r="B1" s="7" t="s">
        <v>1077</v>
      </c>
      <c r="C1" s="7" t="s">
        <v>1078</v>
      </c>
      <c r="D1" s="7" t="s">
        <v>300</v>
      </c>
      <c r="E1" s="7" t="s">
        <v>301</v>
      </c>
      <c r="F1" s="7" t="s">
        <v>1079</v>
      </c>
      <c r="G1" s="7" t="s">
        <v>1080</v>
      </c>
      <c r="H1" s="7" t="s">
        <v>1081</v>
      </c>
      <c r="I1" s="7" t="s">
        <v>299</v>
      </c>
      <c r="J1" s="7" t="s">
        <v>1082</v>
      </c>
      <c r="K1" s="7" t="s">
        <v>1083</v>
      </c>
      <c r="L1" s="7" t="s">
        <v>1084</v>
      </c>
      <c r="M1" s="7" t="s">
        <v>1085</v>
      </c>
      <c r="N1" s="7" t="s">
        <v>1086</v>
      </c>
      <c r="O1" s="7" t="s">
        <v>1087</v>
      </c>
      <c r="P1" s="7" t="s">
        <v>1088</v>
      </c>
      <c r="Q1" s="7" t="s">
        <v>1089</v>
      </c>
      <c r="R1" s="7" t="s">
        <v>1090</v>
      </c>
      <c r="S1" s="7" t="s">
        <v>312</v>
      </c>
      <c r="T1" s="7" t="s">
        <v>313</v>
      </c>
      <c r="U1" s="7" t="s">
        <v>314</v>
      </c>
      <c r="V1" s="7" t="s">
        <v>315</v>
      </c>
      <c r="W1" s="7" t="s">
        <v>316</v>
      </c>
      <c r="X1" s="7" t="s">
        <v>317</v>
      </c>
      <c r="Y1" s="7" t="s">
        <v>318</v>
      </c>
      <c r="Z1" s="7" t="s">
        <v>1091</v>
      </c>
      <c r="AA1" s="7" t="s">
        <v>319</v>
      </c>
      <c r="AB1" s="7" t="s">
        <v>1092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1093</v>
      </c>
      <c r="E2" s="8" t="s">
        <v>128</v>
      </c>
      <c r="F2" s="8" t="s">
        <v>1094</v>
      </c>
      <c r="G2" s="8" t="s">
        <v>1095</v>
      </c>
      <c r="H2" s="8" t="s">
        <v>1096</v>
      </c>
      <c r="I2" s="8" t="s">
        <v>1097</v>
      </c>
      <c r="J2" s="8" t="s">
        <v>1098</v>
      </c>
      <c r="K2" s="8" t="s">
        <v>1099</v>
      </c>
      <c r="L2" s="10" t="s">
        <v>1100</v>
      </c>
      <c r="M2" s="10" t="s">
        <v>1101</v>
      </c>
      <c r="N2" s="10" t="s">
        <v>128</v>
      </c>
      <c r="O2" s="8" t="s">
        <v>321</v>
      </c>
      <c r="P2" s="8"/>
      <c r="Q2" s="8">
        <v>4675</v>
      </c>
      <c r="R2" s="8">
        <v>32432</v>
      </c>
      <c r="S2" s="8" t="s">
        <v>331</v>
      </c>
      <c r="T2" s="8"/>
      <c r="U2" s="8"/>
      <c r="V2" s="8"/>
      <c r="W2" s="8"/>
      <c r="X2" s="8"/>
      <c r="Y2" s="8"/>
      <c r="Z2" s="10" t="s">
        <v>1102</v>
      </c>
      <c r="AA2" s="8" t="s">
        <v>331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1093</v>
      </c>
      <c r="E3" s="8" t="s">
        <v>128</v>
      </c>
      <c r="F3" s="8" t="s">
        <v>1103</v>
      </c>
      <c r="G3" s="8" t="s">
        <v>1104</v>
      </c>
      <c r="H3" s="8" t="s">
        <v>1105</v>
      </c>
      <c r="I3" s="8" t="s">
        <v>1097</v>
      </c>
      <c r="J3" s="8" t="s">
        <v>1098</v>
      </c>
      <c r="K3" s="8" t="s">
        <v>1099</v>
      </c>
      <c r="L3" s="10" t="s">
        <v>1100</v>
      </c>
      <c r="M3" s="10" t="s">
        <v>1101</v>
      </c>
      <c r="N3" s="10" t="s">
        <v>128</v>
      </c>
      <c r="O3" s="8" t="s">
        <v>1106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1102</v>
      </c>
      <c r="AA3" s="8" t="s">
        <v>331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1093</v>
      </c>
      <c r="E4" s="8" t="s">
        <v>128</v>
      </c>
      <c r="F4" s="8" t="s">
        <v>1107</v>
      </c>
      <c r="G4" s="8" t="s">
        <v>1108</v>
      </c>
      <c r="H4" s="8" t="s">
        <v>1109</v>
      </c>
      <c r="I4" s="8" t="s">
        <v>1110</v>
      </c>
      <c r="J4" s="8" t="s">
        <v>1111</v>
      </c>
      <c r="K4" s="8" t="s">
        <v>1099</v>
      </c>
      <c r="L4" s="10" t="s">
        <v>1112</v>
      </c>
      <c r="M4" s="10" t="s">
        <v>1113</v>
      </c>
      <c r="N4" s="10" t="s">
        <v>128</v>
      </c>
      <c r="O4" s="8" t="s">
        <v>1106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1106</v>
      </c>
      <c r="AA4" s="8" t="s">
        <v>331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1093</v>
      </c>
      <c r="E5" s="8" t="s">
        <v>128</v>
      </c>
      <c r="F5" s="8" t="s">
        <v>1107</v>
      </c>
      <c r="G5" s="8" t="s">
        <v>1114</v>
      </c>
      <c r="H5" s="8" t="s">
        <v>1115</v>
      </c>
      <c r="I5" s="8" t="s">
        <v>1116</v>
      </c>
      <c r="J5" s="8" t="s">
        <v>1111</v>
      </c>
      <c r="K5" s="8" t="s">
        <v>1099</v>
      </c>
      <c r="L5" s="10" t="s">
        <v>1117</v>
      </c>
      <c r="M5" s="10" t="s">
        <v>1118</v>
      </c>
      <c r="N5" s="10"/>
      <c r="O5" s="8" t="s">
        <v>1106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1106</v>
      </c>
      <c r="AA5" s="8" t="s">
        <v>331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1093</v>
      </c>
      <c r="E6" s="8" t="s">
        <v>128</v>
      </c>
      <c r="F6" s="8" t="s">
        <v>1119</v>
      </c>
      <c r="G6" s="8" t="s">
        <v>1120</v>
      </c>
      <c r="H6" s="8" t="s">
        <v>1121</v>
      </c>
      <c r="I6" s="8" t="s">
        <v>1122</v>
      </c>
      <c r="J6" s="8" t="s">
        <v>1111</v>
      </c>
      <c r="K6" s="8" t="s">
        <v>1099</v>
      </c>
      <c r="L6" s="10" t="s">
        <v>1123</v>
      </c>
      <c r="M6" s="10" t="s">
        <v>1124</v>
      </c>
      <c r="N6" s="10" t="s">
        <v>1125</v>
      </c>
      <c r="O6" s="8" t="s">
        <v>321</v>
      </c>
      <c r="P6" s="8"/>
      <c r="Q6" s="8">
        <v>20460</v>
      </c>
      <c r="R6" s="8">
        <v>55673</v>
      </c>
      <c r="S6" s="8" t="s">
        <v>331</v>
      </c>
      <c r="T6" s="8"/>
      <c r="U6" s="8"/>
      <c r="V6" s="8"/>
      <c r="W6" s="8"/>
      <c r="X6" s="8"/>
      <c r="Y6" s="8"/>
      <c r="Z6" s="10" t="s">
        <v>1102</v>
      </c>
      <c r="AA6" s="8" t="s">
        <v>331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1093</v>
      </c>
      <c r="E7" s="8" t="s">
        <v>128</v>
      </c>
      <c r="F7" s="8" t="s">
        <v>1107</v>
      </c>
      <c r="G7" s="8" t="s">
        <v>1126</v>
      </c>
      <c r="H7" s="8" t="s">
        <v>1127</v>
      </c>
      <c r="I7" s="8" t="s">
        <v>1128</v>
      </c>
      <c r="J7" s="8" t="s">
        <v>1111</v>
      </c>
      <c r="K7" s="8" t="s">
        <v>1099</v>
      </c>
      <c r="L7" s="10" t="s">
        <v>1129</v>
      </c>
      <c r="M7" s="10" t="s">
        <v>1130</v>
      </c>
      <c r="N7" s="10" t="s">
        <v>1131</v>
      </c>
      <c r="O7" s="8" t="s">
        <v>1106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1106</v>
      </c>
      <c r="AA7" s="8" t="s">
        <v>331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1093</v>
      </c>
      <c r="E8" s="8" t="s">
        <v>128</v>
      </c>
      <c r="F8" s="8" t="s">
        <v>1103</v>
      </c>
      <c r="G8" s="8" t="s">
        <v>1132</v>
      </c>
      <c r="H8" s="8" t="s">
        <v>1133</v>
      </c>
      <c r="I8" s="8" t="s">
        <v>1134</v>
      </c>
      <c r="J8" s="8" t="s">
        <v>1111</v>
      </c>
      <c r="K8" s="8" t="s">
        <v>1099</v>
      </c>
      <c r="L8" s="10" t="s">
        <v>1135</v>
      </c>
      <c r="M8" s="10" t="s">
        <v>1136</v>
      </c>
      <c r="N8" s="10" t="s">
        <v>128</v>
      </c>
      <c r="O8" s="8" t="s">
        <v>321</v>
      </c>
      <c r="P8" s="8"/>
      <c r="Q8" s="8">
        <v>118</v>
      </c>
      <c r="R8" s="8">
        <v>5316</v>
      </c>
      <c r="S8" s="8" t="s">
        <v>331</v>
      </c>
      <c r="T8" s="8"/>
      <c r="U8" s="8"/>
      <c r="V8" s="8"/>
      <c r="W8" s="8"/>
      <c r="X8" s="8"/>
      <c r="Y8" s="8"/>
      <c r="Z8" s="10" t="s">
        <v>1102</v>
      </c>
      <c r="AA8" s="8" t="s">
        <v>331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1093</v>
      </c>
      <c r="E9" s="8" t="s">
        <v>128</v>
      </c>
      <c r="F9" s="8" t="s">
        <v>1103</v>
      </c>
      <c r="G9" s="8" t="s">
        <v>1137</v>
      </c>
      <c r="H9" s="8" t="s">
        <v>1138</v>
      </c>
      <c r="I9" s="8" t="s">
        <v>1139</v>
      </c>
      <c r="J9" s="8" t="s">
        <v>1140</v>
      </c>
      <c r="K9" s="8" t="s">
        <v>1099</v>
      </c>
      <c r="L9" s="10" t="s">
        <v>1141</v>
      </c>
      <c r="M9" s="10" t="s">
        <v>1142</v>
      </c>
      <c r="N9" s="10" t="s">
        <v>1143</v>
      </c>
      <c r="O9" s="8" t="s">
        <v>321</v>
      </c>
      <c r="P9" s="8"/>
      <c r="Q9" s="8">
        <v>316</v>
      </c>
      <c r="R9" s="8">
        <v>1524</v>
      </c>
      <c r="S9" s="8" t="s">
        <v>331</v>
      </c>
      <c r="T9" s="8"/>
      <c r="U9" s="8"/>
      <c r="V9" s="8"/>
      <c r="W9" s="8"/>
      <c r="X9" s="8"/>
      <c r="Y9" s="8"/>
      <c r="Z9" s="10" t="s">
        <v>1102</v>
      </c>
      <c r="AA9" s="8" t="s">
        <v>331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1093</v>
      </c>
      <c r="E10" s="8" t="s">
        <v>128</v>
      </c>
      <c r="F10" s="8" t="s">
        <v>1107</v>
      </c>
      <c r="G10" s="8" t="s">
        <v>1109</v>
      </c>
      <c r="H10" s="8" t="s">
        <v>1144</v>
      </c>
      <c r="I10" s="8" t="s">
        <v>1145</v>
      </c>
      <c r="J10" s="8" t="s">
        <v>1140</v>
      </c>
      <c r="K10" s="8" t="s">
        <v>1099</v>
      </c>
      <c r="L10" s="10" t="s">
        <v>1146</v>
      </c>
      <c r="M10" s="10" t="s">
        <v>1147</v>
      </c>
      <c r="N10" s="10" t="s">
        <v>1131</v>
      </c>
      <c r="O10" s="8" t="s">
        <v>1106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1106</v>
      </c>
      <c r="AA10" s="8" t="s">
        <v>331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1093</v>
      </c>
      <c r="E11" s="8" t="s">
        <v>128</v>
      </c>
      <c r="F11" s="8" t="s">
        <v>1107</v>
      </c>
      <c r="G11" s="8" t="s">
        <v>1148</v>
      </c>
      <c r="H11" s="8" t="s">
        <v>1149</v>
      </c>
      <c r="I11" s="8" t="s">
        <v>1150</v>
      </c>
      <c r="J11" s="8" t="s">
        <v>1140</v>
      </c>
      <c r="K11" s="8" t="s">
        <v>1099</v>
      </c>
      <c r="L11" s="10" t="s">
        <v>1151</v>
      </c>
      <c r="M11" s="10" t="s">
        <v>1152</v>
      </c>
      <c r="N11" s="10" t="s">
        <v>1153</v>
      </c>
      <c r="O11" s="8" t="s">
        <v>321</v>
      </c>
      <c r="P11" s="8"/>
      <c r="Q11" s="8">
        <v>863</v>
      </c>
      <c r="R11" s="8">
        <v>42948</v>
      </c>
      <c r="S11" s="8" t="s">
        <v>331</v>
      </c>
      <c r="T11" s="8"/>
      <c r="U11" s="8"/>
      <c r="V11" s="8"/>
      <c r="W11" s="8"/>
      <c r="X11" s="8"/>
      <c r="Y11" s="8"/>
      <c r="Z11" s="10" t="s">
        <v>1102</v>
      </c>
      <c r="AA11" s="8" t="s">
        <v>331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1093</v>
      </c>
      <c r="E12" s="8" t="s">
        <v>128</v>
      </c>
      <c r="F12" s="8" t="s">
        <v>1154</v>
      </c>
      <c r="G12" s="8" t="s">
        <v>1149</v>
      </c>
      <c r="H12" s="8" t="s">
        <v>1155</v>
      </c>
      <c r="I12" s="8" t="s">
        <v>1156</v>
      </c>
      <c r="J12" s="8" t="s">
        <v>1140</v>
      </c>
      <c r="K12" s="8" t="s">
        <v>1099</v>
      </c>
      <c r="L12" s="10" t="s">
        <v>1157</v>
      </c>
      <c r="M12" s="10" t="s">
        <v>1158</v>
      </c>
      <c r="N12" s="10" t="s">
        <v>128</v>
      </c>
      <c r="O12" s="8" t="s">
        <v>321</v>
      </c>
      <c r="P12" s="8"/>
      <c r="Q12" s="8">
        <v>284</v>
      </c>
      <c r="R12" s="8">
        <v>208</v>
      </c>
      <c r="S12" s="8" t="s">
        <v>331</v>
      </c>
      <c r="T12" s="8"/>
      <c r="U12" s="8"/>
      <c r="V12" s="8"/>
      <c r="W12" s="8"/>
      <c r="X12" s="8"/>
      <c r="Y12" s="8"/>
      <c r="Z12" s="10" t="s">
        <v>1159</v>
      </c>
      <c r="AA12" s="8" t="s">
        <v>331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1093</v>
      </c>
      <c r="E13" s="8" t="s">
        <v>128</v>
      </c>
      <c r="F13" s="8" t="s">
        <v>1107</v>
      </c>
      <c r="G13" s="8" t="s">
        <v>1160</v>
      </c>
      <c r="H13" s="8" t="s">
        <v>1161</v>
      </c>
      <c r="I13" s="8" t="s">
        <v>1162</v>
      </c>
      <c r="J13" s="8" t="s">
        <v>1140</v>
      </c>
      <c r="K13" s="8" t="s">
        <v>1099</v>
      </c>
      <c r="L13" s="10" t="s">
        <v>1163</v>
      </c>
      <c r="M13" s="10" t="s">
        <v>1164</v>
      </c>
      <c r="N13" s="10" t="s">
        <v>1131</v>
      </c>
      <c r="O13" s="8" t="s">
        <v>1106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1106</v>
      </c>
      <c r="AA13" s="8" t="s">
        <v>331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1093</v>
      </c>
      <c r="E14" s="8" t="s">
        <v>128</v>
      </c>
      <c r="F14" s="8" t="s">
        <v>1165</v>
      </c>
      <c r="G14" s="8" t="s">
        <v>1166</v>
      </c>
      <c r="H14" s="8" t="s">
        <v>1167</v>
      </c>
      <c r="I14" s="8" t="s">
        <v>1168</v>
      </c>
      <c r="J14" s="8" t="s">
        <v>1169</v>
      </c>
      <c r="K14" s="8" t="s">
        <v>1099</v>
      </c>
      <c r="L14" s="10" t="s">
        <v>1170</v>
      </c>
      <c r="M14" s="10" t="s">
        <v>1171</v>
      </c>
      <c r="N14" s="10" t="s">
        <v>1172</v>
      </c>
      <c r="O14" s="8" t="s">
        <v>321</v>
      </c>
      <c r="P14" s="8"/>
      <c r="Q14" s="8"/>
      <c r="R14" s="8">
        <v>1475</v>
      </c>
      <c r="S14" s="8" t="s">
        <v>331</v>
      </c>
      <c r="T14" s="8" t="s">
        <v>331</v>
      </c>
      <c r="U14" s="8"/>
      <c r="V14" s="8"/>
      <c r="W14" s="8"/>
      <c r="X14" s="8"/>
      <c r="Y14" s="8"/>
      <c r="Z14" s="10" t="s">
        <v>1173</v>
      </c>
      <c r="AA14" s="8" t="s">
        <v>331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1093</v>
      </c>
      <c r="E15" s="8" t="s">
        <v>128</v>
      </c>
      <c r="F15" s="8" t="s">
        <v>1119</v>
      </c>
      <c r="G15" s="8" t="s">
        <v>1120</v>
      </c>
      <c r="H15" s="8" t="s">
        <v>1174</v>
      </c>
      <c r="I15" s="8" t="s">
        <v>1175</v>
      </c>
      <c r="J15" s="8" t="s">
        <v>1169</v>
      </c>
      <c r="K15" s="8" t="s">
        <v>1099</v>
      </c>
      <c r="L15" s="10" t="s">
        <v>1123</v>
      </c>
      <c r="M15" s="10" t="s">
        <v>1124</v>
      </c>
      <c r="N15" s="10" t="s">
        <v>1176</v>
      </c>
      <c r="O15" s="8" t="s">
        <v>321</v>
      </c>
      <c r="P15" s="8"/>
      <c r="Q15" s="8"/>
      <c r="R15" s="8">
        <v>74663</v>
      </c>
      <c r="S15" s="8" t="s">
        <v>331</v>
      </c>
      <c r="T15" s="8"/>
      <c r="U15" s="8"/>
      <c r="V15" s="8"/>
      <c r="W15" s="8"/>
      <c r="X15" s="8"/>
      <c r="Y15" s="8"/>
      <c r="Z15" s="10" t="s">
        <v>1102</v>
      </c>
      <c r="AA15" s="8" t="s">
        <v>331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1093</v>
      </c>
      <c r="E16" s="8" t="s">
        <v>128</v>
      </c>
      <c r="F16" s="8" t="s">
        <v>1154</v>
      </c>
      <c r="G16" s="8" t="s">
        <v>1177</v>
      </c>
      <c r="H16" s="8" t="s">
        <v>1178</v>
      </c>
      <c r="I16" s="8" t="s">
        <v>1179</v>
      </c>
      <c r="J16" s="8" t="s">
        <v>1169</v>
      </c>
      <c r="K16" s="8" t="s">
        <v>1099</v>
      </c>
      <c r="L16" s="10" t="s">
        <v>1180</v>
      </c>
      <c r="M16" s="10" t="s">
        <v>1181</v>
      </c>
      <c r="N16" s="10" t="s">
        <v>128</v>
      </c>
      <c r="O16" s="8" t="s">
        <v>1106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1102</v>
      </c>
      <c r="AA16" s="8" t="s">
        <v>331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1093</v>
      </c>
      <c r="E17" s="8" t="s">
        <v>128</v>
      </c>
      <c r="F17" s="8" t="s">
        <v>1182</v>
      </c>
      <c r="G17" s="8" t="s">
        <v>1183</v>
      </c>
      <c r="H17" s="8" t="s">
        <v>1184</v>
      </c>
      <c r="I17" s="8" t="s">
        <v>1185</v>
      </c>
      <c r="J17" s="8" t="s">
        <v>1169</v>
      </c>
      <c r="K17" s="8" t="s">
        <v>1099</v>
      </c>
      <c r="L17" s="10" t="s">
        <v>1186</v>
      </c>
      <c r="M17" s="10" t="s">
        <v>1187</v>
      </c>
      <c r="N17" s="10" t="s">
        <v>1188</v>
      </c>
      <c r="O17" s="8" t="s">
        <v>321</v>
      </c>
      <c r="P17" s="8"/>
      <c r="Q17" s="8"/>
      <c r="R17" s="8">
        <v>19974</v>
      </c>
      <c r="S17" s="8" t="s">
        <v>331</v>
      </c>
      <c r="T17" s="8"/>
      <c r="U17" s="8"/>
      <c r="V17" s="8"/>
      <c r="W17" s="8"/>
      <c r="X17" s="8"/>
      <c r="Y17" s="8"/>
      <c r="Z17" s="10" t="s">
        <v>1102</v>
      </c>
      <c r="AA17" s="8" t="s">
        <v>331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1093</v>
      </c>
      <c r="E18" s="8" t="s">
        <v>128</v>
      </c>
      <c r="F18" s="8" t="s">
        <v>1189</v>
      </c>
      <c r="G18" s="8" t="s">
        <v>1190</v>
      </c>
      <c r="H18" s="8" t="s">
        <v>1191</v>
      </c>
      <c r="I18" s="8" t="s">
        <v>1192</v>
      </c>
      <c r="J18" s="8" t="s">
        <v>1193</v>
      </c>
      <c r="K18" s="8" t="s">
        <v>1099</v>
      </c>
      <c r="L18" s="10" t="s">
        <v>1194</v>
      </c>
      <c r="M18" s="10" t="s">
        <v>1195</v>
      </c>
      <c r="N18" s="10" t="s">
        <v>128</v>
      </c>
      <c r="O18" s="8" t="s">
        <v>321</v>
      </c>
      <c r="P18" s="8"/>
      <c r="Q18" s="8"/>
      <c r="R18" s="8">
        <v>47062</v>
      </c>
      <c r="S18" s="8" t="s">
        <v>331</v>
      </c>
      <c r="T18" s="8"/>
      <c r="U18" s="8"/>
      <c r="V18" s="8"/>
      <c r="W18" s="8"/>
      <c r="X18" s="8"/>
      <c r="Y18" s="8"/>
      <c r="Z18" s="10" t="s">
        <v>1102</v>
      </c>
      <c r="AA18" s="8" t="s">
        <v>331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1093</v>
      </c>
      <c r="E19" s="8" t="s">
        <v>128</v>
      </c>
      <c r="F19" s="8" t="s">
        <v>1189</v>
      </c>
      <c r="G19" s="8" t="s">
        <v>1196</v>
      </c>
      <c r="H19" s="8" t="s">
        <v>1197</v>
      </c>
      <c r="I19" s="8" t="s">
        <v>1198</v>
      </c>
      <c r="J19" s="8" t="s">
        <v>1193</v>
      </c>
      <c r="K19" s="8" t="s">
        <v>1099</v>
      </c>
      <c r="L19" s="10" t="s">
        <v>1199</v>
      </c>
      <c r="M19" s="10" t="s">
        <v>1200</v>
      </c>
      <c r="N19" s="10"/>
      <c r="O19" s="8" t="s">
        <v>1106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1102</v>
      </c>
      <c r="AA19" s="8" t="s">
        <v>331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1093</v>
      </c>
      <c r="E20" s="8" t="s">
        <v>128</v>
      </c>
      <c r="F20" s="8" t="s">
        <v>1103</v>
      </c>
      <c r="G20" s="8" t="s">
        <v>1201</v>
      </c>
      <c r="H20" s="8" t="s">
        <v>1202</v>
      </c>
      <c r="I20" s="8" t="s">
        <v>1203</v>
      </c>
      <c r="J20" s="8" t="s">
        <v>1204</v>
      </c>
      <c r="K20" s="8" t="s">
        <v>1099</v>
      </c>
      <c r="L20" s="10" t="s">
        <v>1205</v>
      </c>
      <c r="M20" s="10" t="s">
        <v>1206</v>
      </c>
      <c r="N20" s="10" t="s">
        <v>128</v>
      </c>
      <c r="O20" s="8" t="s">
        <v>321</v>
      </c>
      <c r="P20" s="8"/>
      <c r="Q20" s="8">
        <v>10939</v>
      </c>
      <c r="R20" s="8">
        <v>142908</v>
      </c>
      <c r="S20" s="8" t="s">
        <v>331</v>
      </c>
      <c r="T20" s="8"/>
      <c r="U20" s="8"/>
      <c r="V20" s="8"/>
      <c r="W20" s="8"/>
      <c r="X20" s="8"/>
      <c r="Y20" s="8"/>
      <c r="Z20" s="10" t="s">
        <v>1102</v>
      </c>
      <c r="AA20" s="8" t="s">
        <v>331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1093</v>
      </c>
      <c r="E21" s="8" t="s">
        <v>128</v>
      </c>
      <c r="F21" s="8" t="s">
        <v>1182</v>
      </c>
      <c r="G21" s="8" t="s">
        <v>1207</v>
      </c>
      <c r="H21" s="8" t="s">
        <v>1208</v>
      </c>
      <c r="I21" s="8" t="s">
        <v>1209</v>
      </c>
      <c r="J21" s="8" t="s">
        <v>1204</v>
      </c>
      <c r="K21" s="8" t="s">
        <v>1099</v>
      </c>
      <c r="L21" s="10" t="s">
        <v>1210</v>
      </c>
      <c r="M21" s="10" t="s">
        <v>1211</v>
      </c>
      <c r="N21" s="10" t="s">
        <v>1188</v>
      </c>
      <c r="O21" s="8" t="s">
        <v>321</v>
      </c>
      <c r="P21" s="8"/>
      <c r="Q21" s="8">
        <v>1476</v>
      </c>
      <c r="R21" s="8">
        <v>227221</v>
      </c>
      <c r="S21" s="8" t="s">
        <v>331</v>
      </c>
      <c r="T21" s="8"/>
      <c r="U21" s="8" t="s">
        <v>331</v>
      </c>
      <c r="V21" s="8"/>
      <c r="W21" s="8"/>
      <c r="X21" s="8"/>
      <c r="Y21" s="8"/>
      <c r="Z21" s="10" t="s">
        <v>1212</v>
      </c>
      <c r="AA21" s="8" t="s">
        <v>331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1093</v>
      </c>
      <c r="E22" s="8" t="s">
        <v>128</v>
      </c>
      <c r="F22" s="8" t="s">
        <v>1119</v>
      </c>
      <c r="G22" s="8" t="s">
        <v>1120</v>
      </c>
      <c r="H22" s="8" t="s">
        <v>1174</v>
      </c>
      <c r="I22" s="8" t="s">
        <v>1213</v>
      </c>
      <c r="J22" s="8" t="s">
        <v>1214</v>
      </c>
      <c r="K22" s="8" t="s">
        <v>1099</v>
      </c>
      <c r="L22" s="10" t="s">
        <v>1123</v>
      </c>
      <c r="M22" s="10" t="s">
        <v>1124</v>
      </c>
      <c r="N22" s="10" t="s">
        <v>1215</v>
      </c>
      <c r="O22" s="8" t="s">
        <v>321</v>
      </c>
      <c r="P22" s="8"/>
      <c r="Q22" s="8"/>
      <c r="R22" s="8">
        <v>99261</v>
      </c>
      <c r="S22" s="8" t="s">
        <v>331</v>
      </c>
      <c r="T22" s="8"/>
      <c r="U22" s="8"/>
      <c r="V22" s="8"/>
      <c r="W22" s="8"/>
      <c r="X22" s="8"/>
      <c r="Y22" s="8"/>
      <c r="Z22" s="10" t="s">
        <v>1102</v>
      </c>
      <c r="AA22" s="8" t="s">
        <v>331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1093</v>
      </c>
      <c r="E23" s="8" t="s">
        <v>128</v>
      </c>
      <c r="F23" s="8" t="s">
        <v>1107</v>
      </c>
      <c r="G23" s="8" t="s">
        <v>1196</v>
      </c>
      <c r="H23" s="8" t="s">
        <v>1197</v>
      </c>
      <c r="I23" s="8" t="s">
        <v>1216</v>
      </c>
      <c r="J23" s="8" t="s">
        <v>1217</v>
      </c>
      <c r="K23" s="8" t="s">
        <v>1099</v>
      </c>
      <c r="L23" s="10" t="s">
        <v>1218</v>
      </c>
      <c r="M23" s="10" t="s">
        <v>1219</v>
      </c>
      <c r="N23" s="10" t="s">
        <v>1220</v>
      </c>
      <c r="O23" s="8" t="s">
        <v>321</v>
      </c>
      <c r="P23" s="8"/>
      <c r="Q23" s="8">
        <v>27873</v>
      </c>
      <c r="R23" s="8">
        <v>25109</v>
      </c>
      <c r="S23" s="8" t="s">
        <v>331</v>
      </c>
      <c r="T23" s="8"/>
      <c r="U23" s="8"/>
      <c r="V23" s="8"/>
      <c r="W23" s="8"/>
      <c r="X23" s="8"/>
      <c r="Y23" s="8"/>
      <c r="Z23" s="10" t="s">
        <v>1102</v>
      </c>
      <c r="AA23" s="8" t="s">
        <v>331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1093</v>
      </c>
      <c r="E24" s="8" t="s">
        <v>128</v>
      </c>
      <c r="F24" s="8" t="s">
        <v>1107</v>
      </c>
      <c r="G24" s="8" t="s">
        <v>1221</v>
      </c>
      <c r="H24" s="8" t="s">
        <v>1222</v>
      </c>
      <c r="I24" s="8" t="s">
        <v>1223</v>
      </c>
      <c r="J24" s="8" t="s">
        <v>1217</v>
      </c>
      <c r="K24" s="8" t="s">
        <v>1099</v>
      </c>
      <c r="L24" s="10" t="s">
        <v>1224</v>
      </c>
      <c r="M24" s="10" t="s">
        <v>1225</v>
      </c>
      <c r="N24" s="10" t="s">
        <v>1226</v>
      </c>
      <c r="O24" s="8" t="s">
        <v>321</v>
      </c>
      <c r="P24" s="8"/>
      <c r="Q24" s="8">
        <v>3743</v>
      </c>
      <c r="R24" s="8">
        <v>32238</v>
      </c>
      <c r="S24" s="8" t="s">
        <v>331</v>
      </c>
      <c r="T24" s="8"/>
      <c r="U24" s="8"/>
      <c r="V24" s="8"/>
      <c r="W24" s="8"/>
      <c r="X24" s="8"/>
      <c r="Y24" s="8"/>
      <c r="Z24" s="10" t="s">
        <v>1102</v>
      </c>
      <c r="AA24" s="8" t="s">
        <v>331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1093</v>
      </c>
      <c r="E25" s="8" t="s">
        <v>128</v>
      </c>
      <c r="F25" s="8" t="s">
        <v>1103</v>
      </c>
      <c r="G25" s="8" t="s">
        <v>1227</v>
      </c>
      <c r="H25" s="8" t="s">
        <v>1228</v>
      </c>
      <c r="I25" s="8" t="s">
        <v>1229</v>
      </c>
      <c r="J25" s="8" t="s">
        <v>1217</v>
      </c>
      <c r="K25" s="8" t="s">
        <v>1099</v>
      </c>
      <c r="L25" s="10" t="s">
        <v>1230</v>
      </c>
      <c r="M25" s="10" t="s">
        <v>1231</v>
      </c>
      <c r="N25" s="10" t="s">
        <v>128</v>
      </c>
      <c r="O25" s="8" t="s">
        <v>321</v>
      </c>
      <c r="P25" s="8"/>
      <c r="Q25" s="8">
        <v>11945</v>
      </c>
      <c r="R25" s="8">
        <v>16829</v>
      </c>
      <c r="S25" s="8" t="s">
        <v>331</v>
      </c>
      <c r="T25" s="8"/>
      <c r="U25" s="8"/>
      <c r="V25" s="8"/>
      <c r="W25" s="8"/>
      <c r="X25" s="8"/>
      <c r="Y25" s="8"/>
      <c r="Z25" s="10" t="s">
        <v>1102</v>
      </c>
      <c r="AA25" s="8" t="s">
        <v>331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1093</v>
      </c>
      <c r="E26" s="8" t="s">
        <v>128</v>
      </c>
      <c r="F26" s="8" t="s">
        <v>1232</v>
      </c>
      <c r="G26" s="8" t="s">
        <v>1166</v>
      </c>
      <c r="H26" s="8" t="s">
        <v>1233</v>
      </c>
      <c r="I26" s="8" t="s">
        <v>1234</v>
      </c>
      <c r="J26" s="8" t="s">
        <v>1235</v>
      </c>
      <c r="K26" s="8" t="s">
        <v>1099</v>
      </c>
      <c r="L26" s="10" t="s">
        <v>1236</v>
      </c>
      <c r="M26" s="10" t="s">
        <v>1237</v>
      </c>
      <c r="N26" s="10" t="s">
        <v>1238</v>
      </c>
      <c r="O26" s="8" t="s">
        <v>321</v>
      </c>
      <c r="P26" s="8"/>
      <c r="Q26" s="8">
        <v>4057</v>
      </c>
      <c r="R26" s="8">
        <v>212621</v>
      </c>
      <c r="S26" s="8"/>
      <c r="T26" s="8" t="s">
        <v>331</v>
      </c>
      <c r="U26" s="8"/>
      <c r="V26" s="8"/>
      <c r="W26" s="8"/>
      <c r="X26" s="8"/>
      <c r="Y26" s="8"/>
      <c r="Z26" s="10" t="s">
        <v>1239</v>
      </c>
      <c r="AA26" s="8" t="s">
        <v>331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1093</v>
      </c>
      <c r="E27" s="8" t="s">
        <v>128</v>
      </c>
      <c r="F27" s="8" t="s">
        <v>1240</v>
      </c>
      <c r="G27" s="8" t="s">
        <v>1241</v>
      </c>
      <c r="H27" s="8" t="s">
        <v>1242</v>
      </c>
      <c r="I27" s="8" t="s">
        <v>1243</v>
      </c>
      <c r="J27" s="8" t="s">
        <v>1244</v>
      </c>
      <c r="K27" s="8" t="s">
        <v>1099</v>
      </c>
      <c r="L27" s="10" t="s">
        <v>1236</v>
      </c>
      <c r="M27" s="10" t="s">
        <v>1237</v>
      </c>
      <c r="N27" s="10" t="s">
        <v>1238</v>
      </c>
      <c r="O27" s="8" t="s">
        <v>321</v>
      </c>
      <c r="P27" s="8"/>
      <c r="Q27" s="8">
        <v>28</v>
      </c>
      <c r="R27" s="8">
        <v>1605</v>
      </c>
      <c r="S27" s="8" t="s">
        <v>331</v>
      </c>
      <c r="T27" s="8"/>
      <c r="U27" s="8"/>
      <c r="V27" s="8"/>
      <c r="W27" s="8"/>
      <c r="X27" s="8"/>
      <c r="Y27" s="8"/>
      <c r="Z27" s="10" t="s">
        <v>1102</v>
      </c>
      <c r="AA27" s="8" t="s">
        <v>331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1093</v>
      </c>
      <c r="E28" s="8" t="s">
        <v>128</v>
      </c>
      <c r="F28" s="8" t="s">
        <v>1103</v>
      </c>
      <c r="G28" s="8" t="s">
        <v>1245</v>
      </c>
      <c r="H28" s="8" t="s">
        <v>1246</v>
      </c>
      <c r="I28" s="8" t="s">
        <v>1247</v>
      </c>
      <c r="J28" s="8" t="s">
        <v>1248</v>
      </c>
      <c r="K28" s="8" t="s">
        <v>1099</v>
      </c>
      <c r="L28" s="10" t="s">
        <v>1249</v>
      </c>
      <c r="M28" s="10" t="s">
        <v>1250</v>
      </c>
      <c r="N28" s="10"/>
      <c r="O28" s="8" t="s">
        <v>1106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1102</v>
      </c>
      <c r="AA28" s="8" t="s">
        <v>331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1093</v>
      </c>
      <c r="E29" s="8" t="s">
        <v>128</v>
      </c>
      <c r="F29" s="8" t="s">
        <v>1240</v>
      </c>
      <c r="G29" s="8" t="s">
        <v>1137</v>
      </c>
      <c r="H29" s="8" t="s">
        <v>1138</v>
      </c>
      <c r="I29" s="8" t="s">
        <v>1251</v>
      </c>
      <c r="J29" s="8" t="s">
        <v>1252</v>
      </c>
      <c r="K29" s="8" t="s">
        <v>1099</v>
      </c>
      <c r="L29" s="10" t="s">
        <v>1236</v>
      </c>
      <c r="M29" s="10" t="s">
        <v>1237</v>
      </c>
      <c r="N29" s="10" t="s">
        <v>1253</v>
      </c>
      <c r="O29" s="8" t="s">
        <v>321</v>
      </c>
      <c r="P29" s="8"/>
      <c r="Q29" s="8"/>
      <c r="R29" s="8">
        <v>84189</v>
      </c>
      <c r="S29" s="8" t="s">
        <v>331</v>
      </c>
      <c r="T29" s="8"/>
      <c r="U29" s="8"/>
      <c r="V29" s="8"/>
      <c r="W29" s="8"/>
      <c r="X29" s="8"/>
      <c r="Y29" s="8"/>
      <c r="Z29" s="10" t="s">
        <v>1102</v>
      </c>
      <c r="AA29" s="8" t="s">
        <v>331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1093</v>
      </c>
      <c r="E30" s="8" t="s">
        <v>128</v>
      </c>
      <c r="F30" s="8" t="s">
        <v>1240</v>
      </c>
      <c r="G30" s="8" t="s">
        <v>1254</v>
      </c>
      <c r="H30" s="8" t="s">
        <v>1255</v>
      </c>
      <c r="I30" s="8" t="s">
        <v>1256</v>
      </c>
      <c r="J30" s="8" t="s">
        <v>1252</v>
      </c>
      <c r="K30" s="8" t="s">
        <v>1099</v>
      </c>
      <c r="L30" s="10" t="s">
        <v>1236</v>
      </c>
      <c r="M30" s="10" t="s">
        <v>1237</v>
      </c>
      <c r="N30" s="10" t="s">
        <v>1257</v>
      </c>
      <c r="O30" s="8" t="s">
        <v>321</v>
      </c>
      <c r="P30" s="8"/>
      <c r="Q30" s="8"/>
      <c r="R30" s="8">
        <v>42897</v>
      </c>
      <c r="S30" s="8" t="s">
        <v>331</v>
      </c>
      <c r="T30" s="8"/>
      <c r="U30" s="8"/>
      <c r="V30" s="8"/>
      <c r="W30" s="8"/>
      <c r="X30" s="8"/>
      <c r="Y30" s="8"/>
      <c r="Z30" s="10" t="s">
        <v>1102</v>
      </c>
      <c r="AA30" s="8" t="s">
        <v>331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1093</v>
      </c>
      <c r="E31" s="8" t="s">
        <v>123</v>
      </c>
      <c r="F31" s="8" t="s">
        <v>1189</v>
      </c>
      <c r="G31" s="8" t="s">
        <v>1149</v>
      </c>
      <c r="H31" s="8" t="s">
        <v>1258</v>
      </c>
      <c r="I31" s="8" t="s">
        <v>1259</v>
      </c>
      <c r="J31" s="8" t="s">
        <v>1098</v>
      </c>
      <c r="K31" s="8" t="s">
        <v>1099</v>
      </c>
      <c r="L31" s="10" t="s">
        <v>1260</v>
      </c>
      <c r="M31" s="10" t="s">
        <v>1261</v>
      </c>
      <c r="N31" s="10"/>
      <c r="O31" s="8" t="s">
        <v>321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331</v>
      </c>
      <c r="Z31" s="10" t="s">
        <v>1262</v>
      </c>
      <c r="AA31" s="8" t="s">
        <v>331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1093</v>
      </c>
      <c r="E32" s="8" t="s">
        <v>123</v>
      </c>
      <c r="F32" s="8" t="s">
        <v>1263</v>
      </c>
      <c r="G32" s="8" t="s">
        <v>1120</v>
      </c>
      <c r="H32" s="8" t="s">
        <v>1245</v>
      </c>
      <c r="I32" s="8" t="s">
        <v>1259</v>
      </c>
      <c r="J32" s="8" t="s">
        <v>1098</v>
      </c>
      <c r="K32" s="8" t="s">
        <v>1099</v>
      </c>
      <c r="L32" s="10" t="s">
        <v>1260</v>
      </c>
      <c r="M32" s="10" t="s">
        <v>1261</v>
      </c>
      <c r="N32" s="10"/>
      <c r="O32" s="8" t="s">
        <v>321</v>
      </c>
      <c r="P32" s="8"/>
      <c r="Q32" s="8">
        <v>3400</v>
      </c>
      <c r="R32" s="8">
        <v>51000</v>
      </c>
      <c r="S32" s="8" t="s">
        <v>331</v>
      </c>
      <c r="T32" s="8"/>
      <c r="U32" s="8"/>
      <c r="V32" s="8"/>
      <c r="W32" s="8"/>
      <c r="X32" s="8"/>
      <c r="Y32" s="8"/>
      <c r="Z32" s="10" t="s">
        <v>1264</v>
      </c>
      <c r="AA32" s="8" t="s">
        <v>331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1093</v>
      </c>
      <c r="E33" s="8" t="s">
        <v>123</v>
      </c>
      <c r="F33" s="8" t="s">
        <v>1265</v>
      </c>
      <c r="G33" s="8" t="s">
        <v>1266</v>
      </c>
      <c r="H33" s="8" t="s">
        <v>1196</v>
      </c>
      <c r="I33" s="8" t="s">
        <v>1267</v>
      </c>
      <c r="J33" s="8" t="s">
        <v>1111</v>
      </c>
      <c r="K33" s="8" t="s">
        <v>1099</v>
      </c>
      <c r="L33" s="10" t="s">
        <v>1268</v>
      </c>
      <c r="M33" s="10" t="s">
        <v>1269</v>
      </c>
      <c r="N33" s="10"/>
      <c r="O33" s="8" t="s">
        <v>321</v>
      </c>
      <c r="P33" s="8"/>
      <c r="Q33" s="8">
        <v>8070</v>
      </c>
      <c r="R33" s="8">
        <v>54722</v>
      </c>
      <c r="S33" s="8" t="s">
        <v>331</v>
      </c>
      <c r="T33" s="8"/>
      <c r="U33" s="8"/>
      <c r="V33" s="8"/>
      <c r="W33" s="8"/>
      <c r="X33" s="8"/>
      <c r="Y33" s="8"/>
      <c r="Z33" s="10" t="s">
        <v>1264</v>
      </c>
      <c r="AA33" s="8" t="s">
        <v>331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1093</v>
      </c>
      <c r="E34" s="8" t="s">
        <v>123</v>
      </c>
      <c r="F34" s="8" t="s">
        <v>1165</v>
      </c>
      <c r="G34" s="8" t="s">
        <v>1149</v>
      </c>
      <c r="H34" s="8" t="s">
        <v>1270</v>
      </c>
      <c r="I34" s="8" t="s">
        <v>1267</v>
      </c>
      <c r="J34" s="8" t="s">
        <v>1111</v>
      </c>
      <c r="K34" s="8" t="s">
        <v>1099</v>
      </c>
      <c r="L34" s="10" t="s">
        <v>1268</v>
      </c>
      <c r="M34" s="10" t="s">
        <v>1269</v>
      </c>
      <c r="N34" s="10"/>
      <c r="O34" s="8" t="s">
        <v>362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1271</v>
      </c>
      <c r="AA34" s="8" t="s">
        <v>331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1093</v>
      </c>
      <c r="E35" s="8" t="s">
        <v>123</v>
      </c>
      <c r="F35" s="8" t="s">
        <v>1272</v>
      </c>
      <c r="G35" s="8" t="s">
        <v>1273</v>
      </c>
      <c r="H35" s="8" t="s">
        <v>1258</v>
      </c>
      <c r="I35" s="8" t="s">
        <v>1274</v>
      </c>
      <c r="J35" s="8" t="s">
        <v>1111</v>
      </c>
      <c r="K35" s="8" t="s">
        <v>1099</v>
      </c>
      <c r="L35" s="10" t="s">
        <v>1275</v>
      </c>
      <c r="M35" s="10" t="s">
        <v>1276</v>
      </c>
      <c r="N35" s="10" t="s">
        <v>1277</v>
      </c>
      <c r="O35" s="8" t="s">
        <v>321</v>
      </c>
      <c r="P35" s="8"/>
      <c r="Q35" s="8">
        <v>15006</v>
      </c>
      <c r="R35" s="8">
        <v>74119</v>
      </c>
      <c r="S35" s="8"/>
      <c r="T35" s="8"/>
      <c r="U35" s="8" t="s">
        <v>331</v>
      </c>
      <c r="V35" s="8"/>
      <c r="W35" s="8"/>
      <c r="X35" s="8"/>
      <c r="Y35" s="8"/>
      <c r="Z35" s="10" t="s">
        <v>1278</v>
      </c>
      <c r="AA35" s="8" t="s">
        <v>331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1093</v>
      </c>
      <c r="E36" s="8" t="s">
        <v>123</v>
      </c>
      <c r="F36" s="8" t="s">
        <v>1107</v>
      </c>
      <c r="G36" s="8" t="s">
        <v>1279</v>
      </c>
      <c r="H36" s="8" t="s">
        <v>1149</v>
      </c>
      <c r="I36" s="8" t="s">
        <v>1274</v>
      </c>
      <c r="J36" s="8" t="s">
        <v>1111</v>
      </c>
      <c r="K36" s="8" t="s">
        <v>1099</v>
      </c>
      <c r="L36" s="10" t="s">
        <v>1275</v>
      </c>
      <c r="M36" s="10" t="s">
        <v>1276</v>
      </c>
      <c r="N36" s="10" t="s">
        <v>1277</v>
      </c>
      <c r="O36" s="8" t="s">
        <v>321</v>
      </c>
      <c r="P36" s="8"/>
      <c r="Q36" s="8">
        <v>15589</v>
      </c>
      <c r="R36" s="8">
        <v>75964</v>
      </c>
      <c r="S36" s="8" t="s">
        <v>331</v>
      </c>
      <c r="T36" s="8"/>
      <c r="U36" s="8"/>
      <c r="V36" s="8"/>
      <c r="W36" s="8"/>
      <c r="X36" s="8"/>
      <c r="Y36" s="8"/>
      <c r="Z36" s="10" t="s">
        <v>1264</v>
      </c>
      <c r="AA36" s="8" t="s">
        <v>331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1093</v>
      </c>
      <c r="E37" s="8" t="s">
        <v>123</v>
      </c>
      <c r="F37" s="8" t="s">
        <v>1280</v>
      </c>
      <c r="G37" s="8" t="s">
        <v>1266</v>
      </c>
      <c r="H37" s="8" t="s">
        <v>1196</v>
      </c>
      <c r="I37" s="8" t="s">
        <v>1281</v>
      </c>
      <c r="J37" s="8" t="s">
        <v>1111</v>
      </c>
      <c r="K37" s="8" t="s">
        <v>1099</v>
      </c>
      <c r="L37" s="10" t="s">
        <v>1282</v>
      </c>
      <c r="M37" s="10" t="s">
        <v>1283</v>
      </c>
      <c r="N37" s="10"/>
      <c r="O37" s="8" t="s">
        <v>321</v>
      </c>
      <c r="P37" s="8"/>
      <c r="Q37" s="8">
        <v>1700</v>
      </c>
      <c r="R37" s="8">
        <v>34000</v>
      </c>
      <c r="S37" s="8" t="s">
        <v>331</v>
      </c>
      <c r="T37" s="8"/>
      <c r="U37" s="8"/>
      <c r="V37" s="8"/>
      <c r="W37" s="8"/>
      <c r="X37" s="8"/>
      <c r="Y37" s="8"/>
      <c r="Z37" s="10" t="s">
        <v>1264</v>
      </c>
      <c r="AA37" s="8" t="s">
        <v>331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1093</v>
      </c>
      <c r="E38" s="8" t="s">
        <v>123</v>
      </c>
      <c r="F38" s="8" t="s">
        <v>1280</v>
      </c>
      <c r="G38" s="8" t="s">
        <v>1258</v>
      </c>
      <c r="H38" s="8" t="s">
        <v>1284</v>
      </c>
      <c r="I38" s="8" t="s">
        <v>1281</v>
      </c>
      <c r="J38" s="8" t="s">
        <v>1111</v>
      </c>
      <c r="K38" s="8" t="s">
        <v>1099</v>
      </c>
      <c r="L38" s="10" t="s">
        <v>1282</v>
      </c>
      <c r="M38" s="10" t="s">
        <v>1283</v>
      </c>
      <c r="N38" s="10"/>
      <c r="O38" s="8" t="s">
        <v>321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331</v>
      </c>
      <c r="Z38" s="10" t="s">
        <v>1285</v>
      </c>
      <c r="AA38" s="8" t="s">
        <v>331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1093</v>
      </c>
      <c r="E39" s="8" t="s">
        <v>123</v>
      </c>
      <c r="F39" s="8" t="s">
        <v>1119</v>
      </c>
      <c r="G39" s="8" t="s">
        <v>1196</v>
      </c>
      <c r="H39" s="8" t="s">
        <v>1279</v>
      </c>
      <c r="I39" s="8" t="s">
        <v>1286</v>
      </c>
      <c r="J39" s="8" t="s">
        <v>1111</v>
      </c>
      <c r="K39" s="8" t="s">
        <v>1099</v>
      </c>
      <c r="L39" s="10" t="s">
        <v>1287</v>
      </c>
      <c r="M39" s="10" t="s">
        <v>1288</v>
      </c>
      <c r="N39" s="10" t="s">
        <v>1289</v>
      </c>
      <c r="O39" s="8" t="s">
        <v>321</v>
      </c>
      <c r="P39" s="8"/>
      <c r="Q39" s="8">
        <v>13200</v>
      </c>
      <c r="R39" s="8">
        <v>113539</v>
      </c>
      <c r="S39" s="8" t="s">
        <v>331</v>
      </c>
      <c r="T39" s="8"/>
      <c r="U39" s="8"/>
      <c r="V39" s="8"/>
      <c r="W39" s="8"/>
      <c r="X39" s="8"/>
      <c r="Y39" s="8"/>
      <c r="Z39" s="10" t="s">
        <v>1264</v>
      </c>
      <c r="AA39" s="8" t="s">
        <v>331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1093</v>
      </c>
      <c r="E40" s="8" t="s">
        <v>123</v>
      </c>
      <c r="F40" s="8" t="s">
        <v>1107</v>
      </c>
      <c r="G40" s="8" t="s">
        <v>1290</v>
      </c>
      <c r="H40" s="8" t="s">
        <v>1291</v>
      </c>
      <c r="I40" s="8" t="s">
        <v>1292</v>
      </c>
      <c r="J40" s="8" t="s">
        <v>1111</v>
      </c>
      <c r="K40" s="8" t="s">
        <v>1099</v>
      </c>
      <c r="L40" s="10" t="s">
        <v>1293</v>
      </c>
      <c r="M40" s="10" t="s">
        <v>1294</v>
      </c>
      <c r="N40" s="10" t="s">
        <v>1295</v>
      </c>
      <c r="O40" s="8" t="s">
        <v>321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331</v>
      </c>
      <c r="Z40" s="10" t="s">
        <v>1296</v>
      </c>
      <c r="AA40" s="8" t="s">
        <v>331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1093</v>
      </c>
      <c r="E41" s="8" t="s">
        <v>123</v>
      </c>
      <c r="F41" s="8" t="s">
        <v>1272</v>
      </c>
      <c r="G41" s="8" t="s">
        <v>1149</v>
      </c>
      <c r="H41" s="8" t="s">
        <v>1297</v>
      </c>
      <c r="I41" s="8" t="s">
        <v>1298</v>
      </c>
      <c r="J41" s="8" t="s">
        <v>1140</v>
      </c>
      <c r="K41" s="8" t="s">
        <v>1099</v>
      </c>
      <c r="L41" s="10" t="s">
        <v>1299</v>
      </c>
      <c r="M41" s="10" t="s">
        <v>1300</v>
      </c>
      <c r="N41" s="10" t="s">
        <v>1301</v>
      </c>
      <c r="O41" s="8" t="s">
        <v>321</v>
      </c>
      <c r="P41" s="8">
        <v>5464</v>
      </c>
      <c r="Q41" s="8">
        <v>12466</v>
      </c>
      <c r="R41" s="8">
        <v>16973</v>
      </c>
      <c r="S41" s="8"/>
      <c r="T41" s="8"/>
      <c r="U41" s="8" t="s">
        <v>331</v>
      </c>
      <c r="V41" s="8"/>
      <c r="W41" s="8"/>
      <c r="X41" s="8"/>
      <c r="Y41" s="8"/>
      <c r="Z41" s="10" t="s">
        <v>1278</v>
      </c>
      <c r="AA41" s="8" t="s">
        <v>331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1093</v>
      </c>
      <c r="E42" s="8" t="s">
        <v>123</v>
      </c>
      <c r="F42" s="8" t="s">
        <v>1165</v>
      </c>
      <c r="G42" s="8" t="s">
        <v>1302</v>
      </c>
      <c r="H42" s="8" t="s">
        <v>1303</v>
      </c>
      <c r="I42" s="8" t="s">
        <v>1168</v>
      </c>
      <c r="J42" s="8" t="s">
        <v>1169</v>
      </c>
      <c r="K42" s="8" t="s">
        <v>1099</v>
      </c>
      <c r="L42" s="10" t="s">
        <v>1170</v>
      </c>
      <c r="M42" s="10" t="s">
        <v>1171</v>
      </c>
      <c r="N42" s="10" t="s">
        <v>1172</v>
      </c>
      <c r="O42" s="8" t="s">
        <v>1106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162</v>
      </c>
      <c r="AA42" s="8" t="s">
        <v>331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1093</v>
      </c>
      <c r="E43" s="8" t="s">
        <v>123</v>
      </c>
      <c r="F43" s="8" t="s">
        <v>1165</v>
      </c>
      <c r="G43" s="8" t="s">
        <v>1166</v>
      </c>
      <c r="H43" s="8" t="s">
        <v>1120</v>
      </c>
      <c r="I43" s="8" t="s">
        <v>1304</v>
      </c>
      <c r="J43" s="8" t="s">
        <v>1169</v>
      </c>
      <c r="K43" s="8" t="s">
        <v>1099</v>
      </c>
      <c r="L43" s="10" t="s">
        <v>1305</v>
      </c>
      <c r="M43" s="10" t="s">
        <v>1306</v>
      </c>
      <c r="N43" s="10" t="s">
        <v>1307</v>
      </c>
      <c r="O43" s="8" t="s">
        <v>1106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162</v>
      </c>
      <c r="AA43" s="8" t="s">
        <v>331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1093</v>
      </c>
      <c r="E44" s="8" t="s">
        <v>123</v>
      </c>
      <c r="F44" s="8" t="s">
        <v>1263</v>
      </c>
      <c r="G44" s="8" t="s">
        <v>1149</v>
      </c>
      <c r="H44" s="8" t="s">
        <v>1207</v>
      </c>
      <c r="I44" s="8" t="s">
        <v>1308</v>
      </c>
      <c r="J44" s="8" t="s">
        <v>1169</v>
      </c>
      <c r="K44" s="8" t="s">
        <v>1099</v>
      </c>
      <c r="L44" s="10" t="s">
        <v>1170</v>
      </c>
      <c r="M44" s="10" t="s">
        <v>1309</v>
      </c>
      <c r="N44" s="10" t="s">
        <v>1310</v>
      </c>
      <c r="O44" s="8" t="s">
        <v>321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331</v>
      </c>
      <c r="Z44" s="10" t="s">
        <v>1311</v>
      </c>
      <c r="AA44" s="8" t="s">
        <v>331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1093</v>
      </c>
      <c r="E45" s="8" t="s">
        <v>123</v>
      </c>
      <c r="F45" s="8" t="s">
        <v>1182</v>
      </c>
      <c r="G45" s="8" t="s">
        <v>1312</v>
      </c>
      <c r="H45" s="8" t="s">
        <v>1196</v>
      </c>
      <c r="I45" s="8" t="s">
        <v>1313</v>
      </c>
      <c r="J45" s="8" t="s">
        <v>1169</v>
      </c>
      <c r="K45" s="8" t="s">
        <v>1099</v>
      </c>
      <c r="L45" s="10" t="s">
        <v>1314</v>
      </c>
      <c r="M45" s="10" t="s">
        <v>1315</v>
      </c>
      <c r="N45" s="10" t="s">
        <v>1316</v>
      </c>
      <c r="O45" s="8" t="s">
        <v>321</v>
      </c>
      <c r="P45" s="8"/>
      <c r="Q45" s="8"/>
      <c r="R45" s="8">
        <v>368083</v>
      </c>
      <c r="S45" s="8" t="s">
        <v>331</v>
      </c>
      <c r="T45" s="8"/>
      <c r="U45" s="8"/>
      <c r="V45" s="8"/>
      <c r="W45" s="8"/>
      <c r="X45" s="8"/>
      <c r="Y45" s="8"/>
      <c r="Z45" s="10" t="s">
        <v>1264</v>
      </c>
      <c r="AA45" s="8" t="s">
        <v>331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1093</v>
      </c>
      <c r="E46" s="8" t="s">
        <v>123</v>
      </c>
      <c r="F46" s="8" t="s">
        <v>1103</v>
      </c>
      <c r="G46" s="8" t="s">
        <v>1317</v>
      </c>
      <c r="H46" s="8" t="s">
        <v>1318</v>
      </c>
      <c r="I46" s="8" t="s">
        <v>1313</v>
      </c>
      <c r="J46" s="8" t="s">
        <v>1169</v>
      </c>
      <c r="K46" s="8" t="s">
        <v>1099</v>
      </c>
      <c r="L46" s="10" t="s">
        <v>1314</v>
      </c>
      <c r="M46" s="10" t="s">
        <v>1315</v>
      </c>
      <c r="N46" s="10" t="s">
        <v>1316</v>
      </c>
      <c r="O46" s="8" t="s">
        <v>321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331</v>
      </c>
      <c r="Z46" s="10" t="s">
        <v>1319</v>
      </c>
      <c r="AA46" s="8" t="s">
        <v>331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1093</v>
      </c>
      <c r="E47" s="8" t="s">
        <v>123</v>
      </c>
      <c r="F47" s="8" t="s">
        <v>1182</v>
      </c>
      <c r="G47" s="8" t="s">
        <v>1196</v>
      </c>
      <c r="H47" s="8" t="s">
        <v>1197</v>
      </c>
      <c r="I47" s="8" t="s">
        <v>1320</v>
      </c>
      <c r="J47" s="8" t="s">
        <v>1169</v>
      </c>
      <c r="K47" s="8" t="s">
        <v>1099</v>
      </c>
      <c r="L47" s="10" t="s">
        <v>1314</v>
      </c>
      <c r="M47" s="10" t="s">
        <v>1321</v>
      </c>
      <c r="N47" s="10" t="s">
        <v>1322</v>
      </c>
      <c r="O47" s="8" t="s">
        <v>321</v>
      </c>
      <c r="P47" s="8"/>
      <c r="Q47" s="8"/>
      <c r="R47" s="8">
        <v>161922</v>
      </c>
      <c r="S47" s="8" t="s">
        <v>331</v>
      </c>
      <c r="T47" s="8"/>
      <c r="U47" s="8"/>
      <c r="V47" s="8"/>
      <c r="W47" s="8"/>
      <c r="X47" s="8"/>
      <c r="Y47" s="8"/>
      <c r="Z47" s="10" t="s">
        <v>1264</v>
      </c>
      <c r="AA47" s="8" t="s">
        <v>331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1093</v>
      </c>
      <c r="E48" s="8" t="s">
        <v>123</v>
      </c>
      <c r="F48" s="8" t="s">
        <v>1323</v>
      </c>
      <c r="G48" s="8" t="s">
        <v>1266</v>
      </c>
      <c r="H48" s="8" t="s">
        <v>1196</v>
      </c>
      <c r="I48" s="8" t="s">
        <v>1324</v>
      </c>
      <c r="J48" s="8" t="s">
        <v>1169</v>
      </c>
      <c r="K48" s="8" t="s">
        <v>1099</v>
      </c>
      <c r="L48" s="10" t="s">
        <v>1325</v>
      </c>
      <c r="M48" s="10" t="s">
        <v>1326</v>
      </c>
      <c r="N48" s="10"/>
      <c r="O48" s="8" t="s">
        <v>321</v>
      </c>
      <c r="P48" s="8"/>
      <c r="Q48" s="8"/>
      <c r="R48" s="8">
        <v>294493</v>
      </c>
      <c r="S48" s="8" t="s">
        <v>331</v>
      </c>
      <c r="T48" s="8"/>
      <c r="U48" s="8"/>
      <c r="V48" s="8"/>
      <c r="W48" s="8"/>
      <c r="X48" s="8"/>
      <c r="Y48" s="8"/>
      <c r="Z48" s="10" t="s">
        <v>1327</v>
      </c>
      <c r="AA48" s="8" t="s">
        <v>331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1093</v>
      </c>
      <c r="E49" s="8" t="s">
        <v>123</v>
      </c>
      <c r="F49" s="8" t="s">
        <v>1272</v>
      </c>
      <c r="G49" s="8" t="s">
        <v>1166</v>
      </c>
      <c r="H49" s="8" t="s">
        <v>1328</v>
      </c>
      <c r="I49" s="8" t="s">
        <v>1329</v>
      </c>
      <c r="J49" s="8" t="s">
        <v>1169</v>
      </c>
      <c r="K49" s="8" t="s">
        <v>1099</v>
      </c>
      <c r="L49" s="10" t="s">
        <v>1330</v>
      </c>
      <c r="M49" s="10" t="s">
        <v>1331</v>
      </c>
      <c r="N49" s="10"/>
      <c r="O49" s="8" t="s">
        <v>362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1332</v>
      </c>
      <c r="AA49" s="8" t="s">
        <v>331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1093</v>
      </c>
      <c r="E50" s="8" t="s">
        <v>123</v>
      </c>
      <c r="F50" s="8" t="s">
        <v>1323</v>
      </c>
      <c r="G50" s="8" t="s">
        <v>1302</v>
      </c>
      <c r="H50" s="8" t="s">
        <v>1303</v>
      </c>
      <c r="I50" s="8" t="s">
        <v>1329</v>
      </c>
      <c r="J50" s="8" t="s">
        <v>1169</v>
      </c>
      <c r="K50" s="8" t="s">
        <v>1099</v>
      </c>
      <c r="L50" s="10" t="s">
        <v>1330</v>
      </c>
      <c r="M50" s="10" t="s">
        <v>1331</v>
      </c>
      <c r="N50" s="10"/>
      <c r="O50" s="8" t="s">
        <v>321</v>
      </c>
      <c r="P50" s="8"/>
      <c r="Q50" s="8"/>
      <c r="R50" s="8">
        <v>71400</v>
      </c>
      <c r="S50" s="8" t="s">
        <v>331</v>
      </c>
      <c r="T50" s="8"/>
      <c r="U50" s="8"/>
      <c r="V50" s="8"/>
      <c r="W50" s="8"/>
      <c r="X50" s="8"/>
      <c r="Y50" s="8"/>
      <c r="Z50" s="10" t="s">
        <v>1102</v>
      </c>
      <c r="AA50" s="8" t="s">
        <v>331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1093</v>
      </c>
      <c r="E51" s="8" t="s">
        <v>123</v>
      </c>
      <c r="F51" s="8" t="s">
        <v>1263</v>
      </c>
      <c r="G51" s="8" t="s">
        <v>1303</v>
      </c>
      <c r="H51" s="8" t="s">
        <v>1333</v>
      </c>
      <c r="I51" s="8" t="s">
        <v>1334</v>
      </c>
      <c r="J51" s="8" t="s">
        <v>1169</v>
      </c>
      <c r="K51" s="8" t="s">
        <v>1099</v>
      </c>
      <c r="L51" s="10" t="s">
        <v>1170</v>
      </c>
      <c r="M51" s="10" t="s">
        <v>1335</v>
      </c>
      <c r="N51" s="10" t="s">
        <v>1336</v>
      </c>
      <c r="O51" s="8" t="s">
        <v>362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1337</v>
      </c>
      <c r="AA51" s="8" t="s">
        <v>331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1093</v>
      </c>
      <c r="E52" s="8" t="s">
        <v>123</v>
      </c>
      <c r="F52" s="8" t="s">
        <v>1189</v>
      </c>
      <c r="G52" s="8" t="s">
        <v>1284</v>
      </c>
      <c r="H52" s="8" t="s">
        <v>1166</v>
      </c>
      <c r="I52" s="8" t="s">
        <v>1338</v>
      </c>
      <c r="J52" s="8" t="s">
        <v>1169</v>
      </c>
      <c r="K52" s="8" t="s">
        <v>1099</v>
      </c>
      <c r="L52" s="10" t="s">
        <v>1186</v>
      </c>
      <c r="M52" s="10" t="s">
        <v>1339</v>
      </c>
      <c r="N52" s="10" t="s">
        <v>1340</v>
      </c>
      <c r="O52" s="8" t="s">
        <v>1106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1264</v>
      </c>
      <c r="AA52" s="8" t="s">
        <v>331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1093</v>
      </c>
      <c r="E53" s="8" t="s">
        <v>123</v>
      </c>
      <c r="F53" s="8" t="s">
        <v>1280</v>
      </c>
      <c r="G53" s="8" t="s">
        <v>1341</v>
      </c>
      <c r="H53" s="8" t="s">
        <v>1342</v>
      </c>
      <c r="I53" s="8" t="s">
        <v>1338</v>
      </c>
      <c r="J53" s="8" t="s">
        <v>1169</v>
      </c>
      <c r="K53" s="8" t="s">
        <v>1099</v>
      </c>
      <c r="L53" s="10" t="s">
        <v>1186</v>
      </c>
      <c r="M53" s="10" t="s">
        <v>1339</v>
      </c>
      <c r="N53" s="10" t="s">
        <v>1340</v>
      </c>
      <c r="O53" s="8" t="s">
        <v>321</v>
      </c>
      <c r="P53" s="8"/>
      <c r="Q53" s="8"/>
      <c r="R53" s="8">
        <v>35888</v>
      </c>
      <c r="S53" s="8"/>
      <c r="T53" s="8"/>
      <c r="U53" s="8" t="s">
        <v>331</v>
      </c>
      <c r="V53" s="8"/>
      <c r="W53" s="8"/>
      <c r="X53" s="8"/>
      <c r="Y53" s="8"/>
      <c r="Z53" s="10" t="s">
        <v>1278</v>
      </c>
      <c r="AA53" s="8" t="s">
        <v>331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1093</v>
      </c>
      <c r="E54" s="8" t="s">
        <v>123</v>
      </c>
      <c r="F54" s="8" t="s">
        <v>1189</v>
      </c>
      <c r="G54" s="8" t="s">
        <v>1120</v>
      </c>
      <c r="H54" s="8" t="s">
        <v>1343</v>
      </c>
      <c r="I54" s="8" t="s">
        <v>1344</v>
      </c>
      <c r="J54" s="8" t="s">
        <v>1169</v>
      </c>
      <c r="K54" s="8" t="s">
        <v>1099</v>
      </c>
      <c r="L54" s="10" t="s">
        <v>1186</v>
      </c>
      <c r="M54" s="10" t="s">
        <v>1345</v>
      </c>
      <c r="N54" s="10" t="s">
        <v>1346</v>
      </c>
      <c r="O54" s="8" t="s">
        <v>321</v>
      </c>
      <c r="P54" s="8"/>
      <c r="Q54" s="8"/>
      <c r="R54" s="8">
        <v>62731</v>
      </c>
      <c r="S54" s="8" t="s">
        <v>331</v>
      </c>
      <c r="T54" s="8"/>
      <c r="U54" s="8"/>
      <c r="V54" s="8"/>
      <c r="W54" s="8"/>
      <c r="X54" s="8"/>
      <c r="Y54" s="8"/>
      <c r="Z54" s="10" t="s">
        <v>1264</v>
      </c>
      <c r="AA54" s="8" t="s">
        <v>331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1093</v>
      </c>
      <c r="E55" s="8" t="s">
        <v>123</v>
      </c>
      <c r="F55" s="8" t="s">
        <v>1280</v>
      </c>
      <c r="G55" s="8" t="s">
        <v>1347</v>
      </c>
      <c r="H55" s="8" t="s">
        <v>1348</v>
      </c>
      <c r="I55" s="8" t="s">
        <v>1344</v>
      </c>
      <c r="J55" s="8" t="s">
        <v>1169</v>
      </c>
      <c r="K55" s="8" t="s">
        <v>1099</v>
      </c>
      <c r="L55" s="10" t="s">
        <v>1186</v>
      </c>
      <c r="M55" s="10" t="s">
        <v>1345</v>
      </c>
      <c r="N55" s="10" t="s">
        <v>1346</v>
      </c>
      <c r="O55" s="8" t="s">
        <v>321</v>
      </c>
      <c r="P55" s="8"/>
      <c r="Q55" s="8"/>
      <c r="R55" s="8">
        <v>62731</v>
      </c>
      <c r="S55" s="8"/>
      <c r="T55" s="8"/>
      <c r="U55" s="8" t="s">
        <v>331</v>
      </c>
      <c r="V55" s="8"/>
      <c r="W55" s="8"/>
      <c r="X55" s="8"/>
      <c r="Y55" s="8"/>
      <c r="Z55" s="10" t="s">
        <v>1278</v>
      </c>
      <c r="AA55" s="8" t="s">
        <v>331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1093</v>
      </c>
      <c r="E56" s="8" t="s">
        <v>123</v>
      </c>
      <c r="F56" s="8" t="s">
        <v>1189</v>
      </c>
      <c r="G56" s="8" t="s">
        <v>1343</v>
      </c>
      <c r="H56" s="8" t="s">
        <v>1302</v>
      </c>
      <c r="I56" s="8" t="s">
        <v>1349</v>
      </c>
      <c r="J56" s="8" t="s">
        <v>1193</v>
      </c>
      <c r="K56" s="8" t="s">
        <v>1099</v>
      </c>
      <c r="L56" s="10" t="s">
        <v>1350</v>
      </c>
      <c r="M56" s="10" t="s">
        <v>1351</v>
      </c>
      <c r="N56" s="10" t="s">
        <v>1352</v>
      </c>
      <c r="O56" s="8" t="s">
        <v>321</v>
      </c>
      <c r="P56" s="8"/>
      <c r="Q56" s="8"/>
      <c r="R56" s="8">
        <v>111205</v>
      </c>
      <c r="S56" s="8" t="s">
        <v>331</v>
      </c>
      <c r="T56" s="8"/>
      <c r="U56" s="8"/>
      <c r="V56" s="8"/>
      <c r="W56" s="8"/>
      <c r="X56" s="8"/>
      <c r="Y56" s="8"/>
      <c r="Z56" s="10" t="s">
        <v>1264</v>
      </c>
      <c r="AA56" s="8" t="s">
        <v>331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1093</v>
      </c>
      <c r="E57" s="8" t="s">
        <v>123</v>
      </c>
      <c r="F57" s="8" t="s">
        <v>1265</v>
      </c>
      <c r="G57" s="8" t="s">
        <v>1353</v>
      </c>
      <c r="H57" s="8" t="s">
        <v>1354</v>
      </c>
      <c r="I57" s="8" t="s">
        <v>1349</v>
      </c>
      <c r="J57" s="8" t="s">
        <v>1193</v>
      </c>
      <c r="K57" s="8" t="s">
        <v>1099</v>
      </c>
      <c r="L57" s="10" t="s">
        <v>1350</v>
      </c>
      <c r="M57" s="10" t="s">
        <v>1351</v>
      </c>
      <c r="N57" s="10" t="s">
        <v>1352</v>
      </c>
      <c r="O57" s="8" t="s">
        <v>321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331</v>
      </c>
      <c r="Z57" s="10" t="s">
        <v>1355</v>
      </c>
      <c r="AA57" s="8" t="s">
        <v>331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1093</v>
      </c>
      <c r="E58" s="8" t="s">
        <v>123</v>
      </c>
      <c r="F58" s="8" t="s">
        <v>1272</v>
      </c>
      <c r="G58" s="8" t="s">
        <v>1266</v>
      </c>
      <c r="H58" s="8" t="s">
        <v>1196</v>
      </c>
      <c r="I58" s="8" t="s">
        <v>1349</v>
      </c>
      <c r="J58" s="8" t="s">
        <v>1193</v>
      </c>
      <c r="K58" s="8" t="s">
        <v>1099</v>
      </c>
      <c r="L58" s="10" t="s">
        <v>1350</v>
      </c>
      <c r="M58" s="10" t="s">
        <v>1351</v>
      </c>
      <c r="N58" s="10" t="s">
        <v>1352</v>
      </c>
      <c r="O58" s="8" t="s">
        <v>321</v>
      </c>
      <c r="P58" s="8"/>
      <c r="Q58" s="8"/>
      <c r="R58" s="8">
        <v>111205</v>
      </c>
      <c r="S58" s="8"/>
      <c r="T58" s="8"/>
      <c r="U58" s="8" t="s">
        <v>331</v>
      </c>
      <c r="V58" s="8"/>
      <c r="W58" s="8"/>
      <c r="X58" s="8"/>
      <c r="Y58" s="8"/>
      <c r="Z58" s="10" t="s">
        <v>1278</v>
      </c>
      <c r="AA58" s="8" t="s">
        <v>331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1093</v>
      </c>
      <c r="E59" s="8" t="s">
        <v>123</v>
      </c>
      <c r="F59" s="8" t="s">
        <v>1182</v>
      </c>
      <c r="G59" s="8" t="s">
        <v>1166</v>
      </c>
      <c r="H59" s="8" t="s">
        <v>1343</v>
      </c>
      <c r="I59" s="8" t="s">
        <v>1356</v>
      </c>
      <c r="J59" s="8" t="s">
        <v>1193</v>
      </c>
      <c r="K59" s="8" t="s">
        <v>1099</v>
      </c>
      <c r="L59" s="10" t="s">
        <v>1350</v>
      </c>
      <c r="M59" s="10" t="s">
        <v>1357</v>
      </c>
      <c r="N59" s="10" t="s">
        <v>1358</v>
      </c>
      <c r="O59" s="8" t="s">
        <v>321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331</v>
      </c>
      <c r="Z59" s="10" t="s">
        <v>1359</v>
      </c>
      <c r="AA59" s="8" t="s">
        <v>331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1093</v>
      </c>
      <c r="E60" s="8" t="s">
        <v>123</v>
      </c>
      <c r="F60" s="8" t="s">
        <v>1189</v>
      </c>
      <c r="G60" s="8" t="s">
        <v>1302</v>
      </c>
      <c r="H60" s="8" t="s">
        <v>1303</v>
      </c>
      <c r="I60" s="8" t="s">
        <v>1356</v>
      </c>
      <c r="J60" s="8" t="s">
        <v>1193</v>
      </c>
      <c r="K60" s="8" t="s">
        <v>1099</v>
      </c>
      <c r="L60" s="10" t="s">
        <v>1350</v>
      </c>
      <c r="M60" s="10" t="s">
        <v>1357</v>
      </c>
      <c r="N60" s="10" t="s">
        <v>1358</v>
      </c>
      <c r="O60" s="8" t="s">
        <v>321</v>
      </c>
      <c r="P60" s="8"/>
      <c r="Q60" s="8"/>
      <c r="R60" s="8">
        <v>93091</v>
      </c>
      <c r="S60" s="8" t="s">
        <v>331</v>
      </c>
      <c r="T60" s="8"/>
      <c r="U60" s="8"/>
      <c r="V60" s="8"/>
      <c r="W60" s="8"/>
      <c r="X60" s="8"/>
      <c r="Y60" s="8"/>
      <c r="Z60" s="10" t="s">
        <v>1360</v>
      </c>
      <c r="AA60" s="8" t="s">
        <v>331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1093</v>
      </c>
      <c r="E61" s="8" t="s">
        <v>123</v>
      </c>
      <c r="F61" s="8" t="s">
        <v>1272</v>
      </c>
      <c r="G61" s="8" t="s">
        <v>1196</v>
      </c>
      <c r="H61" s="8" t="s">
        <v>1279</v>
      </c>
      <c r="I61" s="8" t="s">
        <v>1356</v>
      </c>
      <c r="J61" s="8" t="s">
        <v>1193</v>
      </c>
      <c r="K61" s="8" t="s">
        <v>1099</v>
      </c>
      <c r="L61" s="10" t="s">
        <v>1350</v>
      </c>
      <c r="M61" s="10" t="s">
        <v>1357</v>
      </c>
      <c r="N61" s="10" t="s">
        <v>1358</v>
      </c>
      <c r="O61" s="8" t="s">
        <v>321</v>
      </c>
      <c r="P61" s="8"/>
      <c r="Q61" s="8"/>
      <c r="R61" s="8">
        <v>93091</v>
      </c>
      <c r="S61" s="8"/>
      <c r="T61" s="8"/>
      <c r="U61" s="8" t="s">
        <v>331</v>
      </c>
      <c r="V61" s="8"/>
      <c r="W61" s="8"/>
      <c r="X61" s="8"/>
      <c r="Y61" s="8"/>
      <c r="Z61" s="10" t="s">
        <v>1278</v>
      </c>
      <c r="AA61" s="8" t="s">
        <v>331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1093</v>
      </c>
      <c r="E62" s="8" t="s">
        <v>123</v>
      </c>
      <c r="F62" s="8" t="s">
        <v>1323</v>
      </c>
      <c r="G62" s="8" t="s">
        <v>1341</v>
      </c>
      <c r="H62" s="8" t="s">
        <v>1361</v>
      </c>
      <c r="I62" s="8" t="s">
        <v>1356</v>
      </c>
      <c r="J62" s="8" t="s">
        <v>1193</v>
      </c>
      <c r="K62" s="8" t="s">
        <v>1099</v>
      </c>
      <c r="L62" s="10" t="s">
        <v>1350</v>
      </c>
      <c r="M62" s="10" t="s">
        <v>1357</v>
      </c>
      <c r="N62" s="10" t="s">
        <v>1358</v>
      </c>
      <c r="O62" s="8" t="s">
        <v>321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331</v>
      </c>
      <c r="Z62" s="10" t="s">
        <v>1362</v>
      </c>
      <c r="AA62" s="8" t="s">
        <v>331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1093</v>
      </c>
      <c r="E63" s="8" t="s">
        <v>123</v>
      </c>
      <c r="F63" s="8" t="s">
        <v>1272</v>
      </c>
      <c r="G63" s="8" t="s">
        <v>1302</v>
      </c>
      <c r="H63" s="8" t="s">
        <v>1303</v>
      </c>
      <c r="I63" s="8" t="s">
        <v>1363</v>
      </c>
      <c r="J63" s="8" t="s">
        <v>1193</v>
      </c>
      <c r="K63" s="8" t="s">
        <v>1099</v>
      </c>
      <c r="L63" s="10" t="s">
        <v>1364</v>
      </c>
      <c r="M63" s="10" t="s">
        <v>1365</v>
      </c>
      <c r="N63" s="10"/>
      <c r="O63" s="8" t="s">
        <v>321</v>
      </c>
      <c r="P63" s="8"/>
      <c r="Q63" s="8"/>
      <c r="R63" s="8">
        <v>32000</v>
      </c>
      <c r="S63" s="8" t="s">
        <v>331</v>
      </c>
      <c r="T63" s="8"/>
      <c r="U63" s="8"/>
      <c r="V63" s="8"/>
      <c r="W63" s="8"/>
      <c r="X63" s="8"/>
      <c r="Y63" s="8"/>
      <c r="Z63" s="10" t="s">
        <v>1264</v>
      </c>
      <c r="AA63" s="8" t="s">
        <v>331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1093</v>
      </c>
      <c r="E64" s="8" t="s">
        <v>123</v>
      </c>
      <c r="F64" s="8" t="s">
        <v>1366</v>
      </c>
      <c r="G64" s="8" t="s">
        <v>1196</v>
      </c>
      <c r="H64" s="8" t="s">
        <v>1367</v>
      </c>
      <c r="I64" s="8" t="s">
        <v>1368</v>
      </c>
      <c r="J64" s="8" t="s">
        <v>1193</v>
      </c>
      <c r="K64" s="8" t="s">
        <v>1099</v>
      </c>
      <c r="L64" s="10" t="s">
        <v>1170</v>
      </c>
      <c r="M64" s="10" t="s">
        <v>1369</v>
      </c>
      <c r="N64" s="10" t="s">
        <v>1370</v>
      </c>
      <c r="O64" s="8" t="s">
        <v>321</v>
      </c>
      <c r="P64" s="8"/>
      <c r="Q64" s="8"/>
      <c r="R64" s="8">
        <v>308</v>
      </c>
      <c r="S64" s="8"/>
      <c r="T64" s="8" t="s">
        <v>331</v>
      </c>
      <c r="U64" s="8"/>
      <c r="V64" s="8"/>
      <c r="W64" s="8"/>
      <c r="X64" s="8"/>
      <c r="Y64" s="8"/>
      <c r="Z64" s="10" t="s">
        <v>1371</v>
      </c>
      <c r="AA64" s="8" t="s">
        <v>331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1093</v>
      </c>
      <c r="E65" s="8" t="s">
        <v>123</v>
      </c>
      <c r="F65" s="8" t="s">
        <v>1240</v>
      </c>
      <c r="G65" s="8" t="s">
        <v>1227</v>
      </c>
      <c r="H65" s="8" t="s">
        <v>1372</v>
      </c>
      <c r="I65" s="8" t="s">
        <v>1373</v>
      </c>
      <c r="J65" s="8" t="s">
        <v>1193</v>
      </c>
      <c r="K65" s="8" t="s">
        <v>1099</v>
      </c>
      <c r="L65" s="10" t="s">
        <v>1293</v>
      </c>
      <c r="M65" s="10" t="s">
        <v>1374</v>
      </c>
      <c r="N65" s="10" t="s">
        <v>1375</v>
      </c>
      <c r="O65" s="8" t="s">
        <v>321</v>
      </c>
      <c r="P65" s="8"/>
      <c r="Q65" s="8"/>
      <c r="R65" s="8">
        <v>14721</v>
      </c>
      <c r="S65" s="8"/>
      <c r="T65" s="8"/>
      <c r="U65" s="8" t="s">
        <v>331</v>
      </c>
      <c r="V65" s="8"/>
      <c r="W65" s="8"/>
      <c r="X65" s="8"/>
      <c r="Y65" s="8"/>
      <c r="Z65" s="10" t="s">
        <v>1278</v>
      </c>
      <c r="AA65" s="8" t="s">
        <v>331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1093</v>
      </c>
      <c r="E66" s="8" t="s">
        <v>123</v>
      </c>
      <c r="F66" s="8" t="s">
        <v>1376</v>
      </c>
      <c r="G66" s="8" t="s">
        <v>1342</v>
      </c>
      <c r="H66" s="8" t="s">
        <v>1347</v>
      </c>
      <c r="I66" s="8" t="s">
        <v>1377</v>
      </c>
      <c r="J66" s="8" t="s">
        <v>1193</v>
      </c>
      <c r="K66" s="8" t="s">
        <v>1099</v>
      </c>
      <c r="L66" s="10" t="s">
        <v>1378</v>
      </c>
      <c r="M66" s="10" t="s">
        <v>1379</v>
      </c>
      <c r="N66" s="10" t="s">
        <v>1380</v>
      </c>
      <c r="O66" s="8" t="s">
        <v>1106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1264</v>
      </c>
      <c r="AA66" s="8" t="s">
        <v>331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1093</v>
      </c>
      <c r="E67" s="8" t="s">
        <v>123</v>
      </c>
      <c r="F67" s="8" t="s">
        <v>1103</v>
      </c>
      <c r="G67" s="8" t="s">
        <v>1347</v>
      </c>
      <c r="H67" s="8" t="s">
        <v>1381</v>
      </c>
      <c r="I67" s="8" t="s">
        <v>1377</v>
      </c>
      <c r="J67" s="8" t="s">
        <v>1193</v>
      </c>
      <c r="K67" s="8" t="s">
        <v>1099</v>
      </c>
      <c r="L67" s="10" t="s">
        <v>1378</v>
      </c>
      <c r="M67" s="10" t="s">
        <v>1379</v>
      </c>
      <c r="N67" s="10" t="s">
        <v>1380</v>
      </c>
      <c r="O67" s="8" t="s">
        <v>321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331</v>
      </c>
      <c r="Z67" s="10" t="s">
        <v>1382</v>
      </c>
      <c r="AA67" s="8" t="s">
        <v>331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1093</v>
      </c>
      <c r="E68" s="8" t="s">
        <v>123</v>
      </c>
      <c r="F68" s="8" t="s">
        <v>1383</v>
      </c>
      <c r="G68" s="8" t="s">
        <v>1384</v>
      </c>
      <c r="H68" s="8" t="s">
        <v>1385</v>
      </c>
      <c r="I68" s="8" t="s">
        <v>1377</v>
      </c>
      <c r="J68" s="8" t="s">
        <v>1193</v>
      </c>
      <c r="K68" s="8" t="s">
        <v>1099</v>
      </c>
      <c r="L68" s="10" t="s">
        <v>1378</v>
      </c>
      <c r="M68" s="10" t="s">
        <v>1379</v>
      </c>
      <c r="N68" s="10" t="s">
        <v>1380</v>
      </c>
      <c r="O68" s="8" t="s">
        <v>362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1355</v>
      </c>
      <c r="AA68" s="8" t="s">
        <v>331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1093</v>
      </c>
      <c r="E69" s="8" t="s">
        <v>123</v>
      </c>
      <c r="F69" s="8" t="s">
        <v>1323</v>
      </c>
      <c r="G69" s="8" t="s">
        <v>1196</v>
      </c>
      <c r="H69" s="8" t="s">
        <v>1279</v>
      </c>
      <c r="I69" s="8" t="s">
        <v>1386</v>
      </c>
      <c r="J69" s="8" t="s">
        <v>1387</v>
      </c>
      <c r="K69" s="8" t="s">
        <v>1099</v>
      </c>
      <c r="L69" s="10" t="s">
        <v>1388</v>
      </c>
      <c r="M69" s="10" t="s">
        <v>1326</v>
      </c>
      <c r="N69" s="10" t="s">
        <v>1358</v>
      </c>
      <c r="O69" s="8" t="s">
        <v>321</v>
      </c>
      <c r="P69" s="8"/>
      <c r="Q69" s="8"/>
      <c r="R69" s="8">
        <v>67594</v>
      </c>
      <c r="S69" s="8" t="s">
        <v>331</v>
      </c>
      <c r="T69" s="8"/>
      <c r="U69" s="8"/>
      <c r="V69" s="8"/>
      <c r="W69" s="8"/>
      <c r="X69" s="8"/>
      <c r="Y69" s="8"/>
      <c r="Z69" s="10" t="s">
        <v>1327</v>
      </c>
      <c r="AA69" s="8" t="s">
        <v>331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1093</v>
      </c>
      <c r="E70" s="8" t="s">
        <v>123</v>
      </c>
      <c r="F70" s="8" t="s">
        <v>1366</v>
      </c>
      <c r="G70" s="8" t="s">
        <v>1303</v>
      </c>
      <c r="H70" s="8" t="s">
        <v>1389</v>
      </c>
      <c r="I70" s="8" t="s">
        <v>1390</v>
      </c>
      <c r="J70" s="8" t="s">
        <v>1204</v>
      </c>
      <c r="K70" s="8" t="s">
        <v>1099</v>
      </c>
      <c r="L70" s="10" t="s">
        <v>1305</v>
      </c>
      <c r="M70" s="10" t="s">
        <v>1391</v>
      </c>
      <c r="N70" s="10" t="s">
        <v>1392</v>
      </c>
      <c r="O70" s="8" t="s">
        <v>321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331</v>
      </c>
      <c r="Z70" s="10" t="s">
        <v>1393</v>
      </c>
      <c r="AA70" s="8" t="s">
        <v>331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1093</v>
      </c>
      <c r="E71" s="8" t="s">
        <v>123</v>
      </c>
      <c r="F71" s="8" t="s">
        <v>1240</v>
      </c>
      <c r="G71" s="8" t="s">
        <v>1120</v>
      </c>
      <c r="H71" s="8" t="s">
        <v>1302</v>
      </c>
      <c r="I71" s="8" t="s">
        <v>1394</v>
      </c>
      <c r="J71" s="8" t="s">
        <v>1204</v>
      </c>
      <c r="K71" s="8" t="s">
        <v>1099</v>
      </c>
      <c r="L71" s="10" t="s">
        <v>1170</v>
      </c>
      <c r="M71" s="10" t="s">
        <v>1395</v>
      </c>
      <c r="N71" s="10" t="s">
        <v>1396</v>
      </c>
      <c r="O71" s="8" t="s">
        <v>362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1397</v>
      </c>
      <c r="AA71" s="8" t="s">
        <v>331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1093</v>
      </c>
      <c r="E72" s="8" t="s">
        <v>123</v>
      </c>
      <c r="F72" s="8" t="s">
        <v>1240</v>
      </c>
      <c r="G72" s="8" t="s">
        <v>1302</v>
      </c>
      <c r="H72" s="8" t="s">
        <v>1303</v>
      </c>
      <c r="I72" s="8" t="s">
        <v>1394</v>
      </c>
      <c r="J72" s="8" t="s">
        <v>1204</v>
      </c>
      <c r="K72" s="8" t="s">
        <v>1099</v>
      </c>
      <c r="L72" s="10" t="s">
        <v>1170</v>
      </c>
      <c r="M72" s="10" t="s">
        <v>1395</v>
      </c>
      <c r="N72" s="10" t="s">
        <v>1396</v>
      </c>
      <c r="O72" s="8" t="s">
        <v>321</v>
      </c>
      <c r="P72" s="8"/>
      <c r="Q72" s="8">
        <v>20256</v>
      </c>
      <c r="R72" s="8">
        <v>106161</v>
      </c>
      <c r="S72" s="8"/>
      <c r="T72" s="8"/>
      <c r="U72" s="8" t="s">
        <v>331</v>
      </c>
      <c r="V72" s="8"/>
      <c r="W72" s="8"/>
      <c r="X72" s="8"/>
      <c r="Y72" s="8"/>
      <c r="Z72" s="10" t="s">
        <v>1278</v>
      </c>
      <c r="AA72" s="8" t="s">
        <v>331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1093</v>
      </c>
      <c r="E73" s="8" t="s">
        <v>123</v>
      </c>
      <c r="F73" s="8" t="s">
        <v>1107</v>
      </c>
      <c r="G73" s="8" t="s">
        <v>1266</v>
      </c>
      <c r="H73" s="8" t="s">
        <v>1196</v>
      </c>
      <c r="I73" s="8" t="s">
        <v>1398</v>
      </c>
      <c r="J73" s="8" t="s">
        <v>1204</v>
      </c>
      <c r="K73" s="8" t="s">
        <v>1099</v>
      </c>
      <c r="L73" s="10" t="s">
        <v>1399</v>
      </c>
      <c r="M73" s="10" t="s">
        <v>1400</v>
      </c>
      <c r="N73" s="10" t="s">
        <v>1401</v>
      </c>
      <c r="O73" s="8" t="s">
        <v>321</v>
      </c>
      <c r="P73" s="8">
        <v>1564</v>
      </c>
      <c r="Q73" s="8">
        <v>3945</v>
      </c>
      <c r="R73" s="8">
        <v>26482</v>
      </c>
      <c r="S73" s="8" t="s">
        <v>331</v>
      </c>
      <c r="T73" s="8"/>
      <c r="U73" s="8"/>
      <c r="V73" s="8"/>
      <c r="W73" s="8"/>
      <c r="X73" s="8"/>
      <c r="Y73" s="8"/>
      <c r="Z73" s="10" t="s">
        <v>1264</v>
      </c>
      <c r="AA73" s="8" t="s">
        <v>331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1093</v>
      </c>
      <c r="E74" s="8" t="s">
        <v>123</v>
      </c>
      <c r="F74" s="8" t="s">
        <v>1107</v>
      </c>
      <c r="G74" s="8" t="s">
        <v>1317</v>
      </c>
      <c r="H74" s="8" t="s">
        <v>1402</v>
      </c>
      <c r="I74" s="8" t="s">
        <v>1403</v>
      </c>
      <c r="J74" s="8" t="s">
        <v>1204</v>
      </c>
      <c r="K74" s="8" t="s">
        <v>1099</v>
      </c>
      <c r="L74" s="10" t="s">
        <v>1404</v>
      </c>
      <c r="M74" s="10" t="s">
        <v>1405</v>
      </c>
      <c r="N74" s="10" t="s">
        <v>1406</v>
      </c>
      <c r="O74" s="8" t="s">
        <v>321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331</v>
      </c>
      <c r="Z74" s="10" t="s">
        <v>1407</v>
      </c>
      <c r="AA74" s="8" t="s">
        <v>331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1093</v>
      </c>
      <c r="E75" s="8" t="s">
        <v>123</v>
      </c>
      <c r="F75" s="8" t="s">
        <v>1154</v>
      </c>
      <c r="G75" s="8" t="s">
        <v>1166</v>
      </c>
      <c r="H75" s="8" t="s">
        <v>1120</v>
      </c>
      <c r="I75" s="8" t="s">
        <v>1408</v>
      </c>
      <c r="J75" s="8" t="s">
        <v>1204</v>
      </c>
      <c r="K75" s="8" t="s">
        <v>1099</v>
      </c>
      <c r="L75" s="10" t="s">
        <v>1293</v>
      </c>
      <c r="M75" s="10" t="s">
        <v>1409</v>
      </c>
      <c r="N75" s="10" t="s">
        <v>1410</v>
      </c>
      <c r="O75" s="8" t="s">
        <v>1106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1327</v>
      </c>
      <c r="AA75" s="8" t="s">
        <v>331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1093</v>
      </c>
      <c r="E76" s="8" t="s">
        <v>123</v>
      </c>
      <c r="F76" s="8" t="s">
        <v>1189</v>
      </c>
      <c r="G76" s="8" t="s">
        <v>1166</v>
      </c>
      <c r="H76" s="8" t="s">
        <v>1120</v>
      </c>
      <c r="I76" s="8" t="s">
        <v>1411</v>
      </c>
      <c r="J76" s="8" t="s">
        <v>1214</v>
      </c>
      <c r="K76" s="8" t="s">
        <v>1099</v>
      </c>
      <c r="L76" s="10" t="s">
        <v>1186</v>
      </c>
      <c r="M76" s="10" t="s">
        <v>1412</v>
      </c>
      <c r="N76" s="10" t="s">
        <v>1413</v>
      </c>
      <c r="O76" s="8" t="s">
        <v>321</v>
      </c>
      <c r="P76" s="8"/>
      <c r="Q76" s="8"/>
      <c r="R76" s="8">
        <v>25863</v>
      </c>
      <c r="S76" s="8" t="s">
        <v>331</v>
      </c>
      <c r="T76" s="8"/>
      <c r="U76" s="8"/>
      <c r="V76" s="8"/>
      <c r="W76" s="8"/>
      <c r="X76" s="8"/>
      <c r="Y76" s="8"/>
      <c r="Z76" s="10" t="s">
        <v>1264</v>
      </c>
      <c r="AA76" s="8" t="s">
        <v>331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1093</v>
      </c>
      <c r="E77" s="8" t="s">
        <v>123</v>
      </c>
      <c r="F77" s="8" t="s">
        <v>1263</v>
      </c>
      <c r="G77" s="8" t="s">
        <v>1414</v>
      </c>
      <c r="H77" s="8" t="s">
        <v>1415</v>
      </c>
      <c r="I77" s="8" t="s">
        <v>1411</v>
      </c>
      <c r="J77" s="8" t="s">
        <v>1214</v>
      </c>
      <c r="K77" s="8" t="s">
        <v>1099</v>
      </c>
      <c r="L77" s="10" t="s">
        <v>1186</v>
      </c>
      <c r="M77" s="10" t="s">
        <v>1412</v>
      </c>
      <c r="N77" s="10" t="s">
        <v>1413</v>
      </c>
      <c r="O77" s="8" t="s">
        <v>362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1416</v>
      </c>
      <c r="AA77" s="8" t="s">
        <v>331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1093</v>
      </c>
      <c r="E78" s="8" t="s">
        <v>123</v>
      </c>
      <c r="F78" s="8" t="s">
        <v>1107</v>
      </c>
      <c r="G78" s="8" t="s">
        <v>1166</v>
      </c>
      <c r="H78" s="8" t="s">
        <v>1417</v>
      </c>
      <c r="I78" s="8" t="s">
        <v>1418</v>
      </c>
      <c r="J78" s="8" t="s">
        <v>1214</v>
      </c>
      <c r="K78" s="8" t="s">
        <v>1099</v>
      </c>
      <c r="L78" s="10" t="s">
        <v>1419</v>
      </c>
      <c r="M78" s="10" t="s">
        <v>1420</v>
      </c>
      <c r="N78" s="10" t="s">
        <v>216</v>
      </c>
      <c r="O78" s="8" t="s">
        <v>362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1421</v>
      </c>
      <c r="AA78" s="8" t="s">
        <v>331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1093</v>
      </c>
      <c r="E79" s="8" t="s">
        <v>123</v>
      </c>
      <c r="F79" s="8" t="s">
        <v>1376</v>
      </c>
      <c r="G79" s="8" t="s">
        <v>1343</v>
      </c>
      <c r="H79" s="8" t="s">
        <v>1302</v>
      </c>
      <c r="I79" s="8" t="s">
        <v>1422</v>
      </c>
      <c r="J79" s="8" t="s">
        <v>1214</v>
      </c>
      <c r="K79" s="8" t="s">
        <v>1099</v>
      </c>
      <c r="L79" s="10" t="s">
        <v>1378</v>
      </c>
      <c r="M79" s="10" t="s">
        <v>1423</v>
      </c>
      <c r="N79" s="10" t="s">
        <v>1424</v>
      </c>
      <c r="O79" s="8" t="s">
        <v>1106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1264</v>
      </c>
      <c r="AA79" s="8" t="s">
        <v>331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1093</v>
      </c>
      <c r="E80" s="8" t="s">
        <v>123</v>
      </c>
      <c r="F80" s="8" t="s">
        <v>1182</v>
      </c>
      <c r="G80" s="8" t="s">
        <v>1149</v>
      </c>
      <c r="H80" s="8" t="s">
        <v>1425</v>
      </c>
      <c r="I80" s="8" t="s">
        <v>1426</v>
      </c>
      <c r="J80" s="8" t="s">
        <v>1214</v>
      </c>
      <c r="K80" s="8" t="s">
        <v>1099</v>
      </c>
      <c r="L80" s="10" t="s">
        <v>1314</v>
      </c>
      <c r="M80" s="10" t="s">
        <v>1427</v>
      </c>
      <c r="N80" s="10" t="s">
        <v>1428</v>
      </c>
      <c r="O80" s="8" t="s">
        <v>321</v>
      </c>
      <c r="P80" s="8"/>
      <c r="Q80" s="8"/>
      <c r="R80" s="8">
        <v>10649</v>
      </c>
      <c r="S80" s="8" t="s">
        <v>331</v>
      </c>
      <c r="T80" s="8"/>
      <c r="U80" s="8"/>
      <c r="V80" s="8"/>
      <c r="W80" s="8"/>
      <c r="X80" s="8"/>
      <c r="Y80" s="8"/>
      <c r="Z80" s="10" t="s">
        <v>1264</v>
      </c>
      <c r="AA80" s="8" t="s">
        <v>331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1093</v>
      </c>
      <c r="E81" s="8" t="s">
        <v>123</v>
      </c>
      <c r="F81" s="8" t="s">
        <v>1182</v>
      </c>
      <c r="G81" s="8" t="s">
        <v>1266</v>
      </c>
      <c r="H81" s="8" t="s">
        <v>1312</v>
      </c>
      <c r="I81" s="8" t="s">
        <v>1429</v>
      </c>
      <c r="J81" s="8" t="s">
        <v>1214</v>
      </c>
      <c r="K81" s="8" t="s">
        <v>1099</v>
      </c>
      <c r="L81" s="10" t="s">
        <v>1314</v>
      </c>
      <c r="M81" s="10" t="s">
        <v>1430</v>
      </c>
      <c r="N81" s="10" t="s">
        <v>1295</v>
      </c>
      <c r="O81" s="8" t="s">
        <v>321</v>
      </c>
      <c r="P81" s="8"/>
      <c r="Q81" s="8"/>
      <c r="R81" s="8">
        <v>125941</v>
      </c>
      <c r="S81" s="8" t="s">
        <v>331</v>
      </c>
      <c r="T81" s="8"/>
      <c r="U81" s="8"/>
      <c r="V81" s="8"/>
      <c r="W81" s="8"/>
      <c r="X81" s="8"/>
      <c r="Y81" s="8"/>
      <c r="Z81" s="10" t="s">
        <v>1264</v>
      </c>
      <c r="AA81" s="8" t="s">
        <v>331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1093</v>
      </c>
      <c r="E82" s="8" t="s">
        <v>123</v>
      </c>
      <c r="F82" s="8" t="s">
        <v>1103</v>
      </c>
      <c r="G82" s="8" t="s">
        <v>1279</v>
      </c>
      <c r="H82" s="8" t="s">
        <v>1431</v>
      </c>
      <c r="I82" s="8" t="s">
        <v>1429</v>
      </c>
      <c r="J82" s="8" t="s">
        <v>1214</v>
      </c>
      <c r="K82" s="8" t="s">
        <v>1099</v>
      </c>
      <c r="L82" s="10" t="s">
        <v>1314</v>
      </c>
      <c r="M82" s="10" t="s">
        <v>1430</v>
      </c>
      <c r="N82" s="10" t="s">
        <v>1295</v>
      </c>
      <c r="O82" s="8" t="s">
        <v>321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331</v>
      </c>
      <c r="Z82" s="10" t="s">
        <v>1337</v>
      </c>
      <c r="AA82" s="8" t="s">
        <v>331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1093</v>
      </c>
      <c r="E83" s="8" t="s">
        <v>123</v>
      </c>
      <c r="F83" s="8" t="s">
        <v>1383</v>
      </c>
      <c r="G83" s="8" t="s">
        <v>1120</v>
      </c>
      <c r="H83" s="8" t="s">
        <v>1432</v>
      </c>
      <c r="I83" s="8" t="s">
        <v>1429</v>
      </c>
      <c r="J83" s="8" t="s">
        <v>1214</v>
      </c>
      <c r="K83" s="8" t="s">
        <v>1099</v>
      </c>
      <c r="L83" s="10" t="s">
        <v>1314</v>
      </c>
      <c r="M83" s="10" t="s">
        <v>1430</v>
      </c>
      <c r="N83" s="10" t="s">
        <v>1295</v>
      </c>
      <c r="O83" s="8" t="s">
        <v>321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331</v>
      </c>
      <c r="Z83" s="10" t="s">
        <v>1433</v>
      </c>
      <c r="AA83" s="8" t="s">
        <v>331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1093</v>
      </c>
      <c r="E84" s="8" t="s">
        <v>123</v>
      </c>
      <c r="F84" s="8" t="s">
        <v>1182</v>
      </c>
      <c r="G84" s="8" t="s">
        <v>1279</v>
      </c>
      <c r="H84" s="8" t="s">
        <v>1148</v>
      </c>
      <c r="I84" s="8" t="s">
        <v>1434</v>
      </c>
      <c r="J84" s="8" t="s">
        <v>1214</v>
      </c>
      <c r="K84" s="8" t="s">
        <v>1099</v>
      </c>
      <c r="L84" s="10" t="s">
        <v>1314</v>
      </c>
      <c r="M84" s="10" t="s">
        <v>1435</v>
      </c>
      <c r="N84" s="10" t="s">
        <v>1436</v>
      </c>
      <c r="O84" s="8" t="s">
        <v>321</v>
      </c>
      <c r="P84" s="8"/>
      <c r="Q84" s="8"/>
      <c r="R84" s="8">
        <v>205657</v>
      </c>
      <c r="S84" s="8" t="s">
        <v>331</v>
      </c>
      <c r="T84" s="8"/>
      <c r="U84" s="8"/>
      <c r="V84" s="8"/>
      <c r="W84" s="8"/>
      <c r="X84" s="8"/>
      <c r="Y84" s="8"/>
      <c r="Z84" s="10" t="s">
        <v>1264</v>
      </c>
      <c r="AA84" s="8" t="s">
        <v>331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1093</v>
      </c>
      <c r="E85" s="8" t="s">
        <v>123</v>
      </c>
      <c r="F85" s="8" t="s">
        <v>1182</v>
      </c>
      <c r="G85" s="8" t="s">
        <v>1148</v>
      </c>
      <c r="H85" s="8" t="s">
        <v>1149</v>
      </c>
      <c r="I85" s="8" t="s">
        <v>1437</v>
      </c>
      <c r="J85" s="8" t="s">
        <v>1214</v>
      </c>
      <c r="K85" s="8" t="s">
        <v>1099</v>
      </c>
      <c r="L85" s="10" t="s">
        <v>1314</v>
      </c>
      <c r="M85" s="10" t="s">
        <v>1438</v>
      </c>
      <c r="N85" s="10" t="s">
        <v>1439</v>
      </c>
      <c r="O85" s="8" t="s">
        <v>321</v>
      </c>
      <c r="P85" s="8"/>
      <c r="Q85" s="8"/>
      <c r="R85" s="8">
        <v>97619</v>
      </c>
      <c r="S85" s="8" t="s">
        <v>331</v>
      </c>
      <c r="T85" s="8"/>
      <c r="U85" s="8"/>
      <c r="V85" s="8"/>
      <c r="W85" s="8"/>
      <c r="X85" s="8"/>
      <c r="Y85" s="8"/>
      <c r="Z85" s="10" t="s">
        <v>1264</v>
      </c>
      <c r="AA85" s="8" t="s">
        <v>331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1093</v>
      </c>
      <c r="E86" s="8" t="s">
        <v>123</v>
      </c>
      <c r="F86" s="8" t="s">
        <v>1240</v>
      </c>
      <c r="G86" s="8" t="s">
        <v>1440</v>
      </c>
      <c r="H86" s="8" t="s">
        <v>1258</v>
      </c>
      <c r="I86" s="8" t="s">
        <v>1441</v>
      </c>
      <c r="J86" s="8" t="s">
        <v>1214</v>
      </c>
      <c r="K86" s="8" t="s">
        <v>1099</v>
      </c>
      <c r="L86" s="10" t="s">
        <v>1378</v>
      </c>
      <c r="M86" s="10" t="s">
        <v>1442</v>
      </c>
      <c r="N86" s="10" t="s">
        <v>1424</v>
      </c>
      <c r="O86" s="8" t="s">
        <v>362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1443</v>
      </c>
      <c r="AA86" s="8" t="s">
        <v>331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1093</v>
      </c>
      <c r="E87" s="8" t="s">
        <v>123</v>
      </c>
      <c r="F87" s="8" t="s">
        <v>1240</v>
      </c>
      <c r="G87" s="8" t="s">
        <v>1284</v>
      </c>
      <c r="H87" s="8" t="s">
        <v>1166</v>
      </c>
      <c r="I87" s="8" t="s">
        <v>1441</v>
      </c>
      <c r="J87" s="8" t="s">
        <v>1214</v>
      </c>
      <c r="K87" s="8" t="s">
        <v>1099</v>
      </c>
      <c r="L87" s="10" t="s">
        <v>1378</v>
      </c>
      <c r="M87" s="10" t="s">
        <v>1442</v>
      </c>
      <c r="N87" s="10" t="s">
        <v>1424</v>
      </c>
      <c r="O87" s="8" t="s">
        <v>321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331</v>
      </c>
      <c r="Z87" s="10" t="s">
        <v>1444</v>
      </c>
      <c r="AA87" s="8" t="s">
        <v>331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1093</v>
      </c>
      <c r="E88" s="8" t="s">
        <v>123</v>
      </c>
      <c r="F88" s="8" t="s">
        <v>1154</v>
      </c>
      <c r="G88" s="8" t="s">
        <v>1266</v>
      </c>
      <c r="H88" s="8" t="s">
        <v>1445</v>
      </c>
      <c r="I88" s="8" t="s">
        <v>1446</v>
      </c>
      <c r="J88" s="8" t="s">
        <v>1214</v>
      </c>
      <c r="K88" s="8" t="s">
        <v>1099</v>
      </c>
      <c r="L88" s="10" t="s">
        <v>1378</v>
      </c>
      <c r="M88" s="10" t="s">
        <v>1447</v>
      </c>
      <c r="N88" s="10" t="s">
        <v>1448</v>
      </c>
      <c r="O88" s="8" t="s">
        <v>362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1449</v>
      </c>
      <c r="AA88" s="8" t="s">
        <v>331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1093</v>
      </c>
      <c r="E89" s="8" t="s">
        <v>123</v>
      </c>
      <c r="F89" s="8" t="s">
        <v>1182</v>
      </c>
      <c r="G89" s="8" t="s">
        <v>1197</v>
      </c>
      <c r="H89" s="8" t="s">
        <v>1279</v>
      </c>
      <c r="I89" s="8" t="s">
        <v>1450</v>
      </c>
      <c r="J89" s="8" t="s">
        <v>1214</v>
      </c>
      <c r="K89" s="8" t="s">
        <v>1099</v>
      </c>
      <c r="L89" s="10" t="s">
        <v>1314</v>
      </c>
      <c r="M89" s="10" t="s">
        <v>1451</v>
      </c>
      <c r="N89" s="10" t="s">
        <v>1410</v>
      </c>
      <c r="O89" s="8" t="s">
        <v>321</v>
      </c>
      <c r="P89" s="8"/>
      <c r="Q89" s="8"/>
      <c r="R89" s="8">
        <v>164111</v>
      </c>
      <c r="S89" s="8" t="s">
        <v>331</v>
      </c>
      <c r="T89" s="8"/>
      <c r="U89" s="8"/>
      <c r="V89" s="8"/>
      <c r="W89" s="8"/>
      <c r="X89" s="8"/>
      <c r="Y89" s="8"/>
      <c r="Z89" s="10" t="s">
        <v>1264</v>
      </c>
      <c r="AA89" s="8" t="s">
        <v>331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1093</v>
      </c>
      <c r="E90" s="8" t="s">
        <v>123</v>
      </c>
      <c r="F90" s="8" t="s">
        <v>1189</v>
      </c>
      <c r="G90" s="8" t="s">
        <v>1303</v>
      </c>
      <c r="H90" s="8" t="s">
        <v>1342</v>
      </c>
      <c r="I90" s="8" t="s">
        <v>1452</v>
      </c>
      <c r="J90" s="8" t="s">
        <v>1214</v>
      </c>
      <c r="K90" s="8" t="s">
        <v>1099</v>
      </c>
      <c r="L90" s="10" t="s">
        <v>1453</v>
      </c>
      <c r="M90" s="10" t="s">
        <v>1454</v>
      </c>
      <c r="N90" s="10"/>
      <c r="O90" s="8" t="s">
        <v>1106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1264</v>
      </c>
      <c r="AA90" s="8" t="s">
        <v>331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1093</v>
      </c>
      <c r="E91" s="8" t="s">
        <v>123</v>
      </c>
      <c r="F91" s="8" t="s">
        <v>1107</v>
      </c>
      <c r="G91" s="8" t="s">
        <v>1196</v>
      </c>
      <c r="H91" s="8" t="s">
        <v>1279</v>
      </c>
      <c r="I91" s="8" t="s">
        <v>1455</v>
      </c>
      <c r="J91" s="8" t="s">
        <v>1214</v>
      </c>
      <c r="K91" s="8" t="s">
        <v>1099</v>
      </c>
      <c r="L91" s="10" t="s">
        <v>1456</v>
      </c>
      <c r="M91" s="10" t="s">
        <v>1457</v>
      </c>
      <c r="N91" s="10"/>
      <c r="O91" s="8" t="s">
        <v>321</v>
      </c>
      <c r="P91" s="8"/>
      <c r="Q91" s="8"/>
      <c r="R91" s="8">
        <v>60015</v>
      </c>
      <c r="S91" s="8" t="s">
        <v>331</v>
      </c>
      <c r="T91" s="8"/>
      <c r="U91" s="8"/>
      <c r="V91" s="8"/>
      <c r="W91" s="8"/>
      <c r="X91" s="8"/>
      <c r="Y91" s="8"/>
      <c r="Z91" s="10" t="s">
        <v>1264</v>
      </c>
      <c r="AA91" s="8" t="s">
        <v>331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1093</v>
      </c>
      <c r="E92" s="8" t="s">
        <v>123</v>
      </c>
      <c r="F92" s="8" t="s">
        <v>1232</v>
      </c>
      <c r="G92" s="8" t="s">
        <v>1284</v>
      </c>
      <c r="H92" s="8" t="s">
        <v>1233</v>
      </c>
      <c r="I92" s="8" t="s">
        <v>1234</v>
      </c>
      <c r="J92" s="8" t="s">
        <v>1235</v>
      </c>
      <c r="K92" s="8" t="s">
        <v>1099</v>
      </c>
      <c r="L92" s="10" t="s">
        <v>1236</v>
      </c>
      <c r="M92" s="10" t="s">
        <v>1237</v>
      </c>
      <c r="N92" s="10" t="s">
        <v>1238</v>
      </c>
      <c r="O92" s="8" t="s">
        <v>321</v>
      </c>
      <c r="P92" s="8"/>
      <c r="Q92" s="8">
        <v>4057</v>
      </c>
      <c r="R92" s="8">
        <v>212621</v>
      </c>
      <c r="S92" s="8"/>
      <c r="T92" s="8" t="s">
        <v>331</v>
      </c>
      <c r="U92" s="8"/>
      <c r="V92" s="8"/>
      <c r="W92" s="8"/>
      <c r="X92" s="8" t="s">
        <v>331</v>
      </c>
      <c r="Y92" s="8"/>
      <c r="Z92" s="10" t="s">
        <v>1239</v>
      </c>
      <c r="AA92" s="8" t="s">
        <v>331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1093</v>
      </c>
      <c r="E93" s="8" t="s">
        <v>123</v>
      </c>
      <c r="F93" s="8" t="s">
        <v>1165</v>
      </c>
      <c r="G93" s="8" t="s">
        <v>1303</v>
      </c>
      <c r="H93" s="8" t="s">
        <v>1342</v>
      </c>
      <c r="I93" s="8" t="s">
        <v>1458</v>
      </c>
      <c r="J93" s="8" t="s">
        <v>1459</v>
      </c>
      <c r="K93" s="8" t="s">
        <v>1099</v>
      </c>
      <c r="L93" s="10" t="s">
        <v>1170</v>
      </c>
      <c r="M93" s="10" t="s">
        <v>1460</v>
      </c>
      <c r="N93" s="10" t="s">
        <v>1461</v>
      </c>
      <c r="O93" s="8" t="s">
        <v>1106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162</v>
      </c>
      <c r="AA93" s="8" t="s">
        <v>331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1093</v>
      </c>
      <c r="E94" s="8" t="s">
        <v>123</v>
      </c>
      <c r="F94" s="8" t="s">
        <v>1165</v>
      </c>
      <c r="G94" s="8" t="s">
        <v>1343</v>
      </c>
      <c r="H94" s="8" t="s">
        <v>1302</v>
      </c>
      <c r="I94" s="8" t="s">
        <v>1462</v>
      </c>
      <c r="J94" s="8" t="s">
        <v>1459</v>
      </c>
      <c r="K94" s="8" t="s">
        <v>1099</v>
      </c>
      <c r="L94" s="10" t="s">
        <v>1170</v>
      </c>
      <c r="M94" s="10" t="s">
        <v>1463</v>
      </c>
      <c r="N94" s="10" t="s">
        <v>1464</v>
      </c>
      <c r="O94" s="8" t="s">
        <v>1106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162</v>
      </c>
      <c r="AA94" s="8" t="s">
        <v>331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1093</v>
      </c>
      <c r="E95" s="8" t="s">
        <v>123</v>
      </c>
      <c r="F95" s="8" t="s">
        <v>1182</v>
      </c>
      <c r="G95" s="8" t="s">
        <v>1297</v>
      </c>
      <c r="H95" s="8" t="s">
        <v>1273</v>
      </c>
      <c r="I95" s="8" t="s">
        <v>1465</v>
      </c>
      <c r="J95" s="8" t="s">
        <v>1459</v>
      </c>
      <c r="K95" s="8" t="s">
        <v>1099</v>
      </c>
      <c r="L95" s="10" t="s">
        <v>1466</v>
      </c>
      <c r="M95" s="10" t="s">
        <v>1467</v>
      </c>
      <c r="N95" s="10" t="s">
        <v>1468</v>
      </c>
      <c r="O95" s="8" t="s">
        <v>321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331</v>
      </c>
      <c r="Z95" s="10" t="s">
        <v>1469</v>
      </c>
      <c r="AA95" s="8" t="s">
        <v>331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1093</v>
      </c>
      <c r="E96" s="8" t="s">
        <v>123</v>
      </c>
      <c r="F96" s="8" t="s">
        <v>1165</v>
      </c>
      <c r="G96" s="8" t="s">
        <v>1120</v>
      </c>
      <c r="H96" s="8" t="s">
        <v>1343</v>
      </c>
      <c r="I96" s="8" t="s">
        <v>1470</v>
      </c>
      <c r="J96" s="8" t="s">
        <v>1459</v>
      </c>
      <c r="K96" s="8" t="s">
        <v>1099</v>
      </c>
      <c r="L96" s="10" t="s">
        <v>1170</v>
      </c>
      <c r="M96" s="10" t="s">
        <v>1463</v>
      </c>
      <c r="N96" s="10" t="s">
        <v>1471</v>
      </c>
      <c r="O96" s="8" t="s">
        <v>1106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162</v>
      </c>
      <c r="AA96" s="8" t="s">
        <v>331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1093</v>
      </c>
      <c r="E97" s="8" t="s">
        <v>123</v>
      </c>
      <c r="F97" s="8" t="s">
        <v>1366</v>
      </c>
      <c r="G97" s="8" t="s">
        <v>1343</v>
      </c>
      <c r="H97" s="8" t="s">
        <v>1302</v>
      </c>
      <c r="I97" s="8" t="s">
        <v>1470</v>
      </c>
      <c r="J97" s="8" t="s">
        <v>1459</v>
      </c>
      <c r="K97" s="8" t="s">
        <v>1099</v>
      </c>
      <c r="L97" s="10" t="s">
        <v>1170</v>
      </c>
      <c r="M97" s="10" t="s">
        <v>1463</v>
      </c>
      <c r="N97" s="10" t="s">
        <v>1471</v>
      </c>
      <c r="O97" s="8" t="s">
        <v>321</v>
      </c>
      <c r="P97" s="8"/>
      <c r="Q97" s="8"/>
      <c r="R97" s="8">
        <v>122431</v>
      </c>
      <c r="S97" s="8"/>
      <c r="T97" s="8"/>
      <c r="U97" s="8" t="s">
        <v>331</v>
      </c>
      <c r="V97" s="8"/>
      <c r="W97" s="8"/>
      <c r="X97" s="8"/>
      <c r="Y97" s="8"/>
      <c r="Z97" s="10" t="s">
        <v>1278</v>
      </c>
      <c r="AA97" s="8" t="s">
        <v>331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1093</v>
      </c>
      <c r="E98" s="8" t="s">
        <v>123</v>
      </c>
      <c r="F98" s="8" t="s">
        <v>1154</v>
      </c>
      <c r="G98" s="8" t="s">
        <v>1148</v>
      </c>
      <c r="H98" s="8" t="s">
        <v>1472</v>
      </c>
      <c r="I98" s="8" t="s">
        <v>1473</v>
      </c>
      <c r="J98" s="8" t="s">
        <v>1244</v>
      </c>
      <c r="K98" s="8" t="s">
        <v>1099</v>
      </c>
      <c r="L98" s="10" t="s">
        <v>1474</v>
      </c>
      <c r="M98" s="10" t="s">
        <v>1475</v>
      </c>
      <c r="N98" s="10" t="s">
        <v>1424</v>
      </c>
      <c r="O98" s="8" t="s">
        <v>321</v>
      </c>
      <c r="P98" s="8"/>
      <c r="Q98" s="8">
        <v>1758</v>
      </c>
      <c r="R98" s="8">
        <v>701</v>
      </c>
      <c r="S98" s="8" t="s">
        <v>331</v>
      </c>
      <c r="T98" s="8"/>
      <c r="U98" s="8"/>
      <c r="V98" s="8"/>
      <c r="W98" s="8"/>
      <c r="X98" s="8"/>
      <c r="Y98" s="8"/>
      <c r="Z98" s="10" t="s">
        <v>1264</v>
      </c>
      <c r="AA98" s="8" t="s">
        <v>331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1093</v>
      </c>
      <c r="E99" s="8" t="s">
        <v>123</v>
      </c>
      <c r="F99" s="8" t="s">
        <v>1119</v>
      </c>
      <c r="G99" s="8" t="s">
        <v>1476</v>
      </c>
      <c r="H99" s="8" t="s">
        <v>1477</v>
      </c>
      <c r="I99" s="8" t="s">
        <v>1478</v>
      </c>
      <c r="J99" s="8" t="s">
        <v>1479</v>
      </c>
      <c r="K99" s="8" t="s">
        <v>1099</v>
      </c>
      <c r="L99" s="10" t="s">
        <v>1480</v>
      </c>
      <c r="M99" s="10" t="s">
        <v>1481</v>
      </c>
      <c r="N99" s="10" t="s">
        <v>1482</v>
      </c>
      <c r="O99" s="8" t="s">
        <v>362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1483</v>
      </c>
      <c r="AA99" s="8" t="s">
        <v>331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1093</v>
      </c>
      <c r="E100" s="8" t="s">
        <v>123</v>
      </c>
      <c r="F100" s="8" t="s">
        <v>1263</v>
      </c>
      <c r="G100" s="8" t="s">
        <v>1196</v>
      </c>
      <c r="H100" s="8" t="s">
        <v>1279</v>
      </c>
      <c r="I100" s="8" t="s">
        <v>1478</v>
      </c>
      <c r="J100" s="8" t="s">
        <v>1479</v>
      </c>
      <c r="K100" s="8" t="s">
        <v>1099</v>
      </c>
      <c r="L100" s="10" t="s">
        <v>1480</v>
      </c>
      <c r="M100" s="10" t="s">
        <v>1481</v>
      </c>
      <c r="N100" s="10" t="s">
        <v>1482</v>
      </c>
      <c r="O100" s="8" t="s">
        <v>321</v>
      </c>
      <c r="P100" s="8"/>
      <c r="Q100" s="8"/>
      <c r="R100" s="8">
        <v>9817</v>
      </c>
      <c r="S100" s="8"/>
      <c r="T100" s="8"/>
      <c r="U100" s="8" t="s">
        <v>331</v>
      </c>
      <c r="V100" s="8"/>
      <c r="W100" s="8"/>
      <c r="X100" s="8"/>
      <c r="Y100" s="8"/>
      <c r="Z100" s="10" t="s">
        <v>1278</v>
      </c>
      <c r="AA100" s="8" t="s">
        <v>331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1093</v>
      </c>
      <c r="E101" s="8" t="s">
        <v>123</v>
      </c>
      <c r="F101" s="8" t="s">
        <v>1376</v>
      </c>
      <c r="G101" s="8" t="s">
        <v>1266</v>
      </c>
      <c r="H101" s="8" t="s">
        <v>1279</v>
      </c>
      <c r="I101" s="8" t="s">
        <v>1484</v>
      </c>
      <c r="J101" s="8" t="s">
        <v>1479</v>
      </c>
      <c r="K101" s="8" t="s">
        <v>1099</v>
      </c>
      <c r="L101" s="10" t="s">
        <v>1170</v>
      </c>
      <c r="M101" s="10" t="s">
        <v>1463</v>
      </c>
      <c r="N101" s="10" t="s">
        <v>1485</v>
      </c>
      <c r="O101" s="8" t="s">
        <v>362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1486</v>
      </c>
      <c r="AA101" s="8" t="s">
        <v>331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1093</v>
      </c>
      <c r="E102" s="8" t="s">
        <v>123</v>
      </c>
      <c r="F102" s="8" t="s">
        <v>1376</v>
      </c>
      <c r="G102" s="8" t="s">
        <v>1279</v>
      </c>
      <c r="H102" s="8" t="s">
        <v>1297</v>
      </c>
      <c r="I102" s="8" t="s">
        <v>1487</v>
      </c>
      <c r="J102" s="8" t="s">
        <v>1479</v>
      </c>
      <c r="K102" s="8" t="s">
        <v>1099</v>
      </c>
      <c r="L102" s="10" t="s">
        <v>1170</v>
      </c>
      <c r="M102" s="10" t="s">
        <v>1463</v>
      </c>
      <c r="N102" s="10" t="s">
        <v>1488</v>
      </c>
      <c r="O102" s="8" t="s">
        <v>362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1486</v>
      </c>
      <c r="AA102" s="8" t="s">
        <v>331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1093</v>
      </c>
      <c r="E103" s="8" t="s">
        <v>123</v>
      </c>
      <c r="F103" s="8" t="s">
        <v>1366</v>
      </c>
      <c r="G103" s="8" t="s">
        <v>1120</v>
      </c>
      <c r="H103" s="8" t="s">
        <v>1343</v>
      </c>
      <c r="I103" s="8" t="s">
        <v>1487</v>
      </c>
      <c r="J103" s="8" t="s">
        <v>1479</v>
      </c>
      <c r="K103" s="8" t="s">
        <v>1099</v>
      </c>
      <c r="L103" s="10" t="s">
        <v>1170</v>
      </c>
      <c r="M103" s="10" t="s">
        <v>1463</v>
      </c>
      <c r="N103" s="10" t="s">
        <v>1488</v>
      </c>
      <c r="O103" s="8" t="s">
        <v>321</v>
      </c>
      <c r="P103" s="8"/>
      <c r="Q103" s="8"/>
      <c r="R103" s="8">
        <v>50907</v>
      </c>
      <c r="S103" s="8"/>
      <c r="T103" s="8"/>
      <c r="U103" s="8" t="s">
        <v>331</v>
      </c>
      <c r="V103" s="8"/>
      <c r="W103" s="8"/>
      <c r="X103" s="8"/>
      <c r="Y103" s="8"/>
      <c r="Z103" s="10" t="s">
        <v>1278</v>
      </c>
      <c r="AA103" s="8" t="s">
        <v>331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1093</v>
      </c>
      <c r="E104" s="8" t="s">
        <v>123</v>
      </c>
      <c r="F104" s="8" t="s">
        <v>1323</v>
      </c>
      <c r="G104" s="8" t="s">
        <v>1279</v>
      </c>
      <c r="H104" s="8" t="s">
        <v>1149</v>
      </c>
      <c r="I104" s="8" t="s">
        <v>1489</v>
      </c>
      <c r="J104" s="8" t="s">
        <v>1479</v>
      </c>
      <c r="K104" s="8" t="s">
        <v>1099</v>
      </c>
      <c r="L104" s="10" t="s">
        <v>1388</v>
      </c>
      <c r="M104" s="10" t="s">
        <v>1326</v>
      </c>
      <c r="N104" s="10" t="s">
        <v>1358</v>
      </c>
      <c r="O104" s="8" t="s">
        <v>321</v>
      </c>
      <c r="P104" s="8"/>
      <c r="Q104" s="8"/>
      <c r="R104" s="8">
        <v>21343</v>
      </c>
      <c r="S104" s="8" t="s">
        <v>331</v>
      </c>
      <c r="T104" s="8"/>
      <c r="U104" s="8"/>
      <c r="V104" s="8"/>
      <c r="W104" s="8"/>
      <c r="X104" s="8"/>
      <c r="Y104" s="8"/>
      <c r="Z104" s="10" t="s">
        <v>1327</v>
      </c>
      <c r="AA104" s="8" t="s">
        <v>331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1093</v>
      </c>
      <c r="E105" s="8" t="s">
        <v>123</v>
      </c>
      <c r="F105" s="8" t="s">
        <v>1182</v>
      </c>
      <c r="G105" s="8" t="s">
        <v>1425</v>
      </c>
      <c r="H105" s="8" t="s">
        <v>1297</v>
      </c>
      <c r="I105" s="8" t="s">
        <v>1490</v>
      </c>
      <c r="J105" s="8" t="s">
        <v>1491</v>
      </c>
      <c r="K105" s="8" t="s">
        <v>1099</v>
      </c>
      <c r="L105" s="10" t="s">
        <v>1314</v>
      </c>
      <c r="M105" s="10" t="s">
        <v>1492</v>
      </c>
      <c r="N105" s="10" t="s">
        <v>1493</v>
      </c>
      <c r="O105" s="8" t="s">
        <v>321</v>
      </c>
      <c r="P105" s="8"/>
      <c r="Q105" s="8"/>
      <c r="R105" s="8">
        <v>22712</v>
      </c>
      <c r="S105" s="8" t="s">
        <v>331</v>
      </c>
      <c r="T105" s="8"/>
      <c r="U105" s="8"/>
      <c r="V105" s="8"/>
      <c r="W105" s="8"/>
      <c r="X105" s="8"/>
      <c r="Y105" s="8"/>
      <c r="Z105" s="10" t="s">
        <v>1264</v>
      </c>
      <c r="AA105" s="8" t="s">
        <v>331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1093</v>
      </c>
      <c r="E106" s="8" t="s">
        <v>123</v>
      </c>
      <c r="F106" s="8" t="s">
        <v>1383</v>
      </c>
      <c r="G106" s="8" t="s">
        <v>1149</v>
      </c>
      <c r="H106" s="8" t="s">
        <v>1494</v>
      </c>
      <c r="I106" s="8" t="s">
        <v>1495</v>
      </c>
      <c r="J106" s="8"/>
      <c r="K106" s="8" t="s">
        <v>1496</v>
      </c>
      <c r="L106" s="10" t="s">
        <v>1497</v>
      </c>
      <c r="M106" s="10" t="s">
        <v>1498</v>
      </c>
      <c r="N106" s="10" t="s">
        <v>1499</v>
      </c>
      <c r="O106" s="8" t="s">
        <v>321</v>
      </c>
      <c r="P106" s="8"/>
      <c r="Q106" s="8"/>
      <c r="R106" s="8">
        <v>0</v>
      </c>
      <c r="S106" s="8" t="s">
        <v>331</v>
      </c>
      <c r="T106" s="8"/>
      <c r="U106" s="8"/>
      <c r="V106" s="8"/>
      <c r="W106" s="8"/>
      <c r="X106" s="8"/>
      <c r="Y106" s="8"/>
      <c r="Z106" s="10" t="s">
        <v>1500</v>
      </c>
      <c r="AA106" s="8" t="s">
        <v>331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1093</v>
      </c>
      <c r="E107" s="8" t="s">
        <v>139</v>
      </c>
      <c r="F107" s="8" t="s">
        <v>1376</v>
      </c>
      <c r="G107" s="8" t="s">
        <v>1415</v>
      </c>
      <c r="H107" s="8" t="s">
        <v>1501</v>
      </c>
      <c r="I107" s="8" t="s">
        <v>1502</v>
      </c>
      <c r="J107" s="8" t="s">
        <v>1217</v>
      </c>
      <c r="K107" s="8" t="s">
        <v>1099</v>
      </c>
      <c r="L107" s="10" t="s">
        <v>1503</v>
      </c>
      <c r="M107" s="10" t="s">
        <v>1504</v>
      </c>
      <c r="N107" s="10" t="s">
        <v>1346</v>
      </c>
      <c r="O107" s="8" t="s">
        <v>321</v>
      </c>
      <c r="P107" s="8"/>
      <c r="Q107" s="8">
        <v>1256</v>
      </c>
      <c r="R107" s="8">
        <v>21126</v>
      </c>
      <c r="S107" s="8" t="s">
        <v>331</v>
      </c>
      <c r="T107" s="8"/>
      <c r="U107" s="8" t="s">
        <v>331</v>
      </c>
      <c r="V107" s="8"/>
      <c r="W107" s="8"/>
      <c r="X107" s="8"/>
      <c r="Y107" s="8"/>
      <c r="Z107" s="10" t="s">
        <v>116</v>
      </c>
      <c r="AA107" s="8" t="s">
        <v>331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1093</v>
      </c>
      <c r="E108" s="8" t="s">
        <v>139</v>
      </c>
      <c r="F108" s="8" t="s">
        <v>1182</v>
      </c>
      <c r="G108" s="8" t="s">
        <v>1505</v>
      </c>
      <c r="H108" s="8" t="s">
        <v>1476</v>
      </c>
      <c r="I108" s="8" t="s">
        <v>1502</v>
      </c>
      <c r="J108" s="8" t="s">
        <v>1217</v>
      </c>
      <c r="K108" s="8" t="s">
        <v>1099</v>
      </c>
      <c r="L108" s="10" t="s">
        <v>1503</v>
      </c>
      <c r="M108" s="10" t="s">
        <v>1504</v>
      </c>
      <c r="N108" s="10" t="s">
        <v>1346</v>
      </c>
      <c r="O108" s="8" t="s">
        <v>321</v>
      </c>
      <c r="P108" s="8"/>
      <c r="Q108" s="8">
        <v>1256</v>
      </c>
      <c r="R108" s="8">
        <v>21125</v>
      </c>
      <c r="S108" s="8" t="s">
        <v>331</v>
      </c>
      <c r="T108" s="8"/>
      <c r="U108" s="8" t="s">
        <v>331</v>
      </c>
      <c r="V108" s="8"/>
      <c r="W108" s="8"/>
      <c r="X108" s="8"/>
      <c r="Y108" s="8"/>
      <c r="Z108" s="10" t="s">
        <v>1506</v>
      </c>
      <c r="AA108" s="8" t="s">
        <v>331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1093</v>
      </c>
      <c r="E109" s="8" t="s">
        <v>139</v>
      </c>
      <c r="F109" s="8" t="s">
        <v>1263</v>
      </c>
      <c r="G109" s="8" t="s">
        <v>1507</v>
      </c>
      <c r="H109" s="8" t="s">
        <v>1508</v>
      </c>
      <c r="I109" s="8" t="s">
        <v>1502</v>
      </c>
      <c r="J109" s="8" t="s">
        <v>1217</v>
      </c>
      <c r="K109" s="8" t="s">
        <v>1099</v>
      </c>
      <c r="L109" s="10" t="s">
        <v>1503</v>
      </c>
      <c r="M109" s="10" t="s">
        <v>1504</v>
      </c>
      <c r="N109" s="10" t="s">
        <v>1346</v>
      </c>
      <c r="O109" s="8" t="s">
        <v>1106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331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1093</v>
      </c>
      <c r="E110" s="8" t="s">
        <v>139</v>
      </c>
      <c r="F110" s="8" t="s">
        <v>1376</v>
      </c>
      <c r="G110" s="8" t="s">
        <v>1415</v>
      </c>
      <c r="H110" s="8" t="s">
        <v>1501</v>
      </c>
      <c r="I110" s="8" t="s">
        <v>1509</v>
      </c>
      <c r="J110" s="8" t="s">
        <v>1217</v>
      </c>
      <c r="K110" s="8" t="s">
        <v>1099</v>
      </c>
      <c r="L110" s="10" t="s">
        <v>1503</v>
      </c>
      <c r="M110" s="10" t="s">
        <v>1504</v>
      </c>
      <c r="N110" s="10" t="s">
        <v>1346</v>
      </c>
      <c r="O110" s="8" t="s">
        <v>321</v>
      </c>
      <c r="P110" s="8"/>
      <c r="Q110" s="8">
        <v>2648</v>
      </c>
      <c r="R110" s="8">
        <v>37321</v>
      </c>
      <c r="S110" s="8" t="s">
        <v>331</v>
      </c>
      <c r="T110" s="8"/>
      <c r="U110" s="8" t="s">
        <v>331</v>
      </c>
      <c r="V110" s="8"/>
      <c r="W110" s="8"/>
      <c r="X110" s="8"/>
      <c r="Y110" s="8"/>
      <c r="Z110" s="10" t="s">
        <v>1510</v>
      </c>
      <c r="AA110" s="8" t="s">
        <v>331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1093</v>
      </c>
      <c r="E111" s="8" t="s">
        <v>139</v>
      </c>
      <c r="F111" s="8" t="s">
        <v>1263</v>
      </c>
      <c r="G111" s="8" t="s">
        <v>1507</v>
      </c>
      <c r="H111" s="8" t="s">
        <v>1508</v>
      </c>
      <c r="I111" s="8" t="s">
        <v>1509</v>
      </c>
      <c r="J111" s="8" t="s">
        <v>1217</v>
      </c>
      <c r="K111" s="8" t="s">
        <v>1099</v>
      </c>
      <c r="L111" s="10" t="s">
        <v>1503</v>
      </c>
      <c r="M111" s="10" t="s">
        <v>1504</v>
      </c>
      <c r="N111" s="10" t="s">
        <v>1346</v>
      </c>
      <c r="O111" s="8" t="s">
        <v>1106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331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1093</v>
      </c>
      <c r="E112" s="8" t="s">
        <v>139</v>
      </c>
      <c r="F112" s="8" t="s">
        <v>1232</v>
      </c>
      <c r="G112" s="8" t="s">
        <v>1511</v>
      </c>
      <c r="H112" s="8" t="s">
        <v>1512</v>
      </c>
      <c r="I112" s="8" t="s">
        <v>1513</v>
      </c>
      <c r="J112" s="8" t="s">
        <v>1514</v>
      </c>
      <c r="K112" s="8" t="s">
        <v>1496</v>
      </c>
      <c r="L112" s="10" t="s">
        <v>1515</v>
      </c>
      <c r="M112" s="10" t="s">
        <v>1516</v>
      </c>
      <c r="N112" s="10">
        <v>24</v>
      </c>
      <c r="O112" s="8" t="s">
        <v>321</v>
      </c>
      <c r="P112" s="8"/>
      <c r="Q112" s="8"/>
      <c r="R112" s="8">
        <v>0</v>
      </c>
      <c r="S112" s="8"/>
      <c r="T112" s="8" t="s">
        <v>331</v>
      </c>
      <c r="U112" s="8"/>
      <c r="V112" s="8"/>
      <c r="W112" s="8"/>
      <c r="X112" s="8"/>
      <c r="Y112" s="8" t="s">
        <v>331</v>
      </c>
      <c r="Z112" s="10" t="s">
        <v>1517</v>
      </c>
      <c r="AA112" s="8" t="s">
        <v>331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1093</v>
      </c>
      <c r="E113" s="8" t="s">
        <v>139</v>
      </c>
      <c r="F113" s="8" t="s">
        <v>1232</v>
      </c>
      <c r="G113" s="8" t="s">
        <v>1518</v>
      </c>
      <c r="H113" s="8" t="s">
        <v>1512</v>
      </c>
      <c r="I113" s="8" t="s">
        <v>1519</v>
      </c>
      <c r="J113" s="8" t="s">
        <v>1514</v>
      </c>
      <c r="K113" s="8" t="s">
        <v>1496</v>
      </c>
      <c r="L113" s="10" t="s">
        <v>1515</v>
      </c>
      <c r="M113" s="10" t="s">
        <v>1516</v>
      </c>
      <c r="N113" s="10">
        <v>31</v>
      </c>
      <c r="O113" s="8" t="s">
        <v>362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1520</v>
      </c>
      <c r="AA113" s="8" t="s">
        <v>331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1093</v>
      </c>
      <c r="E114" s="8" t="s">
        <v>128</v>
      </c>
      <c r="F114" s="8" t="s">
        <v>1521</v>
      </c>
      <c r="G114" s="8" t="s">
        <v>1440</v>
      </c>
      <c r="H114" s="8" t="s">
        <v>1522</v>
      </c>
      <c r="I114" s="8" t="s">
        <v>1097</v>
      </c>
      <c r="J114" s="8" t="s">
        <v>1098</v>
      </c>
      <c r="K114" s="8" t="s">
        <v>1099</v>
      </c>
      <c r="L114" s="10" t="s">
        <v>1100</v>
      </c>
      <c r="M114" s="10" t="s">
        <v>1101</v>
      </c>
      <c r="N114" s="10" t="s">
        <v>128</v>
      </c>
      <c r="O114" s="8" t="s">
        <v>321</v>
      </c>
      <c r="P114" s="8"/>
      <c r="Q114" s="8">
        <v>3837</v>
      </c>
      <c r="R114" s="8">
        <v>28357</v>
      </c>
      <c r="S114" s="8" t="s">
        <v>331</v>
      </c>
      <c r="T114" s="8"/>
      <c r="U114" s="8"/>
      <c r="V114" s="8"/>
      <c r="W114" s="8"/>
      <c r="X114" s="8"/>
      <c r="Y114" s="8"/>
      <c r="Z114" s="10" t="s">
        <v>1102</v>
      </c>
      <c r="AA114" s="8" t="s">
        <v>331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1093</v>
      </c>
      <c r="E115" s="8" t="s">
        <v>128</v>
      </c>
      <c r="F115" s="8" t="s">
        <v>1523</v>
      </c>
      <c r="G115" s="8" t="s">
        <v>1095</v>
      </c>
      <c r="H115" s="8" t="s">
        <v>1524</v>
      </c>
      <c r="I115" s="8" t="s">
        <v>1110</v>
      </c>
      <c r="J115" s="8" t="s">
        <v>1111</v>
      </c>
      <c r="K115" s="8" t="s">
        <v>1099</v>
      </c>
      <c r="L115" s="10" t="s">
        <v>1112</v>
      </c>
      <c r="M115" s="10" t="s">
        <v>1113</v>
      </c>
      <c r="N115" s="10" t="s">
        <v>128</v>
      </c>
      <c r="O115" s="8" t="s">
        <v>1106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1106</v>
      </c>
      <c r="AA115" s="8" t="s">
        <v>331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1093</v>
      </c>
      <c r="E116" s="8" t="s">
        <v>128</v>
      </c>
      <c r="F116" s="8" t="s">
        <v>1523</v>
      </c>
      <c r="G116" s="8" t="s">
        <v>1525</v>
      </c>
      <c r="H116" s="8" t="s">
        <v>1526</v>
      </c>
      <c r="I116" s="8" t="s">
        <v>1116</v>
      </c>
      <c r="J116" s="8" t="s">
        <v>1111</v>
      </c>
      <c r="K116" s="8" t="s">
        <v>1099</v>
      </c>
      <c r="L116" s="10" t="s">
        <v>1117</v>
      </c>
      <c r="M116" s="10" t="s">
        <v>1118</v>
      </c>
      <c r="N116" s="10"/>
      <c r="O116" s="8" t="s">
        <v>1106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1106</v>
      </c>
      <c r="AA116" s="8" t="s">
        <v>331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1093</v>
      </c>
      <c r="E117" s="8" t="s">
        <v>128</v>
      </c>
      <c r="F117" s="8" t="s">
        <v>1521</v>
      </c>
      <c r="G117" s="8" t="s">
        <v>1527</v>
      </c>
      <c r="H117" s="8" t="s">
        <v>1528</v>
      </c>
      <c r="I117" s="8" t="s">
        <v>1116</v>
      </c>
      <c r="J117" s="8" t="s">
        <v>1111</v>
      </c>
      <c r="K117" s="8" t="s">
        <v>1099</v>
      </c>
      <c r="L117" s="10" t="s">
        <v>1117</v>
      </c>
      <c r="M117" s="10" t="s">
        <v>1118</v>
      </c>
      <c r="N117" s="10"/>
      <c r="O117" s="8" t="s">
        <v>321</v>
      </c>
      <c r="P117" s="8"/>
      <c r="Q117" s="8">
        <v>2059</v>
      </c>
      <c r="R117" s="8">
        <v>16284</v>
      </c>
      <c r="S117" s="8" t="s">
        <v>331</v>
      </c>
      <c r="T117" s="8"/>
      <c r="U117" s="8"/>
      <c r="V117" s="8"/>
      <c r="W117" s="8"/>
      <c r="X117" s="8"/>
      <c r="Y117" s="8"/>
      <c r="Z117" s="10" t="s">
        <v>116</v>
      </c>
      <c r="AA117" s="8" t="s">
        <v>331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1093</v>
      </c>
      <c r="E118" s="8" t="s">
        <v>128</v>
      </c>
      <c r="F118" s="8" t="s">
        <v>1529</v>
      </c>
      <c r="G118" s="8" t="s">
        <v>1530</v>
      </c>
      <c r="H118" s="8" t="s">
        <v>1531</v>
      </c>
      <c r="I118" s="8" t="s">
        <v>1122</v>
      </c>
      <c r="J118" s="8" t="s">
        <v>1111</v>
      </c>
      <c r="K118" s="8" t="s">
        <v>1099</v>
      </c>
      <c r="L118" s="10" t="s">
        <v>1123</v>
      </c>
      <c r="M118" s="10" t="s">
        <v>1124</v>
      </c>
      <c r="N118" s="10" t="s">
        <v>1125</v>
      </c>
      <c r="O118" s="8" t="s">
        <v>321</v>
      </c>
      <c r="P118" s="8"/>
      <c r="Q118" s="8">
        <v>21482</v>
      </c>
      <c r="R118" s="8">
        <v>57086</v>
      </c>
      <c r="S118" s="8" t="s">
        <v>331</v>
      </c>
      <c r="T118" s="8"/>
      <c r="U118" s="8"/>
      <c r="V118" s="8"/>
      <c r="W118" s="8"/>
      <c r="X118" s="8"/>
      <c r="Y118" s="8"/>
      <c r="Z118" s="10" t="s">
        <v>1102</v>
      </c>
      <c r="AA118" s="8" t="s">
        <v>331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1093</v>
      </c>
      <c r="E119" s="8" t="s">
        <v>128</v>
      </c>
      <c r="F119" s="8" t="s">
        <v>1523</v>
      </c>
      <c r="G119" s="8" t="s">
        <v>1532</v>
      </c>
      <c r="H119" s="8" t="s">
        <v>1533</v>
      </c>
      <c r="I119" s="8" t="s">
        <v>1128</v>
      </c>
      <c r="J119" s="8" t="s">
        <v>1111</v>
      </c>
      <c r="K119" s="8" t="s">
        <v>1099</v>
      </c>
      <c r="L119" s="10" t="s">
        <v>1129</v>
      </c>
      <c r="M119" s="10" t="s">
        <v>1130</v>
      </c>
      <c r="N119" s="10" t="s">
        <v>1131</v>
      </c>
      <c r="O119" s="8" t="s">
        <v>1106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1106</v>
      </c>
      <c r="AA119" s="8" t="s">
        <v>331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1093</v>
      </c>
      <c r="E120" s="8" t="s">
        <v>128</v>
      </c>
      <c r="F120" s="8" t="s">
        <v>1523</v>
      </c>
      <c r="G120" s="8" t="s">
        <v>1302</v>
      </c>
      <c r="H120" s="8" t="s">
        <v>1534</v>
      </c>
      <c r="I120" s="8" t="s">
        <v>1134</v>
      </c>
      <c r="J120" s="8" t="s">
        <v>1111</v>
      </c>
      <c r="K120" s="8" t="s">
        <v>1099</v>
      </c>
      <c r="L120" s="10" t="s">
        <v>1135</v>
      </c>
      <c r="M120" s="10" t="s">
        <v>1136</v>
      </c>
      <c r="N120" s="10" t="s">
        <v>128</v>
      </c>
      <c r="O120" s="8" t="s">
        <v>1106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1106</v>
      </c>
      <c r="AA120" s="8" t="s">
        <v>331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1093</v>
      </c>
      <c r="E121" s="8" t="s">
        <v>128</v>
      </c>
      <c r="F121" s="8" t="s">
        <v>1523</v>
      </c>
      <c r="G121" s="8" t="s">
        <v>1535</v>
      </c>
      <c r="H121" s="8" t="s">
        <v>1525</v>
      </c>
      <c r="I121" s="8" t="s">
        <v>1139</v>
      </c>
      <c r="J121" s="8" t="s">
        <v>1140</v>
      </c>
      <c r="K121" s="8" t="s">
        <v>1099</v>
      </c>
      <c r="L121" s="10" t="s">
        <v>1141</v>
      </c>
      <c r="M121" s="10" t="s">
        <v>1142</v>
      </c>
      <c r="N121" s="10" t="s">
        <v>1143</v>
      </c>
      <c r="O121" s="8" t="s">
        <v>1106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1106</v>
      </c>
      <c r="AA121" s="8" t="s">
        <v>331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1093</v>
      </c>
      <c r="E122" s="8" t="s">
        <v>128</v>
      </c>
      <c r="F122" s="8" t="s">
        <v>1523</v>
      </c>
      <c r="G122" s="8" t="s">
        <v>1536</v>
      </c>
      <c r="H122" s="8" t="s">
        <v>1518</v>
      </c>
      <c r="I122" s="8" t="s">
        <v>1145</v>
      </c>
      <c r="J122" s="8" t="s">
        <v>1140</v>
      </c>
      <c r="K122" s="8" t="s">
        <v>1099</v>
      </c>
      <c r="L122" s="10" t="s">
        <v>1146</v>
      </c>
      <c r="M122" s="10" t="s">
        <v>1147</v>
      </c>
      <c r="N122" s="10" t="s">
        <v>1131</v>
      </c>
      <c r="O122" s="8" t="s">
        <v>1106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1106</v>
      </c>
      <c r="AA122" s="8" t="s">
        <v>331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1093</v>
      </c>
      <c r="E123" s="8" t="s">
        <v>128</v>
      </c>
      <c r="F123" s="8" t="s">
        <v>1523</v>
      </c>
      <c r="G123" s="8" t="s">
        <v>1526</v>
      </c>
      <c r="H123" s="8" t="s">
        <v>1537</v>
      </c>
      <c r="I123" s="8" t="s">
        <v>1150</v>
      </c>
      <c r="J123" s="8" t="s">
        <v>1140</v>
      </c>
      <c r="K123" s="8" t="s">
        <v>1099</v>
      </c>
      <c r="L123" s="10" t="s">
        <v>1151</v>
      </c>
      <c r="M123" s="10" t="s">
        <v>1152</v>
      </c>
      <c r="N123" s="10" t="s">
        <v>1153</v>
      </c>
      <c r="O123" s="8" t="s">
        <v>1106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1106</v>
      </c>
      <c r="AA123" s="8" t="s">
        <v>331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1093</v>
      </c>
      <c r="E124" s="8" t="s">
        <v>128</v>
      </c>
      <c r="F124" s="8" t="s">
        <v>1521</v>
      </c>
      <c r="G124" s="8" t="s">
        <v>1538</v>
      </c>
      <c r="H124" s="8" t="s">
        <v>1539</v>
      </c>
      <c r="I124" s="8" t="s">
        <v>1156</v>
      </c>
      <c r="J124" s="8" t="s">
        <v>1140</v>
      </c>
      <c r="K124" s="8" t="s">
        <v>1099</v>
      </c>
      <c r="L124" s="10" t="s">
        <v>1157</v>
      </c>
      <c r="M124" s="10" t="s">
        <v>1158</v>
      </c>
      <c r="N124" s="10"/>
      <c r="O124" s="8" t="s">
        <v>321</v>
      </c>
      <c r="P124" s="8"/>
      <c r="Q124" s="8">
        <v>296</v>
      </c>
      <c r="R124" s="8">
        <v>331</v>
      </c>
      <c r="S124" s="8" t="s">
        <v>331</v>
      </c>
      <c r="T124" s="8"/>
      <c r="U124" s="8"/>
      <c r="V124" s="8"/>
      <c r="W124" s="8"/>
      <c r="X124" s="8"/>
      <c r="Y124" s="8"/>
      <c r="Z124" s="10" t="s">
        <v>1102</v>
      </c>
      <c r="AA124" s="8" t="s">
        <v>331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1093</v>
      </c>
      <c r="E125" s="8" t="s">
        <v>128</v>
      </c>
      <c r="F125" s="8" t="s">
        <v>1540</v>
      </c>
      <c r="G125" s="8" t="s">
        <v>1541</v>
      </c>
      <c r="H125" s="8" t="s">
        <v>1542</v>
      </c>
      <c r="I125" s="8" t="s">
        <v>1162</v>
      </c>
      <c r="J125" s="8" t="s">
        <v>1140</v>
      </c>
      <c r="K125" s="8" t="s">
        <v>1099</v>
      </c>
      <c r="L125" s="10" t="s">
        <v>1163</v>
      </c>
      <c r="M125" s="10" t="s">
        <v>1164</v>
      </c>
      <c r="N125" s="10" t="s">
        <v>1131</v>
      </c>
      <c r="O125" s="8" t="s">
        <v>321</v>
      </c>
      <c r="P125" s="8"/>
      <c r="Q125" s="8">
        <v>416</v>
      </c>
      <c r="R125" s="8">
        <v>1248</v>
      </c>
      <c r="S125" s="8" t="s">
        <v>331</v>
      </c>
      <c r="T125" s="8"/>
      <c r="U125" s="8"/>
      <c r="V125" s="8"/>
      <c r="W125" s="8"/>
      <c r="X125" s="8"/>
      <c r="Y125" s="8"/>
      <c r="Z125" s="10" t="s">
        <v>1102</v>
      </c>
      <c r="AA125" s="8" t="s">
        <v>331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1093</v>
      </c>
      <c r="E126" s="8" t="s">
        <v>128</v>
      </c>
      <c r="F126" s="8" t="s">
        <v>1529</v>
      </c>
      <c r="G126" s="8" t="s">
        <v>1137</v>
      </c>
      <c r="H126" s="8" t="s">
        <v>1138</v>
      </c>
      <c r="I126" s="8" t="s">
        <v>1175</v>
      </c>
      <c r="J126" s="8" t="s">
        <v>1169</v>
      </c>
      <c r="K126" s="8" t="s">
        <v>1099</v>
      </c>
      <c r="L126" s="10" t="s">
        <v>1123</v>
      </c>
      <c r="M126" s="10" t="s">
        <v>1124</v>
      </c>
      <c r="N126" s="10" t="s">
        <v>1176</v>
      </c>
      <c r="O126" s="8" t="s">
        <v>321</v>
      </c>
      <c r="P126" s="8"/>
      <c r="Q126" s="8"/>
      <c r="R126" s="8">
        <v>76260</v>
      </c>
      <c r="S126" s="8" t="s">
        <v>331</v>
      </c>
      <c r="T126" s="8"/>
      <c r="U126" s="8"/>
      <c r="V126" s="8"/>
      <c r="W126" s="8"/>
      <c r="X126" s="8"/>
      <c r="Y126" s="8"/>
      <c r="Z126" s="10" t="s">
        <v>1102</v>
      </c>
      <c r="AA126" s="8" t="s">
        <v>331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1093</v>
      </c>
      <c r="E127" s="8" t="s">
        <v>128</v>
      </c>
      <c r="F127" s="8" t="s">
        <v>1543</v>
      </c>
      <c r="G127" s="8" t="s">
        <v>1317</v>
      </c>
      <c r="H127" s="8" t="s">
        <v>1544</v>
      </c>
      <c r="I127" s="8" t="s">
        <v>1545</v>
      </c>
      <c r="J127" s="8" t="s">
        <v>1169</v>
      </c>
      <c r="K127" s="8" t="s">
        <v>1099</v>
      </c>
      <c r="L127" s="10" t="s">
        <v>1546</v>
      </c>
      <c r="M127" s="10" t="s">
        <v>1547</v>
      </c>
      <c r="N127" s="10" t="s">
        <v>128</v>
      </c>
      <c r="O127" s="8" t="s">
        <v>362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1548</v>
      </c>
      <c r="AA127" s="8" t="s">
        <v>331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1093</v>
      </c>
      <c r="E128" s="8" t="s">
        <v>128</v>
      </c>
      <c r="F128" s="8" t="s">
        <v>1523</v>
      </c>
      <c r="G128" s="8" t="s">
        <v>1549</v>
      </c>
      <c r="H128" s="8" t="s">
        <v>1550</v>
      </c>
      <c r="I128" s="8" t="s">
        <v>1179</v>
      </c>
      <c r="J128" s="8" t="s">
        <v>1169</v>
      </c>
      <c r="K128" s="8" t="s">
        <v>1099</v>
      </c>
      <c r="L128" s="10" t="s">
        <v>1180</v>
      </c>
      <c r="M128" s="10" t="s">
        <v>1181</v>
      </c>
      <c r="N128" s="10" t="s">
        <v>128</v>
      </c>
      <c r="O128" s="8" t="s">
        <v>1106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1106</v>
      </c>
      <c r="AA128" s="8" t="s">
        <v>331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1093</v>
      </c>
      <c r="E129" s="8" t="s">
        <v>128</v>
      </c>
      <c r="F129" s="8" t="s">
        <v>1551</v>
      </c>
      <c r="G129" s="8" t="s">
        <v>1552</v>
      </c>
      <c r="H129" s="8" t="s">
        <v>1553</v>
      </c>
      <c r="I129" s="8" t="s">
        <v>1185</v>
      </c>
      <c r="J129" s="8" t="s">
        <v>1169</v>
      </c>
      <c r="K129" s="8" t="s">
        <v>1099</v>
      </c>
      <c r="L129" s="10" t="s">
        <v>1186</v>
      </c>
      <c r="M129" s="10" t="s">
        <v>1187</v>
      </c>
      <c r="N129" s="10" t="s">
        <v>1188</v>
      </c>
      <c r="O129" s="8" t="s">
        <v>1106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1102</v>
      </c>
      <c r="AA129" s="8" t="s">
        <v>331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1093</v>
      </c>
      <c r="E130" s="8" t="s">
        <v>128</v>
      </c>
      <c r="F130" s="8" t="s">
        <v>1554</v>
      </c>
      <c r="G130" s="8" t="s">
        <v>1555</v>
      </c>
      <c r="H130" s="8" t="s">
        <v>1270</v>
      </c>
      <c r="I130" s="8" t="s">
        <v>1192</v>
      </c>
      <c r="J130" s="8" t="s">
        <v>1193</v>
      </c>
      <c r="K130" s="8" t="s">
        <v>1099</v>
      </c>
      <c r="L130" s="10" t="s">
        <v>1194</v>
      </c>
      <c r="M130" s="10" t="s">
        <v>1195</v>
      </c>
      <c r="N130" s="10" t="s">
        <v>128</v>
      </c>
      <c r="O130" s="8" t="s">
        <v>1106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1106</v>
      </c>
      <c r="AA130" s="8" t="s">
        <v>331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1093</v>
      </c>
      <c r="E131" s="8" t="s">
        <v>128</v>
      </c>
      <c r="F131" s="8" t="s">
        <v>1551</v>
      </c>
      <c r="G131" s="8" t="s">
        <v>1556</v>
      </c>
      <c r="H131" s="8" t="s">
        <v>1258</v>
      </c>
      <c r="I131" s="8" t="s">
        <v>1198</v>
      </c>
      <c r="J131" s="8" t="s">
        <v>1193</v>
      </c>
      <c r="K131" s="8" t="s">
        <v>1099</v>
      </c>
      <c r="L131" s="10" t="s">
        <v>1199</v>
      </c>
      <c r="M131" s="10" t="s">
        <v>1200</v>
      </c>
      <c r="N131" s="10"/>
      <c r="O131" s="8" t="s">
        <v>1106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1106</v>
      </c>
      <c r="AA131" s="8" t="s">
        <v>331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1093</v>
      </c>
      <c r="E132" s="8" t="s">
        <v>128</v>
      </c>
      <c r="F132" s="8" t="s">
        <v>1543</v>
      </c>
      <c r="G132" s="8" t="s">
        <v>1245</v>
      </c>
      <c r="H132" s="8" t="s">
        <v>1095</v>
      </c>
      <c r="I132" s="8" t="s">
        <v>1198</v>
      </c>
      <c r="J132" s="8" t="s">
        <v>1193</v>
      </c>
      <c r="K132" s="8" t="s">
        <v>1099</v>
      </c>
      <c r="L132" s="10" t="s">
        <v>1199</v>
      </c>
      <c r="M132" s="10" t="s">
        <v>1200</v>
      </c>
      <c r="N132" s="10"/>
      <c r="O132" s="8" t="s">
        <v>362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1557</v>
      </c>
      <c r="AA132" s="8" t="s">
        <v>331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1093</v>
      </c>
      <c r="E133" s="8" t="s">
        <v>128</v>
      </c>
      <c r="F133" s="8" t="s">
        <v>1529</v>
      </c>
      <c r="G133" s="8" t="s">
        <v>1160</v>
      </c>
      <c r="H133" s="8" t="s">
        <v>1558</v>
      </c>
      <c r="I133" s="8" t="s">
        <v>1198</v>
      </c>
      <c r="J133" s="8" t="s">
        <v>1193</v>
      </c>
      <c r="K133" s="8" t="s">
        <v>1099</v>
      </c>
      <c r="L133" s="10" t="s">
        <v>1199</v>
      </c>
      <c r="M133" s="10" t="s">
        <v>1200</v>
      </c>
      <c r="N133" s="10"/>
      <c r="O133" s="8" t="s">
        <v>362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1559</v>
      </c>
      <c r="AA133" s="8" t="s">
        <v>331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1093</v>
      </c>
      <c r="E134" s="8" t="s">
        <v>128</v>
      </c>
      <c r="F134" s="8" t="s">
        <v>1560</v>
      </c>
      <c r="G134" s="8" t="s">
        <v>1561</v>
      </c>
      <c r="H134" s="8" t="s">
        <v>1562</v>
      </c>
      <c r="I134" s="8" t="s">
        <v>1198</v>
      </c>
      <c r="J134" s="8" t="s">
        <v>1193</v>
      </c>
      <c r="K134" s="8" t="s">
        <v>1099</v>
      </c>
      <c r="L134" s="10" t="s">
        <v>1199</v>
      </c>
      <c r="M134" s="10" t="s">
        <v>1200</v>
      </c>
      <c r="N134" s="10"/>
      <c r="O134" s="8" t="s">
        <v>362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1563</v>
      </c>
      <c r="AA134" s="8" t="s">
        <v>331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1093</v>
      </c>
      <c r="E135" s="8" t="s">
        <v>128</v>
      </c>
      <c r="F135" s="8" t="s">
        <v>1540</v>
      </c>
      <c r="G135" s="8" t="s">
        <v>1530</v>
      </c>
      <c r="H135" s="8" t="s">
        <v>1531</v>
      </c>
      <c r="I135" s="8" t="s">
        <v>1203</v>
      </c>
      <c r="J135" s="8" t="s">
        <v>1204</v>
      </c>
      <c r="K135" s="8" t="s">
        <v>1099</v>
      </c>
      <c r="L135" s="10" t="s">
        <v>1205</v>
      </c>
      <c r="M135" s="10" t="s">
        <v>1206</v>
      </c>
      <c r="N135" s="10" t="s">
        <v>128</v>
      </c>
      <c r="O135" s="8" t="s">
        <v>321</v>
      </c>
      <c r="P135" s="8"/>
      <c r="Q135" s="8">
        <v>11088</v>
      </c>
      <c r="R135" s="8">
        <v>145362</v>
      </c>
      <c r="S135" s="8" t="s">
        <v>331</v>
      </c>
      <c r="T135" s="8"/>
      <c r="U135" s="8"/>
      <c r="V135" s="8"/>
      <c r="W135" s="8"/>
      <c r="X135" s="8"/>
      <c r="Y135" s="8"/>
      <c r="Z135" s="10" t="s">
        <v>1102</v>
      </c>
      <c r="AA135" s="8" t="s">
        <v>331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1093</v>
      </c>
      <c r="E136" s="8" t="s">
        <v>128</v>
      </c>
      <c r="F136" s="8" t="s">
        <v>1551</v>
      </c>
      <c r="G136" s="8" t="s">
        <v>1564</v>
      </c>
      <c r="H136" s="8" t="s">
        <v>1565</v>
      </c>
      <c r="I136" s="8" t="s">
        <v>1209</v>
      </c>
      <c r="J136" s="8" t="s">
        <v>1204</v>
      </c>
      <c r="K136" s="8" t="s">
        <v>1099</v>
      </c>
      <c r="L136" s="10" t="s">
        <v>1210</v>
      </c>
      <c r="M136" s="10" t="s">
        <v>1211</v>
      </c>
      <c r="N136" s="10" t="s">
        <v>1188</v>
      </c>
      <c r="O136" s="8" t="s">
        <v>321</v>
      </c>
      <c r="P136" s="8"/>
      <c r="Q136" s="8">
        <v>1526</v>
      </c>
      <c r="R136" s="8">
        <v>234464</v>
      </c>
      <c r="S136" s="8" t="s">
        <v>331</v>
      </c>
      <c r="T136" s="8"/>
      <c r="U136" s="8"/>
      <c r="V136" s="8"/>
      <c r="W136" s="8"/>
      <c r="X136" s="8"/>
      <c r="Y136" s="8"/>
      <c r="Z136" s="10" t="s">
        <v>1102</v>
      </c>
      <c r="AA136" s="8" t="s">
        <v>331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1093</v>
      </c>
      <c r="E137" s="8" t="s">
        <v>128</v>
      </c>
      <c r="F137" s="8" t="s">
        <v>1529</v>
      </c>
      <c r="G137" s="8" t="s">
        <v>1566</v>
      </c>
      <c r="H137" s="8" t="s">
        <v>1567</v>
      </c>
      <c r="I137" s="8" t="s">
        <v>1213</v>
      </c>
      <c r="J137" s="8" t="s">
        <v>1214</v>
      </c>
      <c r="K137" s="8" t="s">
        <v>1099</v>
      </c>
      <c r="L137" s="10" t="s">
        <v>1123</v>
      </c>
      <c r="M137" s="10" t="s">
        <v>1124</v>
      </c>
      <c r="N137" s="10" t="s">
        <v>1215</v>
      </c>
      <c r="O137" s="8" t="s">
        <v>321</v>
      </c>
      <c r="P137" s="8"/>
      <c r="Q137" s="8"/>
      <c r="R137" s="8">
        <v>102415</v>
      </c>
      <c r="S137" s="8" t="s">
        <v>331</v>
      </c>
      <c r="T137" s="8"/>
      <c r="U137" s="8"/>
      <c r="V137" s="8"/>
      <c r="W137" s="8"/>
      <c r="X137" s="8"/>
      <c r="Y137" s="8"/>
      <c r="Z137" s="10" t="s">
        <v>1102</v>
      </c>
      <c r="AA137" s="8" t="s">
        <v>331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1093</v>
      </c>
      <c r="E138" s="8" t="s">
        <v>128</v>
      </c>
      <c r="F138" s="8" t="s">
        <v>1521</v>
      </c>
      <c r="G138" s="8" t="s">
        <v>1536</v>
      </c>
      <c r="H138" s="8" t="s">
        <v>1568</v>
      </c>
      <c r="I138" s="8" t="s">
        <v>1216</v>
      </c>
      <c r="J138" s="8" t="s">
        <v>1217</v>
      </c>
      <c r="K138" s="8" t="s">
        <v>1099</v>
      </c>
      <c r="L138" s="10" t="s">
        <v>1218</v>
      </c>
      <c r="M138" s="10" t="s">
        <v>1219</v>
      </c>
      <c r="N138" s="10" t="s">
        <v>1220</v>
      </c>
      <c r="O138" s="8" t="s">
        <v>321</v>
      </c>
      <c r="P138" s="8"/>
      <c r="Q138" s="8">
        <v>29263</v>
      </c>
      <c r="R138" s="8">
        <v>25842</v>
      </c>
      <c r="S138" s="8" t="s">
        <v>331</v>
      </c>
      <c r="T138" s="8"/>
      <c r="U138" s="8" t="s">
        <v>331</v>
      </c>
      <c r="V138" s="8"/>
      <c r="W138" s="8"/>
      <c r="X138" s="8"/>
      <c r="Y138" s="8"/>
      <c r="Z138" s="10" t="s">
        <v>1569</v>
      </c>
      <c r="AA138" s="8" t="s">
        <v>331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1093</v>
      </c>
      <c r="E139" s="8" t="s">
        <v>128</v>
      </c>
      <c r="F139" s="8" t="s">
        <v>1523</v>
      </c>
      <c r="G139" s="8" t="s">
        <v>1174</v>
      </c>
      <c r="H139" s="8" t="s">
        <v>1302</v>
      </c>
      <c r="I139" s="8" t="s">
        <v>1223</v>
      </c>
      <c r="J139" s="8" t="s">
        <v>1217</v>
      </c>
      <c r="K139" s="8" t="s">
        <v>1099</v>
      </c>
      <c r="L139" s="10" t="s">
        <v>1224</v>
      </c>
      <c r="M139" s="10" t="s">
        <v>1225</v>
      </c>
      <c r="N139" s="10" t="s">
        <v>1226</v>
      </c>
      <c r="O139" s="8" t="s">
        <v>321</v>
      </c>
      <c r="P139" s="8"/>
      <c r="Q139" s="8">
        <v>4345</v>
      </c>
      <c r="R139" s="8">
        <v>34130</v>
      </c>
      <c r="S139" s="8" t="s">
        <v>331</v>
      </c>
      <c r="T139" s="8"/>
      <c r="U139" s="8"/>
      <c r="V139" s="8"/>
      <c r="W139" s="8"/>
      <c r="X139" s="8"/>
      <c r="Y139" s="8"/>
      <c r="Z139" s="10" t="s">
        <v>1102</v>
      </c>
      <c r="AA139" s="8" t="s">
        <v>331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1093</v>
      </c>
      <c r="E140" s="8" t="s">
        <v>128</v>
      </c>
      <c r="F140" s="8" t="s">
        <v>1521</v>
      </c>
      <c r="G140" s="8" t="s">
        <v>1328</v>
      </c>
      <c r="H140" s="8" t="s">
        <v>1570</v>
      </c>
      <c r="I140" s="8" t="s">
        <v>1223</v>
      </c>
      <c r="J140" s="8" t="s">
        <v>1217</v>
      </c>
      <c r="K140" s="8" t="s">
        <v>1099</v>
      </c>
      <c r="L140" s="10" t="s">
        <v>1224</v>
      </c>
      <c r="M140" s="10" t="s">
        <v>1225</v>
      </c>
      <c r="N140" s="10" t="s">
        <v>1226</v>
      </c>
      <c r="O140" s="8" t="s">
        <v>321</v>
      </c>
      <c r="P140" s="8"/>
      <c r="Q140" s="8">
        <v>4337</v>
      </c>
      <c r="R140" s="8">
        <v>34138</v>
      </c>
      <c r="S140" s="8" t="s">
        <v>331</v>
      </c>
      <c r="T140" s="8"/>
      <c r="U140" s="8"/>
      <c r="V140" s="8"/>
      <c r="W140" s="8"/>
      <c r="X140" s="8"/>
      <c r="Y140" s="8"/>
      <c r="Z140" s="10" t="s">
        <v>1102</v>
      </c>
      <c r="AA140" s="8" t="s">
        <v>331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1093</v>
      </c>
      <c r="E141" s="8" t="s">
        <v>128</v>
      </c>
      <c r="F141" s="8" t="s">
        <v>1540</v>
      </c>
      <c r="G141" s="8" t="s">
        <v>1571</v>
      </c>
      <c r="H141" s="8" t="s">
        <v>1572</v>
      </c>
      <c r="I141" s="8" t="s">
        <v>1229</v>
      </c>
      <c r="J141" s="8" t="s">
        <v>1217</v>
      </c>
      <c r="K141" s="8" t="s">
        <v>1099</v>
      </c>
      <c r="L141" s="10" t="s">
        <v>1230</v>
      </c>
      <c r="M141" s="10" t="s">
        <v>1231</v>
      </c>
      <c r="N141" s="10" t="s">
        <v>128</v>
      </c>
      <c r="O141" s="8" t="s">
        <v>321</v>
      </c>
      <c r="P141" s="8"/>
      <c r="Q141" s="8">
        <v>13007</v>
      </c>
      <c r="R141" s="8">
        <v>18600</v>
      </c>
      <c r="S141" s="8" t="s">
        <v>331</v>
      </c>
      <c r="T141" s="8"/>
      <c r="U141" s="8"/>
      <c r="V141" s="8"/>
      <c r="W141" s="8"/>
      <c r="X141" s="8"/>
      <c r="Y141" s="8"/>
      <c r="Z141" s="10" t="s">
        <v>1102</v>
      </c>
      <c r="AA141" s="8" t="s">
        <v>331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1093</v>
      </c>
      <c r="E142" s="8" t="s">
        <v>128</v>
      </c>
      <c r="F142" s="8" t="s">
        <v>1573</v>
      </c>
      <c r="G142" s="8" t="s">
        <v>1302</v>
      </c>
      <c r="H142" s="8" t="s">
        <v>1574</v>
      </c>
      <c r="I142" s="8" t="s">
        <v>1243</v>
      </c>
      <c r="J142" s="8" t="s">
        <v>1244</v>
      </c>
      <c r="K142" s="8" t="s">
        <v>1099</v>
      </c>
      <c r="L142" s="10" t="s">
        <v>1236</v>
      </c>
      <c r="M142" s="10" t="s">
        <v>1237</v>
      </c>
      <c r="N142" s="10" t="s">
        <v>1238</v>
      </c>
      <c r="O142" s="8" t="s">
        <v>362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1575</v>
      </c>
      <c r="AA142" s="8" t="s">
        <v>331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1093</v>
      </c>
      <c r="E143" s="8" t="s">
        <v>128</v>
      </c>
      <c r="F143" s="8" t="s">
        <v>1576</v>
      </c>
      <c r="G143" s="8" t="s">
        <v>1577</v>
      </c>
      <c r="H143" s="8" t="s">
        <v>1578</v>
      </c>
      <c r="I143" s="8" t="s">
        <v>1243</v>
      </c>
      <c r="J143" s="8" t="s">
        <v>1244</v>
      </c>
      <c r="K143" s="8" t="s">
        <v>1099</v>
      </c>
      <c r="L143" s="10" t="s">
        <v>1236</v>
      </c>
      <c r="M143" s="10" t="s">
        <v>1237</v>
      </c>
      <c r="N143" s="10" t="s">
        <v>1238</v>
      </c>
      <c r="O143" s="8" t="s">
        <v>1106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1102</v>
      </c>
      <c r="AA143" s="8" t="s">
        <v>331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1093</v>
      </c>
      <c r="E144" s="8" t="s">
        <v>128</v>
      </c>
      <c r="F144" s="8" t="s">
        <v>1540</v>
      </c>
      <c r="G144" s="8" t="s">
        <v>1415</v>
      </c>
      <c r="H144" s="8" t="s">
        <v>1579</v>
      </c>
      <c r="I144" s="8" t="s">
        <v>1247</v>
      </c>
      <c r="J144" s="8" t="s">
        <v>1248</v>
      </c>
      <c r="K144" s="8" t="s">
        <v>1099</v>
      </c>
      <c r="L144" s="10" t="s">
        <v>1249</v>
      </c>
      <c r="M144" s="10" t="s">
        <v>1250</v>
      </c>
      <c r="N144" s="10"/>
      <c r="O144" s="8" t="s">
        <v>321</v>
      </c>
      <c r="P144" s="8"/>
      <c r="Q144" s="8"/>
      <c r="R144" s="8">
        <v>312259</v>
      </c>
      <c r="S144" s="8" t="s">
        <v>331</v>
      </c>
      <c r="T144" s="8"/>
      <c r="U144" s="8"/>
      <c r="V144" s="8"/>
      <c r="W144" s="8"/>
      <c r="X144" s="8"/>
      <c r="Y144" s="8"/>
      <c r="Z144" s="10" t="s">
        <v>1102</v>
      </c>
      <c r="AA144" s="8" t="s">
        <v>331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1093</v>
      </c>
      <c r="E145" s="8" t="s">
        <v>128</v>
      </c>
      <c r="F145" s="8" t="s">
        <v>1576</v>
      </c>
      <c r="G145" s="8" t="s">
        <v>1580</v>
      </c>
      <c r="H145" s="8" t="s">
        <v>1581</v>
      </c>
      <c r="I145" s="8" t="s">
        <v>1251</v>
      </c>
      <c r="J145" s="8" t="s">
        <v>1252</v>
      </c>
      <c r="K145" s="8" t="s">
        <v>1099</v>
      </c>
      <c r="L145" s="10" t="s">
        <v>1236</v>
      </c>
      <c r="M145" s="10" t="s">
        <v>1237</v>
      </c>
      <c r="N145" s="10" t="s">
        <v>1253</v>
      </c>
      <c r="O145" s="8" t="s">
        <v>1106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1102</v>
      </c>
      <c r="AA145" s="8" t="s">
        <v>331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1093</v>
      </c>
      <c r="E146" s="8" t="s">
        <v>128</v>
      </c>
      <c r="F146" s="8" t="s">
        <v>1576</v>
      </c>
      <c r="G146" s="8" t="s">
        <v>1582</v>
      </c>
      <c r="H146" s="8" t="s">
        <v>1583</v>
      </c>
      <c r="I146" s="8" t="s">
        <v>1256</v>
      </c>
      <c r="J146" s="8" t="s">
        <v>1252</v>
      </c>
      <c r="K146" s="8" t="s">
        <v>1099</v>
      </c>
      <c r="L146" s="10" t="s">
        <v>1236</v>
      </c>
      <c r="M146" s="10" t="s">
        <v>1237</v>
      </c>
      <c r="N146" s="10" t="s">
        <v>1257</v>
      </c>
      <c r="O146" s="8" t="s">
        <v>321</v>
      </c>
      <c r="P146" s="8"/>
      <c r="Q146" s="8"/>
      <c r="R146" s="8">
        <v>44478</v>
      </c>
      <c r="S146" s="8" t="s">
        <v>331</v>
      </c>
      <c r="T146" s="8"/>
      <c r="U146" s="8"/>
      <c r="V146" s="8"/>
      <c r="W146" s="8"/>
      <c r="X146" s="8"/>
      <c r="Y146" s="8"/>
      <c r="Z146" s="10" t="s">
        <v>1102</v>
      </c>
      <c r="AA146" s="8" t="s">
        <v>331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1093</v>
      </c>
      <c r="E147" s="8" t="s">
        <v>123</v>
      </c>
      <c r="F147" s="8" t="s">
        <v>1573</v>
      </c>
      <c r="G147" s="8" t="s">
        <v>1297</v>
      </c>
      <c r="H147" s="8" t="s">
        <v>1317</v>
      </c>
      <c r="I147" s="8" t="s">
        <v>1267</v>
      </c>
      <c r="J147" s="8" t="s">
        <v>1111</v>
      </c>
      <c r="K147" s="8" t="s">
        <v>1099</v>
      </c>
      <c r="L147" s="10" t="s">
        <v>1268</v>
      </c>
      <c r="M147" s="10" t="s">
        <v>1269</v>
      </c>
      <c r="N147" s="10" t="s">
        <v>1584</v>
      </c>
      <c r="O147" s="8" t="s">
        <v>321</v>
      </c>
      <c r="P147" s="8"/>
      <c r="Q147" s="8">
        <v>8151</v>
      </c>
      <c r="R147" s="8">
        <v>55869</v>
      </c>
      <c r="S147" s="8" t="s">
        <v>331</v>
      </c>
      <c r="T147" s="8"/>
      <c r="U147" s="8"/>
      <c r="V147" s="8"/>
      <c r="W147" s="8"/>
      <c r="X147" s="8"/>
      <c r="Y147" s="8"/>
      <c r="Z147" s="10" t="s">
        <v>1585</v>
      </c>
      <c r="AA147" s="8" t="s">
        <v>331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1093</v>
      </c>
      <c r="E148" s="8" t="s">
        <v>123</v>
      </c>
      <c r="F148" s="8" t="s">
        <v>1523</v>
      </c>
      <c r="G148" s="8" t="s">
        <v>1166</v>
      </c>
      <c r="H148" s="8" t="s">
        <v>1120</v>
      </c>
      <c r="I148" s="8" t="s">
        <v>1274</v>
      </c>
      <c r="J148" s="8" t="s">
        <v>1111</v>
      </c>
      <c r="K148" s="8" t="s">
        <v>1099</v>
      </c>
      <c r="L148" s="10" t="s">
        <v>1275</v>
      </c>
      <c r="M148" s="10" t="s">
        <v>1276</v>
      </c>
      <c r="N148" s="10" t="s">
        <v>1277</v>
      </c>
      <c r="O148" s="8" t="s">
        <v>321</v>
      </c>
      <c r="P148" s="8"/>
      <c r="Q148" s="8">
        <v>16019</v>
      </c>
      <c r="R148" s="8">
        <v>77263</v>
      </c>
      <c r="S148" s="8" t="s">
        <v>331</v>
      </c>
      <c r="T148" s="8"/>
      <c r="U148" s="8"/>
      <c r="V148" s="8"/>
      <c r="W148" s="8"/>
      <c r="X148" s="8"/>
      <c r="Y148" s="8"/>
      <c r="Z148" s="10" t="s">
        <v>1102</v>
      </c>
      <c r="AA148" s="8" t="s">
        <v>331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1093</v>
      </c>
      <c r="E149" s="8" t="s">
        <v>123</v>
      </c>
      <c r="F149" s="8" t="s">
        <v>1521</v>
      </c>
      <c r="G149" s="8" t="s">
        <v>1273</v>
      </c>
      <c r="H149" s="8" t="s">
        <v>1258</v>
      </c>
      <c r="I149" s="8" t="s">
        <v>1274</v>
      </c>
      <c r="J149" s="8" t="s">
        <v>1111</v>
      </c>
      <c r="K149" s="8" t="s">
        <v>1099</v>
      </c>
      <c r="L149" s="10" t="s">
        <v>1275</v>
      </c>
      <c r="M149" s="10" t="s">
        <v>1276</v>
      </c>
      <c r="N149" s="10" t="s">
        <v>1277</v>
      </c>
      <c r="O149" s="8" t="s">
        <v>321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331</v>
      </c>
      <c r="Z149" s="10" t="s">
        <v>1586</v>
      </c>
      <c r="AA149" s="8" t="s">
        <v>331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1093</v>
      </c>
      <c r="E150" s="8" t="s">
        <v>123</v>
      </c>
      <c r="F150" s="8" t="s">
        <v>1573</v>
      </c>
      <c r="G150" s="8" t="s">
        <v>1279</v>
      </c>
      <c r="H150" s="8" t="s">
        <v>1149</v>
      </c>
      <c r="I150" s="8" t="s">
        <v>1281</v>
      </c>
      <c r="J150" s="8" t="s">
        <v>1111</v>
      </c>
      <c r="K150" s="8" t="s">
        <v>1099</v>
      </c>
      <c r="L150" s="10" t="s">
        <v>1282</v>
      </c>
      <c r="M150" s="10" t="s">
        <v>1283</v>
      </c>
      <c r="N150" s="10"/>
      <c r="O150" s="8" t="s">
        <v>321</v>
      </c>
      <c r="P150" s="8"/>
      <c r="Q150" s="8">
        <v>1750</v>
      </c>
      <c r="R150" s="8">
        <v>35000</v>
      </c>
      <c r="S150" s="8" t="s">
        <v>331</v>
      </c>
      <c r="T150" s="8"/>
      <c r="U150" s="8"/>
      <c r="V150" s="8"/>
      <c r="W150" s="8"/>
      <c r="X150" s="8"/>
      <c r="Y150" s="8"/>
      <c r="Z150" s="10" t="s">
        <v>1264</v>
      </c>
      <c r="AA150" s="8" t="s">
        <v>331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1093</v>
      </c>
      <c r="E151" s="8" t="s">
        <v>123</v>
      </c>
      <c r="F151" s="8" t="s">
        <v>1540</v>
      </c>
      <c r="G151" s="8" t="s">
        <v>1266</v>
      </c>
      <c r="H151" s="8" t="s">
        <v>1196</v>
      </c>
      <c r="I151" s="8" t="s">
        <v>1286</v>
      </c>
      <c r="J151" s="8" t="s">
        <v>1111</v>
      </c>
      <c r="K151" s="8" t="s">
        <v>1099</v>
      </c>
      <c r="L151" s="10" t="s">
        <v>1287</v>
      </c>
      <c r="M151" s="10" t="s">
        <v>1288</v>
      </c>
      <c r="N151" s="10" t="s">
        <v>1289</v>
      </c>
      <c r="O151" s="8" t="s">
        <v>321</v>
      </c>
      <c r="P151" s="8"/>
      <c r="Q151" s="8">
        <v>13504</v>
      </c>
      <c r="R151" s="8">
        <v>118205</v>
      </c>
      <c r="S151" s="8" t="s">
        <v>331</v>
      </c>
      <c r="T151" s="8"/>
      <c r="U151" s="8"/>
      <c r="V151" s="8"/>
      <c r="W151" s="8"/>
      <c r="X151" s="8"/>
      <c r="Y151" s="8"/>
      <c r="Z151" s="10" t="s">
        <v>1264</v>
      </c>
      <c r="AA151" s="8" t="s">
        <v>331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1093</v>
      </c>
      <c r="E152" s="8" t="s">
        <v>123</v>
      </c>
      <c r="F152" s="8" t="s">
        <v>1587</v>
      </c>
      <c r="G152" s="8" t="s">
        <v>1196</v>
      </c>
      <c r="H152" s="8" t="s">
        <v>1588</v>
      </c>
      <c r="I152" s="8" t="s">
        <v>1292</v>
      </c>
      <c r="J152" s="8" t="s">
        <v>1111</v>
      </c>
      <c r="K152" s="8" t="s">
        <v>1099</v>
      </c>
      <c r="L152" s="10" t="s">
        <v>1293</v>
      </c>
      <c r="M152" s="10" t="s">
        <v>1294</v>
      </c>
      <c r="N152" s="10" t="s">
        <v>1295</v>
      </c>
      <c r="O152" s="8" t="s">
        <v>321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331</v>
      </c>
      <c r="Z152" s="10" t="s">
        <v>1589</v>
      </c>
      <c r="AA152" s="8" t="s">
        <v>331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1093</v>
      </c>
      <c r="E153" s="8" t="s">
        <v>123</v>
      </c>
      <c r="F153" s="8" t="s">
        <v>1590</v>
      </c>
      <c r="G153" s="8" t="s">
        <v>1343</v>
      </c>
      <c r="H153" s="8" t="s">
        <v>1591</v>
      </c>
      <c r="I153" s="8" t="s">
        <v>1592</v>
      </c>
      <c r="J153" s="8" t="s">
        <v>1111</v>
      </c>
      <c r="K153" s="8" t="s">
        <v>1099</v>
      </c>
      <c r="L153" s="10" t="s">
        <v>1293</v>
      </c>
      <c r="M153" s="10" t="s">
        <v>1593</v>
      </c>
      <c r="N153" s="10" t="s">
        <v>1594</v>
      </c>
      <c r="O153" s="8" t="s">
        <v>321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331</v>
      </c>
      <c r="Z153" s="10" t="s">
        <v>1595</v>
      </c>
      <c r="AA153" s="8" t="s">
        <v>331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1093</v>
      </c>
      <c r="E154" s="8" t="s">
        <v>123</v>
      </c>
      <c r="F154" s="8" t="s">
        <v>1596</v>
      </c>
      <c r="G154" s="8" t="s">
        <v>1284</v>
      </c>
      <c r="H154" s="8" t="s">
        <v>1166</v>
      </c>
      <c r="I154" s="8" t="s">
        <v>1592</v>
      </c>
      <c r="J154" s="8" t="s">
        <v>1111</v>
      </c>
      <c r="K154" s="8" t="s">
        <v>1099</v>
      </c>
      <c r="L154" s="10" t="s">
        <v>1293</v>
      </c>
      <c r="M154" s="10" t="s">
        <v>1593</v>
      </c>
      <c r="N154" s="10" t="s">
        <v>1594</v>
      </c>
      <c r="O154" s="8" t="s">
        <v>321</v>
      </c>
      <c r="P154" s="8"/>
      <c r="Q154" s="8">
        <v>11288</v>
      </c>
      <c r="R154" s="8">
        <v>15133</v>
      </c>
      <c r="S154" s="8"/>
      <c r="T154" s="8"/>
      <c r="U154" s="8" t="s">
        <v>331</v>
      </c>
      <c r="V154" s="8"/>
      <c r="W154" s="8"/>
      <c r="X154" s="8"/>
      <c r="Y154" s="8"/>
      <c r="Z154" s="10" t="s">
        <v>1278</v>
      </c>
      <c r="AA154" s="8" t="s">
        <v>331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1093</v>
      </c>
      <c r="E155" s="8" t="s">
        <v>123</v>
      </c>
      <c r="F155" s="8" t="s">
        <v>1540</v>
      </c>
      <c r="G155" s="8" t="s">
        <v>1302</v>
      </c>
      <c r="H155" s="8" t="s">
        <v>1303</v>
      </c>
      <c r="I155" s="8" t="s">
        <v>1597</v>
      </c>
      <c r="J155" s="8" t="s">
        <v>1111</v>
      </c>
      <c r="K155" s="8" t="s">
        <v>1099</v>
      </c>
      <c r="L155" s="10" t="s">
        <v>1293</v>
      </c>
      <c r="M155" s="10" t="s">
        <v>1598</v>
      </c>
      <c r="N155" s="10" t="s">
        <v>1599</v>
      </c>
      <c r="O155" s="8" t="s">
        <v>1106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1327</v>
      </c>
      <c r="AA155" s="8" t="s">
        <v>331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1093</v>
      </c>
      <c r="E156" s="8" t="s">
        <v>123</v>
      </c>
      <c r="F156" s="8" t="s">
        <v>1551</v>
      </c>
      <c r="G156" s="8" t="s">
        <v>1266</v>
      </c>
      <c r="H156" s="8" t="s">
        <v>1196</v>
      </c>
      <c r="I156" s="8" t="s">
        <v>1298</v>
      </c>
      <c r="J156" s="8" t="s">
        <v>1140</v>
      </c>
      <c r="K156" s="8" t="s">
        <v>1099</v>
      </c>
      <c r="L156" s="10" t="s">
        <v>1299</v>
      </c>
      <c r="M156" s="10" t="s">
        <v>1300</v>
      </c>
      <c r="N156" s="10" t="s">
        <v>1301</v>
      </c>
      <c r="O156" s="8" t="s">
        <v>321</v>
      </c>
      <c r="P156" s="8">
        <v>5595</v>
      </c>
      <c r="Q156" s="8">
        <v>12658</v>
      </c>
      <c r="R156" s="8">
        <v>17123</v>
      </c>
      <c r="S156" s="8" t="s">
        <v>331</v>
      </c>
      <c r="T156" s="8"/>
      <c r="U156" s="8"/>
      <c r="V156" s="8"/>
      <c r="W156" s="8"/>
      <c r="X156" s="8"/>
      <c r="Y156" s="8"/>
      <c r="Z156" s="10" t="s">
        <v>1264</v>
      </c>
      <c r="AA156" s="8" t="s">
        <v>331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1093</v>
      </c>
      <c r="E157" s="8" t="s">
        <v>123</v>
      </c>
      <c r="F157" s="8" t="s">
        <v>1551</v>
      </c>
      <c r="G157" s="8" t="s">
        <v>1196</v>
      </c>
      <c r="H157" s="8" t="s">
        <v>1279</v>
      </c>
      <c r="I157" s="8" t="s">
        <v>1600</v>
      </c>
      <c r="J157" s="8" t="s">
        <v>1140</v>
      </c>
      <c r="K157" s="8" t="s">
        <v>1099</v>
      </c>
      <c r="L157" s="10" t="s">
        <v>1299</v>
      </c>
      <c r="M157" s="10" t="s">
        <v>1601</v>
      </c>
      <c r="N157" s="10" t="s">
        <v>1602</v>
      </c>
      <c r="O157" s="8" t="s">
        <v>321</v>
      </c>
      <c r="P157" s="8">
        <v>235</v>
      </c>
      <c r="Q157" s="8">
        <v>434</v>
      </c>
      <c r="R157" s="8">
        <v>2106</v>
      </c>
      <c r="S157" s="8" t="s">
        <v>331</v>
      </c>
      <c r="T157" s="8"/>
      <c r="U157" s="8"/>
      <c r="V157" s="8"/>
      <c r="W157" s="8"/>
      <c r="X157" s="8"/>
      <c r="Y157" s="8"/>
      <c r="Z157" s="10" t="s">
        <v>1264</v>
      </c>
      <c r="AA157" s="8" t="s">
        <v>331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1093</v>
      </c>
      <c r="E158" s="8" t="s">
        <v>123</v>
      </c>
      <c r="F158" s="8" t="s">
        <v>1603</v>
      </c>
      <c r="G158" s="8" t="s">
        <v>1149</v>
      </c>
      <c r="H158" s="8" t="s">
        <v>1604</v>
      </c>
      <c r="I158" s="8" t="s">
        <v>1600</v>
      </c>
      <c r="J158" s="8" t="s">
        <v>1140</v>
      </c>
      <c r="K158" s="8" t="s">
        <v>1099</v>
      </c>
      <c r="L158" s="10" t="s">
        <v>1299</v>
      </c>
      <c r="M158" s="10" t="s">
        <v>1601</v>
      </c>
      <c r="N158" s="10" t="s">
        <v>1602</v>
      </c>
      <c r="O158" s="8" t="s">
        <v>321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331</v>
      </c>
      <c r="Z158" s="10" t="s">
        <v>1605</v>
      </c>
      <c r="AA158" s="8" t="s">
        <v>331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1093</v>
      </c>
      <c r="E159" s="8" t="s">
        <v>123</v>
      </c>
      <c r="F159" s="8" t="s">
        <v>1543</v>
      </c>
      <c r="G159" s="8" t="s">
        <v>1196</v>
      </c>
      <c r="H159" s="8" t="s">
        <v>1279</v>
      </c>
      <c r="I159" s="8" t="s">
        <v>1606</v>
      </c>
      <c r="J159" s="8" t="s">
        <v>1140</v>
      </c>
      <c r="K159" s="8" t="s">
        <v>1099</v>
      </c>
      <c r="L159" s="10" t="s">
        <v>1260</v>
      </c>
      <c r="M159" s="10" t="s">
        <v>1261</v>
      </c>
      <c r="N159" s="10" t="s">
        <v>1413</v>
      </c>
      <c r="O159" s="8" t="s">
        <v>1106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1264</v>
      </c>
      <c r="AA159" s="8" t="s">
        <v>331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1093</v>
      </c>
      <c r="E160" s="8" t="s">
        <v>123</v>
      </c>
      <c r="F160" s="8" t="s">
        <v>1573</v>
      </c>
      <c r="G160" s="8" t="s">
        <v>1303</v>
      </c>
      <c r="H160" s="8" t="s">
        <v>1607</v>
      </c>
      <c r="I160" s="8" t="s">
        <v>1308</v>
      </c>
      <c r="J160" s="8" t="s">
        <v>1169</v>
      </c>
      <c r="K160" s="8" t="s">
        <v>1099</v>
      </c>
      <c r="L160" s="10" t="s">
        <v>1170</v>
      </c>
      <c r="M160" s="10" t="s">
        <v>1309</v>
      </c>
      <c r="N160" s="10" t="s">
        <v>1310</v>
      </c>
      <c r="O160" s="8" t="s">
        <v>321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331</v>
      </c>
      <c r="Z160" s="10" t="s">
        <v>1311</v>
      </c>
      <c r="AA160" s="8" t="s">
        <v>331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1093</v>
      </c>
      <c r="E161" s="8" t="s">
        <v>123</v>
      </c>
      <c r="F161" s="8" t="s">
        <v>1603</v>
      </c>
      <c r="G161" s="8" t="s">
        <v>1284</v>
      </c>
      <c r="H161" s="8" t="s">
        <v>1608</v>
      </c>
      <c r="I161" s="8" t="s">
        <v>1308</v>
      </c>
      <c r="J161" s="8" t="s">
        <v>1169</v>
      </c>
      <c r="K161" s="8" t="s">
        <v>1099</v>
      </c>
      <c r="L161" s="10" t="s">
        <v>1170</v>
      </c>
      <c r="M161" s="10" t="s">
        <v>1309</v>
      </c>
      <c r="N161" s="10" t="s">
        <v>1310</v>
      </c>
      <c r="O161" s="8" t="s">
        <v>321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331</v>
      </c>
      <c r="Z161" s="10" t="s">
        <v>1609</v>
      </c>
      <c r="AA161" s="8" t="s">
        <v>331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1093</v>
      </c>
      <c r="E162" s="8" t="s">
        <v>123</v>
      </c>
      <c r="F162" s="8" t="s">
        <v>1521</v>
      </c>
      <c r="G162" s="8" t="s">
        <v>1166</v>
      </c>
      <c r="H162" s="8" t="s">
        <v>1610</v>
      </c>
      <c r="I162" s="8" t="s">
        <v>1308</v>
      </c>
      <c r="J162" s="8" t="s">
        <v>1169</v>
      </c>
      <c r="K162" s="8" t="s">
        <v>1099</v>
      </c>
      <c r="L162" s="10" t="s">
        <v>1170</v>
      </c>
      <c r="M162" s="10" t="s">
        <v>1309</v>
      </c>
      <c r="N162" s="10" t="s">
        <v>1310</v>
      </c>
      <c r="O162" s="8" t="s">
        <v>362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1611</v>
      </c>
      <c r="AA162" s="8" t="s">
        <v>331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1093</v>
      </c>
      <c r="E163" s="8" t="s">
        <v>123</v>
      </c>
      <c r="F163" s="8" t="s">
        <v>1612</v>
      </c>
      <c r="G163" s="8" t="s">
        <v>1196</v>
      </c>
      <c r="H163" s="8" t="s">
        <v>1279</v>
      </c>
      <c r="I163" s="8" t="s">
        <v>1313</v>
      </c>
      <c r="J163" s="8" t="s">
        <v>1169</v>
      </c>
      <c r="K163" s="8" t="s">
        <v>1099</v>
      </c>
      <c r="L163" s="10" t="s">
        <v>1314</v>
      </c>
      <c r="M163" s="10" t="s">
        <v>1315</v>
      </c>
      <c r="N163" s="10" t="s">
        <v>1316</v>
      </c>
      <c r="O163" s="8" t="s">
        <v>321</v>
      </c>
      <c r="P163" s="8"/>
      <c r="Q163" s="8"/>
      <c r="R163" s="8">
        <v>371713</v>
      </c>
      <c r="S163" s="8" t="s">
        <v>331</v>
      </c>
      <c r="T163" s="8"/>
      <c r="U163" s="8"/>
      <c r="V163" s="8"/>
      <c r="W163" s="8"/>
      <c r="X163" s="8"/>
      <c r="Y163" s="8"/>
      <c r="Z163" s="10" t="s">
        <v>1264</v>
      </c>
      <c r="AA163" s="8" t="s">
        <v>331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1093</v>
      </c>
      <c r="E164" s="8" t="s">
        <v>123</v>
      </c>
      <c r="F164" s="8" t="s">
        <v>1612</v>
      </c>
      <c r="G164" s="8" t="s">
        <v>1279</v>
      </c>
      <c r="H164" s="8" t="s">
        <v>1149</v>
      </c>
      <c r="I164" s="8" t="s">
        <v>1320</v>
      </c>
      <c r="J164" s="8" t="s">
        <v>1169</v>
      </c>
      <c r="K164" s="8" t="s">
        <v>1099</v>
      </c>
      <c r="L164" s="10" t="s">
        <v>1314</v>
      </c>
      <c r="M164" s="10" t="s">
        <v>1321</v>
      </c>
      <c r="N164" s="10" t="s">
        <v>1322</v>
      </c>
      <c r="O164" s="8" t="s">
        <v>321</v>
      </c>
      <c r="P164" s="8"/>
      <c r="Q164" s="8"/>
      <c r="R164" s="8">
        <v>162178</v>
      </c>
      <c r="S164" s="8" t="s">
        <v>331</v>
      </c>
      <c r="T164" s="8"/>
      <c r="U164" s="8"/>
      <c r="V164" s="8"/>
      <c r="W164" s="8"/>
      <c r="X164" s="8"/>
      <c r="Y164" s="8"/>
      <c r="Z164" s="10" t="s">
        <v>1264</v>
      </c>
      <c r="AA164" s="8" t="s">
        <v>331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1093</v>
      </c>
      <c r="E165" s="8" t="s">
        <v>123</v>
      </c>
      <c r="F165" s="8" t="s">
        <v>1576</v>
      </c>
      <c r="G165" s="8" t="s">
        <v>1297</v>
      </c>
      <c r="H165" s="8" t="s">
        <v>1317</v>
      </c>
      <c r="I165" s="8" t="s">
        <v>1324</v>
      </c>
      <c r="J165" s="8" t="s">
        <v>1169</v>
      </c>
      <c r="K165" s="8" t="s">
        <v>1099</v>
      </c>
      <c r="L165" s="10" t="s">
        <v>1325</v>
      </c>
      <c r="M165" s="10" t="s">
        <v>1326</v>
      </c>
      <c r="N165" s="10"/>
      <c r="O165" s="8" t="s">
        <v>321</v>
      </c>
      <c r="P165" s="8"/>
      <c r="Q165" s="8"/>
      <c r="R165" s="8">
        <v>300153</v>
      </c>
      <c r="S165" s="8" t="s">
        <v>331</v>
      </c>
      <c r="T165" s="8"/>
      <c r="U165" s="8"/>
      <c r="V165" s="8"/>
      <c r="W165" s="8"/>
      <c r="X165" s="8"/>
      <c r="Y165" s="8"/>
      <c r="Z165" s="10" t="s">
        <v>1613</v>
      </c>
      <c r="AA165" s="8" t="s">
        <v>331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1093</v>
      </c>
      <c r="E166" s="8" t="s">
        <v>123</v>
      </c>
      <c r="F166" s="8" t="s">
        <v>1614</v>
      </c>
      <c r="G166" s="8" t="s">
        <v>1317</v>
      </c>
      <c r="H166" s="8" t="s">
        <v>1615</v>
      </c>
      <c r="I166" s="8" t="s">
        <v>1616</v>
      </c>
      <c r="J166" s="8" t="s">
        <v>1169</v>
      </c>
      <c r="K166" s="8" t="s">
        <v>1099</v>
      </c>
      <c r="L166" s="10" t="s">
        <v>1466</v>
      </c>
      <c r="M166" s="10" t="s">
        <v>1617</v>
      </c>
      <c r="N166" s="10" t="s">
        <v>1618</v>
      </c>
      <c r="O166" s="8" t="s">
        <v>362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1619</v>
      </c>
      <c r="AA166" s="8" t="s">
        <v>331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1093</v>
      </c>
      <c r="E167" s="8" t="s">
        <v>123</v>
      </c>
      <c r="F167" s="8" t="s">
        <v>1576</v>
      </c>
      <c r="G167" s="8" t="s">
        <v>1120</v>
      </c>
      <c r="H167" s="8" t="s">
        <v>1343</v>
      </c>
      <c r="I167" s="8" t="s">
        <v>1329</v>
      </c>
      <c r="J167" s="8" t="s">
        <v>1169</v>
      </c>
      <c r="K167" s="8" t="s">
        <v>1099</v>
      </c>
      <c r="L167" s="10" t="s">
        <v>1330</v>
      </c>
      <c r="M167" s="10" t="s">
        <v>1331</v>
      </c>
      <c r="N167" s="10"/>
      <c r="O167" s="8" t="s">
        <v>321</v>
      </c>
      <c r="P167" s="8"/>
      <c r="Q167" s="8"/>
      <c r="R167" s="8">
        <v>75600</v>
      </c>
      <c r="S167" s="8" t="s">
        <v>331</v>
      </c>
      <c r="T167" s="8"/>
      <c r="U167" s="8"/>
      <c r="V167" s="8"/>
      <c r="W167" s="8"/>
      <c r="X167" s="8"/>
      <c r="Y167" s="8"/>
      <c r="Z167" s="10" t="s">
        <v>1613</v>
      </c>
      <c r="AA167" s="8" t="s">
        <v>331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1093</v>
      </c>
      <c r="E168" s="8" t="s">
        <v>123</v>
      </c>
      <c r="F168" s="8" t="s">
        <v>1620</v>
      </c>
      <c r="G168" s="8" t="s">
        <v>1302</v>
      </c>
      <c r="H168" s="8" t="s">
        <v>1621</v>
      </c>
      <c r="I168" s="8" t="s">
        <v>1329</v>
      </c>
      <c r="J168" s="8" t="s">
        <v>1169</v>
      </c>
      <c r="K168" s="8" t="s">
        <v>1099</v>
      </c>
      <c r="L168" s="10" t="s">
        <v>1330</v>
      </c>
      <c r="M168" s="10" t="s">
        <v>1331</v>
      </c>
      <c r="N168" s="10"/>
      <c r="O168" s="8" t="s">
        <v>321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331</v>
      </c>
      <c r="Z168" s="10" t="s">
        <v>1622</v>
      </c>
      <c r="AA168" s="8" t="s">
        <v>331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1093</v>
      </c>
      <c r="E169" s="8" t="s">
        <v>123</v>
      </c>
      <c r="F169" s="8" t="s">
        <v>1603</v>
      </c>
      <c r="G169" s="8" t="s">
        <v>1266</v>
      </c>
      <c r="H169" s="8" t="s">
        <v>1196</v>
      </c>
      <c r="I169" s="8" t="s">
        <v>1623</v>
      </c>
      <c r="J169" s="8" t="s">
        <v>1169</v>
      </c>
      <c r="K169" s="8" t="s">
        <v>1099</v>
      </c>
      <c r="L169" s="10" t="s">
        <v>1624</v>
      </c>
      <c r="M169" s="10" t="s">
        <v>1625</v>
      </c>
      <c r="N169" s="10" t="s">
        <v>1340</v>
      </c>
      <c r="O169" s="8" t="s">
        <v>1106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1264</v>
      </c>
      <c r="AA169" s="8" t="s">
        <v>331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1093</v>
      </c>
      <c r="E170" s="8" t="s">
        <v>123</v>
      </c>
      <c r="F170" s="8" t="s">
        <v>1626</v>
      </c>
      <c r="G170" s="8" t="s">
        <v>1284</v>
      </c>
      <c r="H170" s="8" t="s">
        <v>1627</v>
      </c>
      <c r="I170" s="8" t="s">
        <v>1334</v>
      </c>
      <c r="J170" s="8" t="s">
        <v>1169</v>
      </c>
      <c r="K170" s="8" t="s">
        <v>1099</v>
      </c>
      <c r="L170" s="10" t="s">
        <v>1170</v>
      </c>
      <c r="M170" s="10" t="s">
        <v>1335</v>
      </c>
      <c r="N170" s="10" t="s">
        <v>1336</v>
      </c>
      <c r="O170" s="8" t="s">
        <v>362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1393</v>
      </c>
      <c r="AA170" s="8" t="s">
        <v>331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1093</v>
      </c>
      <c r="E171" s="8" t="s">
        <v>123</v>
      </c>
      <c r="F171" s="8" t="s">
        <v>1573</v>
      </c>
      <c r="G171" s="8" t="s">
        <v>1284</v>
      </c>
      <c r="H171" s="8" t="s">
        <v>1166</v>
      </c>
      <c r="I171" s="8" t="s">
        <v>1338</v>
      </c>
      <c r="J171" s="8" t="s">
        <v>1169</v>
      </c>
      <c r="K171" s="8" t="s">
        <v>1099</v>
      </c>
      <c r="L171" s="10" t="s">
        <v>1186</v>
      </c>
      <c r="M171" s="10" t="s">
        <v>1339</v>
      </c>
      <c r="N171" s="10" t="s">
        <v>1340</v>
      </c>
      <c r="O171" s="8" t="s">
        <v>321</v>
      </c>
      <c r="P171" s="8"/>
      <c r="Q171" s="8"/>
      <c r="R171" s="8">
        <v>37303</v>
      </c>
      <c r="S171" s="8" t="s">
        <v>331</v>
      </c>
      <c r="T171" s="8"/>
      <c r="U171" s="8"/>
      <c r="V171" s="8"/>
      <c r="W171" s="8"/>
      <c r="X171" s="8"/>
      <c r="Y171" s="8"/>
      <c r="Z171" s="10" t="s">
        <v>1264</v>
      </c>
      <c r="AA171" s="8" t="s">
        <v>331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1093</v>
      </c>
      <c r="E172" s="8" t="s">
        <v>123</v>
      </c>
      <c r="F172" s="8" t="s">
        <v>1573</v>
      </c>
      <c r="G172" s="8" t="s">
        <v>1120</v>
      </c>
      <c r="H172" s="8" t="s">
        <v>1343</v>
      </c>
      <c r="I172" s="8" t="s">
        <v>1344</v>
      </c>
      <c r="J172" s="8" t="s">
        <v>1169</v>
      </c>
      <c r="K172" s="8" t="s">
        <v>1099</v>
      </c>
      <c r="L172" s="10" t="s">
        <v>1186</v>
      </c>
      <c r="M172" s="10" t="s">
        <v>1345</v>
      </c>
      <c r="N172" s="10" t="s">
        <v>1346</v>
      </c>
      <c r="O172" s="8" t="s">
        <v>321</v>
      </c>
      <c r="P172" s="8"/>
      <c r="Q172" s="8"/>
      <c r="R172" s="8">
        <v>64071</v>
      </c>
      <c r="S172" s="8" t="s">
        <v>331</v>
      </c>
      <c r="T172" s="8"/>
      <c r="U172" s="8"/>
      <c r="V172" s="8"/>
      <c r="W172" s="8"/>
      <c r="X172" s="8"/>
      <c r="Y172" s="8"/>
      <c r="Z172" s="10" t="s">
        <v>1264</v>
      </c>
      <c r="AA172" s="8" t="s">
        <v>331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1093</v>
      </c>
      <c r="E173" s="8" t="s">
        <v>123</v>
      </c>
      <c r="F173" s="8" t="s">
        <v>1540</v>
      </c>
      <c r="G173" s="8" t="s">
        <v>1149</v>
      </c>
      <c r="H173" s="8" t="s">
        <v>1317</v>
      </c>
      <c r="I173" s="8" t="s">
        <v>1344</v>
      </c>
      <c r="J173" s="8" t="s">
        <v>1169</v>
      </c>
      <c r="K173" s="8" t="s">
        <v>1099</v>
      </c>
      <c r="L173" s="10" t="s">
        <v>1186</v>
      </c>
      <c r="M173" s="10" t="s">
        <v>1345</v>
      </c>
      <c r="N173" s="10" t="s">
        <v>1346</v>
      </c>
      <c r="O173" s="8" t="s">
        <v>321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331</v>
      </c>
      <c r="Z173" s="10" t="s">
        <v>1433</v>
      </c>
      <c r="AA173" s="8" t="s">
        <v>331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1093</v>
      </c>
      <c r="E174" s="8" t="s">
        <v>123</v>
      </c>
      <c r="F174" s="8" t="s">
        <v>1573</v>
      </c>
      <c r="G174" s="8" t="s">
        <v>1266</v>
      </c>
      <c r="H174" s="8" t="s">
        <v>1196</v>
      </c>
      <c r="I174" s="8" t="s">
        <v>1349</v>
      </c>
      <c r="J174" s="8" t="s">
        <v>1193</v>
      </c>
      <c r="K174" s="8" t="s">
        <v>1099</v>
      </c>
      <c r="L174" s="10" t="s">
        <v>1350</v>
      </c>
      <c r="M174" s="10" t="s">
        <v>1351</v>
      </c>
      <c r="N174" s="10" t="s">
        <v>1352</v>
      </c>
      <c r="O174" s="8" t="s">
        <v>321</v>
      </c>
      <c r="P174" s="8"/>
      <c r="Q174" s="8"/>
      <c r="R174" s="8">
        <v>114048</v>
      </c>
      <c r="S174" s="8" t="s">
        <v>331</v>
      </c>
      <c r="T174" s="8"/>
      <c r="U174" s="8"/>
      <c r="V174" s="8"/>
      <c r="W174" s="8"/>
      <c r="X174" s="8"/>
      <c r="Y174" s="8"/>
      <c r="Z174" s="10" t="s">
        <v>1264</v>
      </c>
      <c r="AA174" s="8" t="s">
        <v>331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1093</v>
      </c>
      <c r="E175" s="8" t="s">
        <v>123</v>
      </c>
      <c r="F175" s="8" t="s">
        <v>1596</v>
      </c>
      <c r="G175" s="8" t="s">
        <v>1266</v>
      </c>
      <c r="H175" s="8" t="s">
        <v>1279</v>
      </c>
      <c r="I175" s="8" t="s">
        <v>1349</v>
      </c>
      <c r="J175" s="8" t="s">
        <v>1193</v>
      </c>
      <c r="K175" s="8" t="s">
        <v>1099</v>
      </c>
      <c r="L175" s="10" t="s">
        <v>1350</v>
      </c>
      <c r="M175" s="10" t="s">
        <v>1351</v>
      </c>
      <c r="N175" s="10" t="s">
        <v>1352</v>
      </c>
      <c r="O175" s="8" t="s">
        <v>321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331</v>
      </c>
      <c r="Z175" s="10" t="s">
        <v>1433</v>
      </c>
      <c r="AA175" s="8" t="s">
        <v>331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1093</v>
      </c>
      <c r="E176" s="8" t="s">
        <v>123</v>
      </c>
      <c r="F176" s="8" t="s">
        <v>1573</v>
      </c>
      <c r="G176" s="8" t="s">
        <v>1196</v>
      </c>
      <c r="H176" s="8" t="s">
        <v>1279</v>
      </c>
      <c r="I176" s="8" t="s">
        <v>1356</v>
      </c>
      <c r="J176" s="8" t="s">
        <v>1193</v>
      </c>
      <c r="K176" s="8" t="s">
        <v>1099</v>
      </c>
      <c r="L176" s="10" t="s">
        <v>1350</v>
      </c>
      <c r="M176" s="10" t="s">
        <v>1357</v>
      </c>
      <c r="N176" s="10" t="s">
        <v>1358</v>
      </c>
      <c r="O176" s="8" t="s">
        <v>321</v>
      </c>
      <c r="P176" s="8"/>
      <c r="Q176" s="8"/>
      <c r="R176" s="8">
        <v>98978</v>
      </c>
      <c r="S176" s="8" t="s">
        <v>331</v>
      </c>
      <c r="T176" s="8"/>
      <c r="U176" s="8"/>
      <c r="V176" s="8"/>
      <c r="W176" s="8"/>
      <c r="X176" s="8"/>
      <c r="Y176" s="8"/>
      <c r="Z176" s="10" t="s">
        <v>1264</v>
      </c>
      <c r="AA176" s="8" t="s">
        <v>331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1093</v>
      </c>
      <c r="E177" s="8" t="s">
        <v>123</v>
      </c>
      <c r="F177" s="8" t="s">
        <v>1596</v>
      </c>
      <c r="G177" s="8" t="s">
        <v>1279</v>
      </c>
      <c r="H177" s="8" t="s">
        <v>1628</v>
      </c>
      <c r="I177" s="8" t="s">
        <v>1356</v>
      </c>
      <c r="J177" s="8" t="s">
        <v>1193</v>
      </c>
      <c r="K177" s="8" t="s">
        <v>1099</v>
      </c>
      <c r="L177" s="10" t="s">
        <v>1350</v>
      </c>
      <c r="M177" s="10" t="s">
        <v>1357</v>
      </c>
      <c r="N177" s="10" t="s">
        <v>1358</v>
      </c>
      <c r="O177" s="8" t="s">
        <v>321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331</v>
      </c>
      <c r="Z177" s="10" t="s">
        <v>1629</v>
      </c>
      <c r="AA177" s="8" t="s">
        <v>331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1093</v>
      </c>
      <c r="E178" s="8" t="s">
        <v>123</v>
      </c>
      <c r="F178" s="8" t="s">
        <v>1543</v>
      </c>
      <c r="G178" s="8" t="s">
        <v>1266</v>
      </c>
      <c r="H178" s="8" t="s">
        <v>1196</v>
      </c>
      <c r="I178" s="8" t="s">
        <v>1363</v>
      </c>
      <c r="J178" s="8" t="s">
        <v>1193</v>
      </c>
      <c r="K178" s="8" t="s">
        <v>1099</v>
      </c>
      <c r="L178" s="10" t="s">
        <v>1364</v>
      </c>
      <c r="M178" s="10" t="s">
        <v>1365</v>
      </c>
      <c r="N178" s="10"/>
      <c r="O178" s="8" t="s">
        <v>1106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1264</v>
      </c>
      <c r="AA178" s="8" t="s">
        <v>331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1093</v>
      </c>
      <c r="E179" s="8" t="s">
        <v>123</v>
      </c>
      <c r="F179" s="8" t="s">
        <v>1551</v>
      </c>
      <c r="G179" s="8" t="s">
        <v>1343</v>
      </c>
      <c r="H179" s="8" t="s">
        <v>1302</v>
      </c>
      <c r="I179" s="8" t="s">
        <v>1630</v>
      </c>
      <c r="J179" s="8" t="s">
        <v>1193</v>
      </c>
      <c r="K179" s="8" t="s">
        <v>1099</v>
      </c>
      <c r="L179" s="10" t="s">
        <v>1378</v>
      </c>
      <c r="M179" s="10" t="s">
        <v>1631</v>
      </c>
      <c r="N179" s="10" t="s">
        <v>1632</v>
      </c>
      <c r="O179" s="8" t="s">
        <v>321</v>
      </c>
      <c r="P179" s="8"/>
      <c r="Q179" s="8"/>
      <c r="R179" s="8">
        <v>102241</v>
      </c>
      <c r="S179" s="8"/>
      <c r="T179" s="8"/>
      <c r="U179" s="8" t="s">
        <v>331</v>
      </c>
      <c r="V179" s="8"/>
      <c r="W179" s="8"/>
      <c r="X179" s="8"/>
      <c r="Y179" s="8"/>
      <c r="Z179" s="10" t="s">
        <v>1278</v>
      </c>
      <c r="AA179" s="8" t="s">
        <v>331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1093</v>
      </c>
      <c r="E180" s="8" t="s">
        <v>123</v>
      </c>
      <c r="F180" s="8" t="s">
        <v>1590</v>
      </c>
      <c r="G180" s="8" t="s">
        <v>1279</v>
      </c>
      <c r="H180" s="8" t="s">
        <v>1633</v>
      </c>
      <c r="I180" s="8" t="s">
        <v>1634</v>
      </c>
      <c r="J180" s="8" t="s">
        <v>1193</v>
      </c>
      <c r="K180" s="8" t="s">
        <v>1099</v>
      </c>
      <c r="L180" s="10" t="s">
        <v>1635</v>
      </c>
      <c r="M180" s="10" t="s">
        <v>1636</v>
      </c>
      <c r="N180" s="10" t="s">
        <v>1413</v>
      </c>
      <c r="O180" s="8" t="s">
        <v>321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331</v>
      </c>
      <c r="Z180" s="10" t="s">
        <v>1271</v>
      </c>
      <c r="AA180" s="8" t="s">
        <v>331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1093</v>
      </c>
      <c r="E181" s="8" t="s">
        <v>123</v>
      </c>
      <c r="F181" s="8" t="s">
        <v>1576</v>
      </c>
      <c r="G181" s="8" t="s">
        <v>1317</v>
      </c>
      <c r="H181" s="8" t="s">
        <v>1273</v>
      </c>
      <c r="I181" s="8" t="s">
        <v>1386</v>
      </c>
      <c r="J181" s="8" t="s">
        <v>1387</v>
      </c>
      <c r="K181" s="8" t="s">
        <v>1099</v>
      </c>
      <c r="L181" s="10" t="s">
        <v>1388</v>
      </c>
      <c r="M181" s="10" t="s">
        <v>1326</v>
      </c>
      <c r="N181" s="10" t="s">
        <v>1358</v>
      </c>
      <c r="O181" s="8" t="s">
        <v>321</v>
      </c>
      <c r="P181" s="8"/>
      <c r="Q181" s="8"/>
      <c r="R181" s="8">
        <v>68891</v>
      </c>
      <c r="S181" s="8" t="s">
        <v>331</v>
      </c>
      <c r="T181" s="8"/>
      <c r="U181" s="8"/>
      <c r="V181" s="8"/>
      <c r="W181" s="8"/>
      <c r="X181" s="8"/>
      <c r="Y181" s="8"/>
      <c r="Z181" s="10" t="s">
        <v>1613</v>
      </c>
      <c r="AA181" s="8" t="s">
        <v>331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1093</v>
      </c>
      <c r="E182" s="8" t="s">
        <v>123</v>
      </c>
      <c r="F182" s="8" t="s">
        <v>1637</v>
      </c>
      <c r="G182" s="8" t="s">
        <v>1166</v>
      </c>
      <c r="H182" s="8" t="s">
        <v>1638</v>
      </c>
      <c r="I182" s="8" t="s">
        <v>1394</v>
      </c>
      <c r="J182" s="8" t="s">
        <v>1204</v>
      </c>
      <c r="K182" s="8" t="s">
        <v>1099</v>
      </c>
      <c r="L182" s="10" t="s">
        <v>1170</v>
      </c>
      <c r="M182" s="10" t="s">
        <v>1395</v>
      </c>
      <c r="N182" s="10" t="s">
        <v>1396</v>
      </c>
      <c r="O182" s="8" t="s">
        <v>321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331</v>
      </c>
      <c r="Z182" s="10" t="s">
        <v>1639</v>
      </c>
      <c r="AA182" s="8" t="s">
        <v>331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1093</v>
      </c>
      <c r="E183" s="8" t="s">
        <v>123</v>
      </c>
      <c r="F183" s="8" t="s">
        <v>1587</v>
      </c>
      <c r="G183" s="8" t="s">
        <v>1166</v>
      </c>
      <c r="H183" s="8" t="s">
        <v>1303</v>
      </c>
      <c r="I183" s="8" t="s">
        <v>1394</v>
      </c>
      <c r="J183" s="8" t="s">
        <v>1204</v>
      </c>
      <c r="K183" s="8" t="s">
        <v>1099</v>
      </c>
      <c r="L183" s="10" t="s">
        <v>1170</v>
      </c>
      <c r="M183" s="10" t="s">
        <v>1395</v>
      </c>
      <c r="N183" s="10" t="s">
        <v>1396</v>
      </c>
      <c r="O183" s="8" t="s">
        <v>321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331</v>
      </c>
      <c r="Z183" s="10" t="s">
        <v>1640</v>
      </c>
      <c r="AA183" s="8" t="s">
        <v>331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1093</v>
      </c>
      <c r="E184" s="8" t="s">
        <v>123</v>
      </c>
      <c r="F184" s="8" t="s">
        <v>1523</v>
      </c>
      <c r="G184" s="8" t="s">
        <v>1343</v>
      </c>
      <c r="H184" s="8" t="s">
        <v>1302</v>
      </c>
      <c r="I184" s="8" t="s">
        <v>1398</v>
      </c>
      <c r="J184" s="8" t="s">
        <v>1204</v>
      </c>
      <c r="K184" s="8" t="s">
        <v>1099</v>
      </c>
      <c r="L184" s="10" t="s">
        <v>1399</v>
      </c>
      <c r="M184" s="10" t="s">
        <v>1400</v>
      </c>
      <c r="N184" s="10" t="s">
        <v>1401</v>
      </c>
      <c r="O184" s="8" t="s">
        <v>321</v>
      </c>
      <c r="P184" s="8">
        <v>1567</v>
      </c>
      <c r="Q184" s="8">
        <v>3990</v>
      </c>
      <c r="R184" s="8">
        <v>27083</v>
      </c>
      <c r="S184" s="8" t="s">
        <v>331</v>
      </c>
      <c r="T184" s="8"/>
      <c r="U184" s="8"/>
      <c r="V184" s="8"/>
      <c r="W184" s="8"/>
      <c r="X184" s="8"/>
      <c r="Y184" s="8"/>
      <c r="Z184" s="10" t="s">
        <v>1102</v>
      </c>
      <c r="AA184" s="8" t="s">
        <v>331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1093</v>
      </c>
      <c r="E185" s="8" t="s">
        <v>123</v>
      </c>
      <c r="F185" s="8" t="s">
        <v>1573</v>
      </c>
      <c r="G185" s="8" t="s">
        <v>1166</v>
      </c>
      <c r="H185" s="8" t="s">
        <v>1120</v>
      </c>
      <c r="I185" s="8" t="s">
        <v>1411</v>
      </c>
      <c r="J185" s="8" t="s">
        <v>1214</v>
      </c>
      <c r="K185" s="8" t="s">
        <v>1099</v>
      </c>
      <c r="L185" s="10" t="s">
        <v>1186</v>
      </c>
      <c r="M185" s="10" t="s">
        <v>1412</v>
      </c>
      <c r="N185" s="10" t="s">
        <v>1413</v>
      </c>
      <c r="O185" s="8" t="s">
        <v>321</v>
      </c>
      <c r="P185" s="8"/>
      <c r="Q185" s="8"/>
      <c r="R185" s="8">
        <v>26418</v>
      </c>
      <c r="S185" s="8" t="s">
        <v>331</v>
      </c>
      <c r="T185" s="8"/>
      <c r="U185" s="8"/>
      <c r="V185" s="8"/>
      <c r="W185" s="8"/>
      <c r="X185" s="8"/>
      <c r="Y185" s="8"/>
      <c r="Z185" s="10" t="s">
        <v>1264</v>
      </c>
      <c r="AA185" s="8" t="s">
        <v>331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1093</v>
      </c>
      <c r="E186" s="8" t="s">
        <v>123</v>
      </c>
      <c r="F186" s="8" t="s">
        <v>1529</v>
      </c>
      <c r="G186" s="8" t="s">
        <v>1279</v>
      </c>
      <c r="H186" s="8" t="s">
        <v>1641</v>
      </c>
      <c r="I186" s="8" t="s">
        <v>1411</v>
      </c>
      <c r="J186" s="8" t="s">
        <v>1214</v>
      </c>
      <c r="K186" s="8" t="s">
        <v>1099</v>
      </c>
      <c r="L186" s="10" t="s">
        <v>1186</v>
      </c>
      <c r="M186" s="10" t="s">
        <v>1412</v>
      </c>
      <c r="N186" s="10" t="s">
        <v>1413</v>
      </c>
      <c r="O186" s="8" t="s">
        <v>362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1642</v>
      </c>
      <c r="AA186" s="8" t="s">
        <v>331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1093</v>
      </c>
      <c r="E187" s="8" t="s">
        <v>123</v>
      </c>
      <c r="F187" s="8" t="s">
        <v>1612</v>
      </c>
      <c r="G187" s="8" t="s">
        <v>1273</v>
      </c>
      <c r="H187" s="8" t="s">
        <v>1258</v>
      </c>
      <c r="I187" s="8" t="s">
        <v>1426</v>
      </c>
      <c r="J187" s="8" t="s">
        <v>1214</v>
      </c>
      <c r="K187" s="8" t="s">
        <v>1099</v>
      </c>
      <c r="L187" s="10" t="s">
        <v>1314</v>
      </c>
      <c r="M187" s="10" t="s">
        <v>1427</v>
      </c>
      <c r="N187" s="10" t="s">
        <v>1428</v>
      </c>
      <c r="O187" s="8" t="s">
        <v>321</v>
      </c>
      <c r="P187" s="8"/>
      <c r="Q187" s="8"/>
      <c r="R187" s="8">
        <v>10679</v>
      </c>
      <c r="S187" s="8" t="s">
        <v>331</v>
      </c>
      <c r="T187" s="8"/>
      <c r="U187" s="8"/>
      <c r="V187" s="8"/>
      <c r="W187" s="8"/>
      <c r="X187" s="8"/>
      <c r="Y187" s="8"/>
      <c r="Z187" s="10" t="s">
        <v>1264</v>
      </c>
      <c r="AA187" s="8" t="s">
        <v>331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1093</v>
      </c>
      <c r="E188" s="8" t="s">
        <v>123</v>
      </c>
      <c r="F188" s="8" t="s">
        <v>1612</v>
      </c>
      <c r="G188" s="8" t="s">
        <v>1266</v>
      </c>
      <c r="H188" s="8" t="s">
        <v>1196</v>
      </c>
      <c r="I188" s="8" t="s">
        <v>1429</v>
      </c>
      <c r="J188" s="8" t="s">
        <v>1214</v>
      </c>
      <c r="K188" s="8" t="s">
        <v>1099</v>
      </c>
      <c r="L188" s="10" t="s">
        <v>1314</v>
      </c>
      <c r="M188" s="10" t="s">
        <v>1430</v>
      </c>
      <c r="N188" s="10" t="s">
        <v>1295</v>
      </c>
      <c r="O188" s="8" t="s">
        <v>321</v>
      </c>
      <c r="P188" s="8"/>
      <c r="Q188" s="8"/>
      <c r="R188" s="8">
        <v>129289</v>
      </c>
      <c r="S188" s="8" t="s">
        <v>331</v>
      </c>
      <c r="T188" s="8"/>
      <c r="U188" s="8"/>
      <c r="V188" s="8"/>
      <c r="W188" s="8"/>
      <c r="X188" s="8"/>
      <c r="Y188" s="8"/>
      <c r="Z188" s="10" t="s">
        <v>1264</v>
      </c>
      <c r="AA188" s="8" t="s">
        <v>331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1093</v>
      </c>
      <c r="E189" s="8" t="s">
        <v>123</v>
      </c>
      <c r="F189" s="8" t="s">
        <v>1612</v>
      </c>
      <c r="G189" s="8" t="s">
        <v>1297</v>
      </c>
      <c r="H189" s="8" t="s">
        <v>1317</v>
      </c>
      <c r="I189" s="8" t="s">
        <v>1434</v>
      </c>
      <c r="J189" s="8" t="s">
        <v>1214</v>
      </c>
      <c r="K189" s="8" t="s">
        <v>1099</v>
      </c>
      <c r="L189" s="10" t="s">
        <v>1314</v>
      </c>
      <c r="M189" s="10" t="s">
        <v>1435</v>
      </c>
      <c r="N189" s="10" t="s">
        <v>1436</v>
      </c>
      <c r="O189" s="8" t="s">
        <v>321</v>
      </c>
      <c r="P189" s="8"/>
      <c r="Q189" s="8"/>
      <c r="R189" s="8">
        <v>212469</v>
      </c>
      <c r="S189" s="8" t="s">
        <v>331</v>
      </c>
      <c r="T189" s="8"/>
      <c r="U189" s="8"/>
      <c r="V189" s="8"/>
      <c r="W189" s="8"/>
      <c r="X189" s="8"/>
      <c r="Y189" s="8"/>
      <c r="Z189" s="10" t="s">
        <v>1264</v>
      </c>
      <c r="AA189" s="8" t="s">
        <v>331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1093</v>
      </c>
      <c r="E190" s="8" t="s">
        <v>123</v>
      </c>
      <c r="F190" s="8" t="s">
        <v>1612</v>
      </c>
      <c r="G190" s="8" t="s">
        <v>1317</v>
      </c>
      <c r="H190" s="8" t="s">
        <v>1273</v>
      </c>
      <c r="I190" s="8" t="s">
        <v>1437</v>
      </c>
      <c r="J190" s="8" t="s">
        <v>1214</v>
      </c>
      <c r="K190" s="8" t="s">
        <v>1099</v>
      </c>
      <c r="L190" s="10" t="s">
        <v>1314</v>
      </c>
      <c r="M190" s="10" t="s">
        <v>1438</v>
      </c>
      <c r="N190" s="10" t="s">
        <v>1439</v>
      </c>
      <c r="O190" s="8" t="s">
        <v>321</v>
      </c>
      <c r="P190" s="8"/>
      <c r="Q190" s="8"/>
      <c r="R190" s="8">
        <v>101372</v>
      </c>
      <c r="S190" s="8" t="s">
        <v>331</v>
      </c>
      <c r="T190" s="8"/>
      <c r="U190" s="8"/>
      <c r="V190" s="8"/>
      <c r="W190" s="8"/>
      <c r="X190" s="8"/>
      <c r="Y190" s="8"/>
      <c r="Z190" s="10" t="s">
        <v>1264</v>
      </c>
      <c r="AA190" s="8" t="s">
        <v>331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1093</v>
      </c>
      <c r="E191" s="8" t="s">
        <v>123</v>
      </c>
      <c r="F191" s="8" t="s">
        <v>1554</v>
      </c>
      <c r="G191" s="8" t="s">
        <v>1279</v>
      </c>
      <c r="H191" s="8" t="s">
        <v>1643</v>
      </c>
      <c r="I191" s="8" t="s">
        <v>1446</v>
      </c>
      <c r="J191" s="8" t="s">
        <v>1214</v>
      </c>
      <c r="K191" s="8" t="s">
        <v>1099</v>
      </c>
      <c r="L191" s="10" t="s">
        <v>1378</v>
      </c>
      <c r="M191" s="10" t="s">
        <v>1447</v>
      </c>
      <c r="N191" s="10" t="s">
        <v>1448</v>
      </c>
      <c r="O191" s="8" t="s">
        <v>321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331</v>
      </c>
      <c r="Z191" s="10" t="s">
        <v>1644</v>
      </c>
      <c r="AA191" s="8" t="s">
        <v>331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1093</v>
      </c>
      <c r="E192" s="8" t="s">
        <v>123</v>
      </c>
      <c r="F192" s="8" t="s">
        <v>1612</v>
      </c>
      <c r="G192" s="8" t="s">
        <v>1149</v>
      </c>
      <c r="H192" s="8" t="s">
        <v>1297</v>
      </c>
      <c r="I192" s="8" t="s">
        <v>1450</v>
      </c>
      <c r="J192" s="8" t="s">
        <v>1214</v>
      </c>
      <c r="K192" s="8" t="s">
        <v>1099</v>
      </c>
      <c r="L192" s="10" t="s">
        <v>1314</v>
      </c>
      <c r="M192" s="10" t="s">
        <v>1451</v>
      </c>
      <c r="N192" s="10" t="s">
        <v>1410</v>
      </c>
      <c r="O192" s="8" t="s">
        <v>1106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1264</v>
      </c>
      <c r="AA192" s="8" t="s">
        <v>331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1093</v>
      </c>
      <c r="E193" s="8" t="s">
        <v>123</v>
      </c>
      <c r="F193" s="8" t="s">
        <v>1573</v>
      </c>
      <c r="G193" s="8" t="s">
        <v>1645</v>
      </c>
      <c r="H193" s="8" t="s">
        <v>1297</v>
      </c>
      <c r="I193" s="8" t="s">
        <v>1452</v>
      </c>
      <c r="J193" s="8" t="s">
        <v>1214</v>
      </c>
      <c r="K193" s="8" t="s">
        <v>1099</v>
      </c>
      <c r="L193" s="10" t="s">
        <v>1453</v>
      </c>
      <c r="M193" s="10" t="s">
        <v>1454</v>
      </c>
      <c r="N193" s="10"/>
      <c r="O193" s="8" t="s">
        <v>321</v>
      </c>
      <c r="P193" s="8"/>
      <c r="Q193" s="8"/>
      <c r="R193" s="8">
        <v>109056</v>
      </c>
      <c r="S193" s="8" t="s">
        <v>331</v>
      </c>
      <c r="T193" s="8"/>
      <c r="U193" s="8"/>
      <c r="V193" s="8"/>
      <c r="W193" s="8"/>
      <c r="X193" s="8"/>
      <c r="Y193" s="8"/>
      <c r="Z193" s="10" t="s">
        <v>1264</v>
      </c>
      <c r="AA193" s="8" t="s">
        <v>331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1093</v>
      </c>
      <c r="E194" s="8" t="s">
        <v>123</v>
      </c>
      <c r="F194" s="8" t="s">
        <v>1543</v>
      </c>
      <c r="G194" s="8" t="s">
        <v>1149</v>
      </c>
      <c r="H194" s="8" t="s">
        <v>1646</v>
      </c>
      <c r="I194" s="8" t="s">
        <v>1452</v>
      </c>
      <c r="J194" s="8" t="s">
        <v>1214</v>
      </c>
      <c r="K194" s="8" t="s">
        <v>1099</v>
      </c>
      <c r="L194" s="10" t="s">
        <v>1453</v>
      </c>
      <c r="M194" s="10" t="s">
        <v>1454</v>
      </c>
      <c r="N194" s="10"/>
      <c r="O194" s="8" t="s">
        <v>321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331</v>
      </c>
      <c r="Z194" s="10" t="s">
        <v>1647</v>
      </c>
      <c r="AA194" s="8" t="s">
        <v>331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1093</v>
      </c>
      <c r="E195" s="8" t="s">
        <v>123</v>
      </c>
      <c r="F195" s="8" t="s">
        <v>1523</v>
      </c>
      <c r="G195" s="8" t="s">
        <v>1120</v>
      </c>
      <c r="H195" s="8" t="s">
        <v>1343</v>
      </c>
      <c r="I195" s="8" t="s">
        <v>1455</v>
      </c>
      <c r="J195" s="8" t="s">
        <v>1214</v>
      </c>
      <c r="K195" s="8" t="s">
        <v>1099</v>
      </c>
      <c r="L195" s="10" t="s">
        <v>1456</v>
      </c>
      <c r="M195" s="10" t="s">
        <v>1457</v>
      </c>
      <c r="N195" s="10"/>
      <c r="O195" s="8" t="s">
        <v>321</v>
      </c>
      <c r="P195" s="8"/>
      <c r="Q195" s="8"/>
      <c r="R195" s="8">
        <v>62743</v>
      </c>
      <c r="S195" s="8" t="s">
        <v>331</v>
      </c>
      <c r="T195" s="8"/>
      <c r="U195" s="8"/>
      <c r="V195" s="8"/>
      <c r="W195" s="8"/>
      <c r="X195" s="8"/>
      <c r="Y195" s="8"/>
      <c r="Z195" s="10" t="s">
        <v>1102</v>
      </c>
      <c r="AA195" s="8" t="s">
        <v>331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1093</v>
      </c>
      <c r="E196" s="8" t="s">
        <v>123</v>
      </c>
      <c r="F196" s="8" t="s">
        <v>1521</v>
      </c>
      <c r="G196" s="8" t="s">
        <v>1266</v>
      </c>
      <c r="H196" s="8" t="s">
        <v>1279</v>
      </c>
      <c r="I196" s="8" t="s">
        <v>1455</v>
      </c>
      <c r="J196" s="8" t="s">
        <v>1214</v>
      </c>
      <c r="K196" s="8" t="s">
        <v>1099</v>
      </c>
      <c r="L196" s="10" t="s">
        <v>1456</v>
      </c>
      <c r="M196" s="10" t="s">
        <v>1457</v>
      </c>
      <c r="N196" s="10"/>
      <c r="O196" s="8" t="s">
        <v>321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331</v>
      </c>
      <c r="Z196" s="10" t="s">
        <v>1648</v>
      </c>
      <c r="AA196" s="8" t="s">
        <v>331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1093</v>
      </c>
      <c r="E197" s="8" t="s">
        <v>123</v>
      </c>
      <c r="F197" s="8" t="s">
        <v>1560</v>
      </c>
      <c r="G197" s="8" t="s">
        <v>1266</v>
      </c>
      <c r="H197" s="8" t="s">
        <v>1196</v>
      </c>
      <c r="I197" s="8" t="s">
        <v>1649</v>
      </c>
      <c r="J197" s="8" t="s">
        <v>1650</v>
      </c>
      <c r="K197" s="8" t="s">
        <v>1099</v>
      </c>
      <c r="L197" s="10" t="s">
        <v>1170</v>
      </c>
      <c r="M197" s="10" t="s">
        <v>1651</v>
      </c>
      <c r="N197" s="10" t="s">
        <v>1652</v>
      </c>
      <c r="O197" s="8" t="s">
        <v>321</v>
      </c>
      <c r="P197" s="8"/>
      <c r="Q197" s="8">
        <v>1691</v>
      </c>
      <c r="R197" s="8">
        <v>109210</v>
      </c>
      <c r="S197" s="8"/>
      <c r="T197" s="8"/>
      <c r="U197" s="8" t="s">
        <v>331</v>
      </c>
      <c r="V197" s="8"/>
      <c r="W197" s="8"/>
      <c r="X197" s="8"/>
      <c r="Y197" s="8"/>
      <c r="Z197" s="10" t="s">
        <v>1278</v>
      </c>
      <c r="AA197" s="8" t="s">
        <v>331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1093</v>
      </c>
      <c r="E198" s="8" t="s">
        <v>123</v>
      </c>
      <c r="F198" s="8" t="s">
        <v>1620</v>
      </c>
      <c r="G198" s="8" t="s">
        <v>1284</v>
      </c>
      <c r="H198" s="8" t="s">
        <v>1653</v>
      </c>
      <c r="I198" s="8" t="s">
        <v>1654</v>
      </c>
      <c r="J198" s="8" t="s">
        <v>1650</v>
      </c>
      <c r="K198" s="8" t="s">
        <v>1099</v>
      </c>
      <c r="L198" s="10" t="s">
        <v>1655</v>
      </c>
      <c r="M198" s="10" t="s">
        <v>1656</v>
      </c>
      <c r="N198" s="10" t="s">
        <v>1413</v>
      </c>
      <c r="O198" s="8" t="s">
        <v>321</v>
      </c>
      <c r="P198" s="8"/>
      <c r="Q198" s="8">
        <v>3880</v>
      </c>
      <c r="R198" s="8">
        <v>1538</v>
      </c>
      <c r="S198" s="8" t="s">
        <v>331</v>
      </c>
      <c r="T198" s="8"/>
      <c r="U198" s="8"/>
      <c r="V198" s="8"/>
      <c r="W198" s="8"/>
      <c r="X198" s="8"/>
      <c r="Y198" s="8" t="s">
        <v>331</v>
      </c>
      <c r="Z198" s="10" t="s">
        <v>1657</v>
      </c>
      <c r="AA198" s="8" t="s">
        <v>331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1093</v>
      </c>
      <c r="E199" s="8" t="s">
        <v>123</v>
      </c>
      <c r="F199" s="8" t="s">
        <v>1590</v>
      </c>
      <c r="G199" s="8" t="s">
        <v>1266</v>
      </c>
      <c r="H199" s="8" t="s">
        <v>1196</v>
      </c>
      <c r="I199" s="8" t="s">
        <v>1658</v>
      </c>
      <c r="J199" s="8" t="s">
        <v>1459</v>
      </c>
      <c r="K199" s="8" t="s">
        <v>1099</v>
      </c>
      <c r="L199" s="10" t="s">
        <v>1170</v>
      </c>
      <c r="M199" s="10" t="s">
        <v>1659</v>
      </c>
      <c r="N199" s="10" t="s">
        <v>1660</v>
      </c>
      <c r="O199" s="8" t="s">
        <v>1106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1613</v>
      </c>
      <c r="AA199" s="8" t="s">
        <v>331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1093</v>
      </c>
      <c r="E200" s="8" t="s">
        <v>123</v>
      </c>
      <c r="F200" s="8" t="s">
        <v>1587</v>
      </c>
      <c r="G200" s="8" t="s">
        <v>1303</v>
      </c>
      <c r="H200" s="8" t="s">
        <v>1661</v>
      </c>
      <c r="I200" s="8" t="s">
        <v>1658</v>
      </c>
      <c r="J200" s="8" t="s">
        <v>1459</v>
      </c>
      <c r="K200" s="8" t="s">
        <v>1099</v>
      </c>
      <c r="L200" s="10" t="s">
        <v>1170</v>
      </c>
      <c r="M200" s="10" t="s">
        <v>1659</v>
      </c>
      <c r="N200" s="10" t="s">
        <v>1660</v>
      </c>
      <c r="O200" s="8" t="s">
        <v>321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331</v>
      </c>
      <c r="Z200" s="10" t="s">
        <v>1433</v>
      </c>
      <c r="AA200" s="8" t="s">
        <v>331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1093</v>
      </c>
      <c r="E201" s="8" t="s">
        <v>123</v>
      </c>
      <c r="F201" s="8" t="s">
        <v>1614</v>
      </c>
      <c r="G201" s="8" t="s">
        <v>1279</v>
      </c>
      <c r="H201" s="8" t="s">
        <v>1126</v>
      </c>
      <c r="I201" s="8" t="s">
        <v>1465</v>
      </c>
      <c r="J201" s="8" t="s">
        <v>1459</v>
      </c>
      <c r="K201" s="8" t="s">
        <v>1099</v>
      </c>
      <c r="L201" s="10" t="s">
        <v>1466</v>
      </c>
      <c r="M201" s="10" t="s">
        <v>1467</v>
      </c>
      <c r="N201" s="10" t="s">
        <v>1468</v>
      </c>
      <c r="O201" s="8" t="s">
        <v>362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1662</v>
      </c>
      <c r="AA201" s="8" t="s">
        <v>331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1093</v>
      </c>
      <c r="E202" s="8" t="s">
        <v>123</v>
      </c>
      <c r="F202" s="8" t="s">
        <v>1560</v>
      </c>
      <c r="G202" s="8" t="s">
        <v>1196</v>
      </c>
      <c r="H202" s="8" t="s">
        <v>1297</v>
      </c>
      <c r="I202" s="8" t="s">
        <v>1663</v>
      </c>
      <c r="J202" s="8" t="s">
        <v>1459</v>
      </c>
      <c r="K202" s="8" t="s">
        <v>1099</v>
      </c>
      <c r="L202" s="10" t="s">
        <v>1170</v>
      </c>
      <c r="M202" s="10" t="s">
        <v>1463</v>
      </c>
      <c r="N202" s="10" t="s">
        <v>1664</v>
      </c>
      <c r="O202" s="8" t="s">
        <v>362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1665</v>
      </c>
      <c r="AA202" s="8" t="s">
        <v>331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1093</v>
      </c>
      <c r="E203" s="8" t="s">
        <v>123</v>
      </c>
      <c r="F203" s="8" t="s">
        <v>1560</v>
      </c>
      <c r="G203" s="8" t="s">
        <v>1347</v>
      </c>
      <c r="H203" s="8" t="s">
        <v>1666</v>
      </c>
      <c r="I203" s="8" t="s">
        <v>1663</v>
      </c>
      <c r="J203" s="8" t="s">
        <v>1459</v>
      </c>
      <c r="K203" s="8" t="s">
        <v>1099</v>
      </c>
      <c r="L203" s="10" t="s">
        <v>1170</v>
      </c>
      <c r="M203" s="10" t="s">
        <v>1463</v>
      </c>
      <c r="N203" s="10" t="s">
        <v>1664</v>
      </c>
      <c r="O203" s="8" t="s">
        <v>321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331</v>
      </c>
      <c r="Z203" s="10" t="s">
        <v>1667</v>
      </c>
      <c r="AA203" s="8" t="s">
        <v>331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1093</v>
      </c>
      <c r="E204" s="8" t="s">
        <v>123</v>
      </c>
      <c r="F204" s="8" t="s">
        <v>1560</v>
      </c>
      <c r="G204" s="8" t="s">
        <v>1297</v>
      </c>
      <c r="H204" s="8" t="s">
        <v>1668</v>
      </c>
      <c r="I204" s="8" t="s">
        <v>1669</v>
      </c>
      <c r="J204" s="8" t="s">
        <v>1459</v>
      </c>
      <c r="K204" s="8" t="s">
        <v>1099</v>
      </c>
      <c r="L204" s="10" t="s">
        <v>1170</v>
      </c>
      <c r="M204" s="10" t="s">
        <v>1463</v>
      </c>
      <c r="N204" s="10" t="s">
        <v>1670</v>
      </c>
      <c r="O204" s="8" t="s">
        <v>362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1671</v>
      </c>
      <c r="AA204" s="8" t="s">
        <v>331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1093</v>
      </c>
      <c r="E205" s="8" t="s">
        <v>123</v>
      </c>
      <c r="F205" s="8" t="s">
        <v>1614</v>
      </c>
      <c r="G205" s="8" t="s">
        <v>1284</v>
      </c>
      <c r="H205" s="8" t="s">
        <v>1672</v>
      </c>
      <c r="I205" s="8" t="s">
        <v>1484</v>
      </c>
      <c r="J205" s="8" t="s">
        <v>1479</v>
      </c>
      <c r="K205" s="8" t="s">
        <v>1099</v>
      </c>
      <c r="L205" s="10" t="s">
        <v>1170</v>
      </c>
      <c r="M205" s="10" t="s">
        <v>1463</v>
      </c>
      <c r="N205" s="10" t="s">
        <v>1485</v>
      </c>
      <c r="O205" s="8" t="s">
        <v>321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331</v>
      </c>
      <c r="Z205" s="10" t="s">
        <v>1433</v>
      </c>
      <c r="AA205" s="8" t="s">
        <v>331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1093</v>
      </c>
      <c r="E206" s="8" t="s">
        <v>123</v>
      </c>
      <c r="F206" s="8" t="s">
        <v>1614</v>
      </c>
      <c r="G206" s="8" t="s">
        <v>1672</v>
      </c>
      <c r="H206" s="8" t="s">
        <v>1608</v>
      </c>
      <c r="I206" s="8" t="s">
        <v>1487</v>
      </c>
      <c r="J206" s="8" t="s">
        <v>1479</v>
      </c>
      <c r="K206" s="8" t="s">
        <v>1099</v>
      </c>
      <c r="L206" s="10" t="s">
        <v>1170</v>
      </c>
      <c r="M206" s="10" t="s">
        <v>1463</v>
      </c>
      <c r="N206" s="10" t="s">
        <v>1488</v>
      </c>
      <c r="O206" s="8" t="s">
        <v>321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331</v>
      </c>
      <c r="Z206" s="10" t="s">
        <v>1433</v>
      </c>
      <c r="AA206" s="8" t="s">
        <v>331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1093</v>
      </c>
      <c r="E207" s="8" t="s">
        <v>123</v>
      </c>
      <c r="F207" s="8" t="s">
        <v>1576</v>
      </c>
      <c r="G207" s="8" t="s">
        <v>1273</v>
      </c>
      <c r="H207" s="8" t="s">
        <v>1258</v>
      </c>
      <c r="I207" s="8" t="s">
        <v>1489</v>
      </c>
      <c r="J207" s="8" t="s">
        <v>1479</v>
      </c>
      <c r="K207" s="8" t="s">
        <v>1099</v>
      </c>
      <c r="L207" s="10" t="s">
        <v>1388</v>
      </c>
      <c r="M207" s="10" t="s">
        <v>1326</v>
      </c>
      <c r="N207" s="10" t="s">
        <v>1358</v>
      </c>
      <c r="O207" s="8" t="s">
        <v>321</v>
      </c>
      <c r="P207" s="8"/>
      <c r="Q207" s="8"/>
      <c r="R207" s="8">
        <v>33299</v>
      </c>
      <c r="S207" s="8" t="s">
        <v>331</v>
      </c>
      <c r="T207" s="8"/>
      <c r="U207" s="8"/>
      <c r="V207" s="8"/>
      <c r="W207" s="8"/>
      <c r="X207" s="8"/>
      <c r="Y207" s="8"/>
      <c r="Z207" s="10" t="s">
        <v>1613</v>
      </c>
      <c r="AA207" s="8" t="s">
        <v>331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1093</v>
      </c>
      <c r="E208" s="8" t="s">
        <v>123</v>
      </c>
      <c r="F208" s="8" t="s">
        <v>1596</v>
      </c>
      <c r="G208" s="8" t="s">
        <v>1342</v>
      </c>
      <c r="H208" s="8" t="s">
        <v>1673</v>
      </c>
      <c r="I208" s="8" t="s">
        <v>1674</v>
      </c>
      <c r="J208" s="8" t="s">
        <v>1675</v>
      </c>
      <c r="K208" s="8" t="s">
        <v>1099</v>
      </c>
      <c r="L208" s="10" t="s">
        <v>1676</v>
      </c>
      <c r="M208" s="10" t="s">
        <v>1677</v>
      </c>
      <c r="N208" s="10" t="s">
        <v>1678</v>
      </c>
      <c r="O208" s="8" t="s">
        <v>321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331</v>
      </c>
      <c r="Z208" s="10" t="s">
        <v>1362</v>
      </c>
      <c r="AA208" s="8" t="s">
        <v>331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1093</v>
      </c>
      <c r="E209" s="8" t="s">
        <v>123</v>
      </c>
      <c r="F209" s="8" t="s">
        <v>1620</v>
      </c>
      <c r="G209" s="8" t="s">
        <v>1266</v>
      </c>
      <c r="H209" s="8" t="s">
        <v>1679</v>
      </c>
      <c r="I209" s="8" t="s">
        <v>1674</v>
      </c>
      <c r="J209" s="8" t="s">
        <v>1675</v>
      </c>
      <c r="K209" s="8" t="s">
        <v>1099</v>
      </c>
      <c r="L209" s="10" t="s">
        <v>1676</v>
      </c>
      <c r="M209" s="10" t="s">
        <v>1677</v>
      </c>
      <c r="N209" s="10" t="s">
        <v>1678</v>
      </c>
      <c r="O209" s="8" t="s">
        <v>321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331</v>
      </c>
      <c r="Z209" s="10" t="s">
        <v>1362</v>
      </c>
      <c r="AA209" s="8" t="s">
        <v>331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1093</v>
      </c>
      <c r="E210" s="8" t="s">
        <v>123</v>
      </c>
      <c r="F210" s="8" t="s">
        <v>1596</v>
      </c>
      <c r="G210" s="8" t="s">
        <v>1343</v>
      </c>
      <c r="H210" s="8" t="s">
        <v>1302</v>
      </c>
      <c r="I210" s="8" t="s">
        <v>1680</v>
      </c>
      <c r="J210" s="8" t="s">
        <v>1675</v>
      </c>
      <c r="K210" s="8" t="s">
        <v>1099</v>
      </c>
      <c r="L210" s="10" t="s">
        <v>1676</v>
      </c>
      <c r="M210" s="10" t="s">
        <v>1677</v>
      </c>
      <c r="N210" s="10" t="s">
        <v>1681</v>
      </c>
      <c r="O210" s="8" t="s">
        <v>321</v>
      </c>
      <c r="P210" s="8"/>
      <c r="Q210" s="8">
        <v>6686</v>
      </c>
      <c r="R210" s="8">
        <v>241102</v>
      </c>
      <c r="S210" s="8"/>
      <c r="T210" s="8"/>
      <c r="U210" s="8" t="s">
        <v>331</v>
      </c>
      <c r="V210" s="8"/>
      <c r="W210" s="8"/>
      <c r="X210" s="8"/>
      <c r="Y210" s="8"/>
      <c r="Z210" s="10" t="s">
        <v>1278</v>
      </c>
      <c r="AA210" s="8" t="s">
        <v>331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1093</v>
      </c>
      <c r="E211" s="8" t="s">
        <v>123</v>
      </c>
      <c r="F211" s="8" t="s">
        <v>1620</v>
      </c>
      <c r="G211" s="8" t="s">
        <v>1197</v>
      </c>
      <c r="H211" s="8" t="s">
        <v>1682</v>
      </c>
      <c r="I211" s="8" t="s">
        <v>1680</v>
      </c>
      <c r="J211" s="8" t="s">
        <v>1675</v>
      </c>
      <c r="K211" s="8" t="s">
        <v>1099</v>
      </c>
      <c r="L211" s="10" t="s">
        <v>1676</v>
      </c>
      <c r="M211" s="10" t="s">
        <v>1677</v>
      </c>
      <c r="N211" s="10" t="s">
        <v>1681</v>
      </c>
      <c r="O211" s="8" t="s">
        <v>321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331</v>
      </c>
      <c r="Z211" s="10" t="s">
        <v>1683</v>
      </c>
      <c r="AA211" s="8" t="s">
        <v>331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1093</v>
      </c>
      <c r="E212" s="8" t="s">
        <v>123</v>
      </c>
      <c r="F212" s="8" t="s">
        <v>1612</v>
      </c>
      <c r="G212" s="8" t="s">
        <v>1258</v>
      </c>
      <c r="H212" s="8" t="s">
        <v>1684</v>
      </c>
      <c r="I212" s="8" t="s">
        <v>1490</v>
      </c>
      <c r="J212" s="8" t="s">
        <v>1491</v>
      </c>
      <c r="K212" s="8" t="s">
        <v>1099</v>
      </c>
      <c r="L212" s="10" t="s">
        <v>1314</v>
      </c>
      <c r="M212" s="10" t="s">
        <v>1492</v>
      </c>
      <c r="N212" s="10" t="s">
        <v>1493</v>
      </c>
      <c r="O212" s="8" t="s">
        <v>321</v>
      </c>
      <c r="P212" s="8"/>
      <c r="Q212" s="8"/>
      <c r="R212" s="8">
        <v>23098</v>
      </c>
      <c r="S212" s="8" t="s">
        <v>331</v>
      </c>
      <c r="T212" s="8"/>
      <c r="U212" s="8"/>
      <c r="V212" s="8"/>
      <c r="W212" s="8"/>
      <c r="X212" s="8"/>
      <c r="Y212" s="8"/>
      <c r="Z212" s="10" t="s">
        <v>1264</v>
      </c>
      <c r="AA212" s="8" t="s">
        <v>331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1093</v>
      </c>
      <c r="E213" s="8" t="s">
        <v>139</v>
      </c>
      <c r="F213" s="8" t="s">
        <v>1523</v>
      </c>
      <c r="G213" s="8" t="s">
        <v>1685</v>
      </c>
      <c r="H213" s="8" t="s">
        <v>1686</v>
      </c>
      <c r="I213" s="8" t="s">
        <v>1502</v>
      </c>
      <c r="J213" s="8" t="s">
        <v>1217</v>
      </c>
      <c r="K213" s="8" t="s">
        <v>1099</v>
      </c>
      <c r="L213" s="10" t="s">
        <v>1503</v>
      </c>
      <c r="M213" s="10" t="s">
        <v>1504</v>
      </c>
      <c r="N213" s="10" t="s">
        <v>1346</v>
      </c>
      <c r="O213" s="8" t="s">
        <v>1106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331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1093</v>
      </c>
      <c r="E214" s="8" t="s">
        <v>139</v>
      </c>
      <c r="F214" s="8" t="s">
        <v>1523</v>
      </c>
      <c r="G214" s="8" t="s">
        <v>1687</v>
      </c>
      <c r="H214" s="8" t="s">
        <v>1688</v>
      </c>
      <c r="I214" s="8" t="s">
        <v>1509</v>
      </c>
      <c r="J214" s="8" t="s">
        <v>1217</v>
      </c>
      <c r="K214" s="8" t="s">
        <v>1099</v>
      </c>
      <c r="L214" s="10" t="s">
        <v>1503</v>
      </c>
      <c r="M214" s="10" t="s">
        <v>1504</v>
      </c>
      <c r="N214" s="10" t="s">
        <v>1346</v>
      </c>
      <c r="O214" s="8" t="s">
        <v>1106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331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1093</v>
      </c>
      <c r="E215" s="8" t="s">
        <v>128</v>
      </c>
      <c r="F215" s="8" t="s">
        <v>1689</v>
      </c>
      <c r="G215" s="8" t="s">
        <v>1690</v>
      </c>
      <c r="H215" s="8" t="s">
        <v>1126</v>
      </c>
      <c r="I215" s="8" t="s">
        <v>1097</v>
      </c>
      <c r="J215" s="8" t="s">
        <v>1098</v>
      </c>
      <c r="K215" s="8" t="s">
        <v>1099</v>
      </c>
      <c r="L215" s="10" t="s">
        <v>1100</v>
      </c>
      <c r="M215" s="10" t="s">
        <v>1101</v>
      </c>
      <c r="N215" s="10" t="s">
        <v>128</v>
      </c>
      <c r="O215" s="8" t="s">
        <v>321</v>
      </c>
      <c r="P215" s="8"/>
      <c r="Q215" s="8">
        <v>4157</v>
      </c>
      <c r="R215" s="8">
        <v>29130</v>
      </c>
      <c r="S215" s="8" t="s">
        <v>331</v>
      </c>
      <c r="T215" s="8"/>
      <c r="U215" s="8"/>
      <c r="V215" s="8"/>
      <c r="W215" s="8"/>
      <c r="X215" s="8"/>
      <c r="Y215" s="8"/>
      <c r="Z215" s="10" t="s">
        <v>1102</v>
      </c>
      <c r="AA215" s="8" t="s">
        <v>331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1093</v>
      </c>
      <c r="E216" s="8" t="s">
        <v>128</v>
      </c>
      <c r="F216" s="8" t="s">
        <v>1689</v>
      </c>
      <c r="G216" s="8" t="s">
        <v>1127</v>
      </c>
      <c r="H216" s="8" t="s">
        <v>1691</v>
      </c>
      <c r="I216" s="8" t="s">
        <v>1110</v>
      </c>
      <c r="J216" s="8" t="s">
        <v>1111</v>
      </c>
      <c r="K216" s="8" t="s">
        <v>1099</v>
      </c>
      <c r="L216" s="10" t="s">
        <v>1112</v>
      </c>
      <c r="M216" s="10" t="s">
        <v>1113</v>
      </c>
      <c r="N216" s="10" t="s">
        <v>128</v>
      </c>
      <c r="O216" s="8" t="s">
        <v>321</v>
      </c>
      <c r="P216" s="8"/>
      <c r="Q216" s="8">
        <v>80</v>
      </c>
      <c r="R216" s="8">
        <v>3112</v>
      </c>
      <c r="S216" s="8" t="s">
        <v>331</v>
      </c>
      <c r="T216" s="8"/>
      <c r="U216" s="8"/>
      <c r="V216" s="8"/>
      <c r="W216" s="8"/>
      <c r="X216" s="8"/>
      <c r="Y216" s="8"/>
      <c r="Z216" s="10" t="s">
        <v>1102</v>
      </c>
      <c r="AA216" s="8" t="s">
        <v>331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1093</v>
      </c>
      <c r="E217" s="8" t="s">
        <v>128</v>
      </c>
      <c r="F217" s="8" t="s">
        <v>1689</v>
      </c>
      <c r="G217" s="8" t="s">
        <v>1692</v>
      </c>
      <c r="H217" s="8" t="s">
        <v>1328</v>
      </c>
      <c r="I217" s="8" t="s">
        <v>1116</v>
      </c>
      <c r="J217" s="8" t="s">
        <v>1111</v>
      </c>
      <c r="K217" s="8" t="s">
        <v>1099</v>
      </c>
      <c r="L217" s="10" t="s">
        <v>1117</v>
      </c>
      <c r="M217" s="10" t="s">
        <v>1118</v>
      </c>
      <c r="N217" s="10"/>
      <c r="O217" s="8" t="s">
        <v>321</v>
      </c>
      <c r="P217" s="8"/>
      <c r="Q217" s="8">
        <v>2109</v>
      </c>
      <c r="R217" s="8">
        <v>16515</v>
      </c>
      <c r="S217" s="8" t="s">
        <v>331</v>
      </c>
      <c r="T217" s="8"/>
      <c r="U217" s="8"/>
      <c r="V217" s="8"/>
      <c r="W217" s="8"/>
      <c r="X217" s="8"/>
      <c r="Y217" s="8"/>
      <c r="Z217" s="10" t="s">
        <v>1102</v>
      </c>
      <c r="AA217" s="8" t="s">
        <v>331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1093</v>
      </c>
      <c r="E218" s="8" t="s">
        <v>128</v>
      </c>
      <c r="F218" s="8" t="s">
        <v>1693</v>
      </c>
      <c r="G218" s="8" t="s">
        <v>1246</v>
      </c>
      <c r="H218" s="8" t="s">
        <v>1694</v>
      </c>
      <c r="I218" s="8" t="s">
        <v>1122</v>
      </c>
      <c r="J218" s="8" t="s">
        <v>1111</v>
      </c>
      <c r="K218" s="8" t="s">
        <v>1099</v>
      </c>
      <c r="L218" s="10" t="s">
        <v>1123</v>
      </c>
      <c r="M218" s="10" t="s">
        <v>1124</v>
      </c>
      <c r="N218" s="10" t="s">
        <v>1125</v>
      </c>
      <c r="O218" s="8" t="s">
        <v>321</v>
      </c>
      <c r="P218" s="8"/>
      <c r="Q218" s="8">
        <v>23851</v>
      </c>
      <c r="R218" s="8">
        <v>59082</v>
      </c>
      <c r="S218" s="8" t="s">
        <v>331</v>
      </c>
      <c r="T218" s="8"/>
      <c r="U218" s="8"/>
      <c r="V218" s="8"/>
      <c r="W218" s="8"/>
      <c r="X218" s="8"/>
      <c r="Y218" s="8"/>
      <c r="Z218" s="10" t="s">
        <v>1102</v>
      </c>
      <c r="AA218" s="8" t="s">
        <v>331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1093</v>
      </c>
      <c r="E219" s="8" t="s">
        <v>128</v>
      </c>
      <c r="F219" s="8" t="s">
        <v>1695</v>
      </c>
      <c r="G219" s="8" t="s">
        <v>1696</v>
      </c>
      <c r="H219" s="8" t="s">
        <v>1697</v>
      </c>
      <c r="I219" s="8" t="s">
        <v>1128</v>
      </c>
      <c r="J219" s="8" t="s">
        <v>1111</v>
      </c>
      <c r="K219" s="8" t="s">
        <v>1099</v>
      </c>
      <c r="L219" s="10" t="s">
        <v>1129</v>
      </c>
      <c r="M219" s="10" t="s">
        <v>1130</v>
      </c>
      <c r="N219" s="10" t="s">
        <v>1131</v>
      </c>
      <c r="O219" s="8" t="s">
        <v>321</v>
      </c>
      <c r="P219" s="8"/>
      <c r="Q219" s="8">
        <v>128</v>
      </c>
      <c r="R219" s="8">
        <v>715</v>
      </c>
      <c r="S219" s="8" t="s">
        <v>331</v>
      </c>
      <c r="T219" s="8"/>
      <c r="U219" s="8"/>
      <c r="V219" s="8"/>
      <c r="W219" s="8"/>
      <c r="X219" s="8"/>
      <c r="Y219" s="8"/>
      <c r="Z219" s="10" t="s">
        <v>1102</v>
      </c>
      <c r="AA219" s="8" t="s">
        <v>331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1093</v>
      </c>
      <c r="E220" s="8" t="s">
        <v>128</v>
      </c>
      <c r="F220" s="8" t="s">
        <v>1689</v>
      </c>
      <c r="G220" s="8" t="s">
        <v>1698</v>
      </c>
      <c r="H220" s="8" t="s">
        <v>1699</v>
      </c>
      <c r="I220" s="8" t="s">
        <v>1134</v>
      </c>
      <c r="J220" s="8" t="s">
        <v>1111</v>
      </c>
      <c r="K220" s="8" t="s">
        <v>1099</v>
      </c>
      <c r="L220" s="10" t="s">
        <v>1135</v>
      </c>
      <c r="M220" s="10" t="s">
        <v>1136</v>
      </c>
      <c r="N220" s="10" t="s">
        <v>128</v>
      </c>
      <c r="O220" s="8" t="s">
        <v>321</v>
      </c>
      <c r="P220" s="8"/>
      <c r="Q220" s="8">
        <v>134</v>
      </c>
      <c r="R220" s="8">
        <v>5843</v>
      </c>
      <c r="S220" s="8" t="s">
        <v>331</v>
      </c>
      <c r="T220" s="8"/>
      <c r="U220" s="8"/>
      <c r="V220" s="8"/>
      <c r="W220" s="8"/>
      <c r="X220" s="8"/>
      <c r="Y220" s="8"/>
      <c r="Z220" s="10" t="s">
        <v>1102</v>
      </c>
      <c r="AA220" s="8" t="s">
        <v>331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1093</v>
      </c>
      <c r="E221" s="8" t="s">
        <v>128</v>
      </c>
      <c r="F221" s="8" t="s">
        <v>1689</v>
      </c>
      <c r="G221" s="8" t="s">
        <v>1700</v>
      </c>
      <c r="H221" s="8" t="s">
        <v>1701</v>
      </c>
      <c r="I221" s="8" t="s">
        <v>1139</v>
      </c>
      <c r="J221" s="8" t="s">
        <v>1140</v>
      </c>
      <c r="K221" s="8" t="s">
        <v>1099</v>
      </c>
      <c r="L221" s="10" t="s">
        <v>1141</v>
      </c>
      <c r="M221" s="10" t="s">
        <v>1142</v>
      </c>
      <c r="N221" s="10" t="s">
        <v>1143</v>
      </c>
      <c r="O221" s="8" t="s">
        <v>321</v>
      </c>
      <c r="P221" s="8"/>
      <c r="Q221" s="8">
        <v>330</v>
      </c>
      <c r="R221" s="8">
        <v>1540</v>
      </c>
      <c r="S221" s="8" t="s">
        <v>331</v>
      </c>
      <c r="T221" s="8"/>
      <c r="U221" s="8"/>
      <c r="V221" s="8"/>
      <c r="W221" s="8"/>
      <c r="X221" s="8"/>
      <c r="Y221" s="8"/>
      <c r="Z221" s="10" t="s">
        <v>1102</v>
      </c>
      <c r="AA221" s="8" t="s">
        <v>331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1093</v>
      </c>
      <c r="E222" s="8" t="s">
        <v>128</v>
      </c>
      <c r="F222" s="8" t="s">
        <v>1689</v>
      </c>
      <c r="G222" s="8" t="s">
        <v>1702</v>
      </c>
      <c r="H222" s="8" t="s">
        <v>1530</v>
      </c>
      <c r="I222" s="8" t="s">
        <v>1145</v>
      </c>
      <c r="J222" s="8" t="s">
        <v>1140</v>
      </c>
      <c r="K222" s="8" t="s">
        <v>1099</v>
      </c>
      <c r="L222" s="10" t="s">
        <v>1146</v>
      </c>
      <c r="M222" s="10" t="s">
        <v>1147</v>
      </c>
      <c r="N222" s="10" t="s">
        <v>1131</v>
      </c>
      <c r="O222" s="8" t="s">
        <v>321</v>
      </c>
      <c r="P222" s="8"/>
      <c r="Q222" s="8">
        <v>2357</v>
      </c>
      <c r="R222" s="8">
        <v>2850</v>
      </c>
      <c r="S222" s="8" t="s">
        <v>331</v>
      </c>
      <c r="T222" s="8"/>
      <c r="U222" s="8"/>
      <c r="V222" s="8"/>
      <c r="W222" s="8"/>
      <c r="X222" s="8"/>
      <c r="Y222" s="8"/>
      <c r="Z222" s="10" t="s">
        <v>1102</v>
      </c>
      <c r="AA222" s="8" t="s">
        <v>331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1093</v>
      </c>
      <c r="E223" s="8" t="s">
        <v>128</v>
      </c>
      <c r="F223" s="8" t="s">
        <v>1689</v>
      </c>
      <c r="G223" s="8" t="s">
        <v>1703</v>
      </c>
      <c r="H223" s="8" t="s">
        <v>1704</v>
      </c>
      <c r="I223" s="8" t="s">
        <v>1150</v>
      </c>
      <c r="J223" s="8" t="s">
        <v>1140</v>
      </c>
      <c r="K223" s="8" t="s">
        <v>1099</v>
      </c>
      <c r="L223" s="10" t="s">
        <v>1151</v>
      </c>
      <c r="M223" s="10" t="s">
        <v>1152</v>
      </c>
      <c r="N223" s="10" t="s">
        <v>1153</v>
      </c>
      <c r="O223" s="8" t="s">
        <v>321</v>
      </c>
      <c r="P223" s="8"/>
      <c r="Q223" s="8">
        <v>950</v>
      </c>
      <c r="R223" s="8">
        <v>48273</v>
      </c>
      <c r="S223" s="8" t="s">
        <v>331</v>
      </c>
      <c r="T223" s="8"/>
      <c r="U223" s="8"/>
      <c r="V223" s="8"/>
      <c r="W223" s="8"/>
      <c r="X223" s="8"/>
      <c r="Y223" s="8"/>
      <c r="Z223" s="10" t="s">
        <v>1102</v>
      </c>
      <c r="AA223" s="8" t="s">
        <v>331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1093</v>
      </c>
      <c r="E224" s="8" t="s">
        <v>128</v>
      </c>
      <c r="F224" s="8" t="s">
        <v>1689</v>
      </c>
      <c r="G224" s="8" t="s">
        <v>1572</v>
      </c>
      <c r="H224" s="8" t="s">
        <v>1167</v>
      </c>
      <c r="I224" s="8" t="s">
        <v>1156</v>
      </c>
      <c r="J224" s="8" t="s">
        <v>1140</v>
      </c>
      <c r="K224" s="8" t="s">
        <v>1099</v>
      </c>
      <c r="L224" s="10" t="s">
        <v>1157</v>
      </c>
      <c r="M224" s="10" t="s">
        <v>1158</v>
      </c>
      <c r="N224" s="10"/>
      <c r="O224" s="8" t="s">
        <v>321</v>
      </c>
      <c r="P224" s="8"/>
      <c r="Q224" s="8">
        <v>307</v>
      </c>
      <c r="R224" s="8">
        <v>484</v>
      </c>
      <c r="S224" s="8" t="s">
        <v>331</v>
      </c>
      <c r="T224" s="8"/>
      <c r="U224" s="8"/>
      <c r="V224" s="8"/>
      <c r="W224" s="8"/>
      <c r="X224" s="8"/>
      <c r="Y224" s="8"/>
      <c r="Z224" s="10" t="s">
        <v>1102</v>
      </c>
      <c r="AA224" s="8" t="s">
        <v>331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1093</v>
      </c>
      <c r="E225" s="8" t="s">
        <v>128</v>
      </c>
      <c r="F225" s="8" t="s">
        <v>1695</v>
      </c>
      <c r="G225" s="8" t="s">
        <v>1638</v>
      </c>
      <c r="H225" s="8" t="s">
        <v>1705</v>
      </c>
      <c r="I225" s="8" t="s">
        <v>1162</v>
      </c>
      <c r="J225" s="8" t="s">
        <v>1140</v>
      </c>
      <c r="K225" s="8" t="s">
        <v>1099</v>
      </c>
      <c r="L225" s="10" t="s">
        <v>1163</v>
      </c>
      <c r="M225" s="10" t="s">
        <v>1164</v>
      </c>
      <c r="N225" s="10" t="s">
        <v>1131</v>
      </c>
      <c r="O225" s="8" t="s">
        <v>321</v>
      </c>
      <c r="P225" s="8"/>
      <c r="Q225" s="8">
        <v>444</v>
      </c>
      <c r="R225" s="8">
        <v>1322</v>
      </c>
      <c r="S225" s="8" t="s">
        <v>331</v>
      </c>
      <c r="T225" s="8"/>
      <c r="U225" s="8"/>
      <c r="V225" s="8"/>
      <c r="W225" s="8"/>
      <c r="X225" s="8"/>
      <c r="Y225" s="8"/>
      <c r="Z225" s="10" t="s">
        <v>1102</v>
      </c>
      <c r="AA225" s="8" t="s">
        <v>331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1093</v>
      </c>
      <c r="E226" s="8" t="s">
        <v>128</v>
      </c>
      <c r="F226" s="8" t="s">
        <v>1693</v>
      </c>
      <c r="G226" s="8" t="s">
        <v>1706</v>
      </c>
      <c r="H226" s="8" t="s">
        <v>1707</v>
      </c>
      <c r="I226" s="8" t="s">
        <v>1175</v>
      </c>
      <c r="J226" s="8" t="s">
        <v>1169</v>
      </c>
      <c r="K226" s="8" t="s">
        <v>1099</v>
      </c>
      <c r="L226" s="10" t="s">
        <v>1123</v>
      </c>
      <c r="M226" s="10" t="s">
        <v>1124</v>
      </c>
      <c r="N226" s="10" t="s">
        <v>1176</v>
      </c>
      <c r="O226" s="8" t="s">
        <v>1106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1102</v>
      </c>
      <c r="AA226" s="8" t="s">
        <v>331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1093</v>
      </c>
      <c r="E227" s="8" t="s">
        <v>128</v>
      </c>
      <c r="F227" s="8" t="s">
        <v>1708</v>
      </c>
      <c r="G227" s="8" t="s">
        <v>1709</v>
      </c>
      <c r="H227" s="8" t="s">
        <v>1710</v>
      </c>
      <c r="I227" s="8" t="s">
        <v>1179</v>
      </c>
      <c r="J227" s="8" t="s">
        <v>1169</v>
      </c>
      <c r="K227" s="8" t="s">
        <v>1099</v>
      </c>
      <c r="L227" s="10" t="s">
        <v>1180</v>
      </c>
      <c r="M227" s="10" t="s">
        <v>1181</v>
      </c>
      <c r="N227" s="10" t="s">
        <v>128</v>
      </c>
      <c r="O227" s="8" t="s">
        <v>321</v>
      </c>
      <c r="P227" s="8"/>
      <c r="Q227" s="8"/>
      <c r="R227" s="8">
        <v>45999</v>
      </c>
      <c r="S227" s="8" t="s">
        <v>331</v>
      </c>
      <c r="T227" s="8"/>
      <c r="U227" s="8"/>
      <c r="V227" s="8"/>
      <c r="W227" s="8"/>
      <c r="X227" s="8"/>
      <c r="Y227" s="8"/>
      <c r="Z227" s="10" t="s">
        <v>1102</v>
      </c>
      <c r="AA227" s="8" t="s">
        <v>331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1093</v>
      </c>
      <c r="E228" s="8" t="s">
        <v>128</v>
      </c>
      <c r="F228" s="8" t="s">
        <v>1711</v>
      </c>
      <c r="G228" s="8" t="s">
        <v>1712</v>
      </c>
      <c r="H228" s="8" t="s">
        <v>1713</v>
      </c>
      <c r="I228" s="8" t="s">
        <v>1185</v>
      </c>
      <c r="J228" s="8" t="s">
        <v>1169</v>
      </c>
      <c r="K228" s="8" t="s">
        <v>1099</v>
      </c>
      <c r="L228" s="10" t="s">
        <v>1186</v>
      </c>
      <c r="M228" s="10" t="s">
        <v>1187</v>
      </c>
      <c r="N228" s="10" t="s">
        <v>1188</v>
      </c>
      <c r="O228" s="8" t="s">
        <v>321</v>
      </c>
      <c r="P228" s="8"/>
      <c r="Q228" s="8"/>
      <c r="R228" s="8">
        <v>20527</v>
      </c>
      <c r="S228" s="8" t="s">
        <v>331</v>
      </c>
      <c r="T228" s="8"/>
      <c r="U228" s="8"/>
      <c r="V228" s="8"/>
      <c r="W228" s="8"/>
      <c r="X228" s="8"/>
      <c r="Y228" s="8"/>
      <c r="Z228" s="10" t="s">
        <v>1102</v>
      </c>
      <c r="AA228" s="8" t="s">
        <v>331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1093</v>
      </c>
      <c r="E229" s="8" t="s">
        <v>128</v>
      </c>
      <c r="F229" s="8" t="s">
        <v>1711</v>
      </c>
      <c r="G229" s="8" t="s">
        <v>1174</v>
      </c>
      <c r="H229" s="8" t="s">
        <v>1302</v>
      </c>
      <c r="I229" s="8" t="s">
        <v>1192</v>
      </c>
      <c r="J229" s="8" t="s">
        <v>1193</v>
      </c>
      <c r="K229" s="8" t="s">
        <v>1099</v>
      </c>
      <c r="L229" s="10" t="s">
        <v>1194</v>
      </c>
      <c r="M229" s="10" t="s">
        <v>1195</v>
      </c>
      <c r="N229" s="10" t="s">
        <v>128</v>
      </c>
      <c r="O229" s="8" t="s">
        <v>1106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1102</v>
      </c>
      <c r="AA229" s="8" t="s">
        <v>331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1093</v>
      </c>
      <c r="E230" s="8" t="s">
        <v>128</v>
      </c>
      <c r="F230" s="8" t="s">
        <v>1711</v>
      </c>
      <c r="G230" s="8" t="s">
        <v>1714</v>
      </c>
      <c r="H230" s="8" t="s">
        <v>1715</v>
      </c>
      <c r="I230" s="8" t="s">
        <v>1198</v>
      </c>
      <c r="J230" s="8" t="s">
        <v>1193</v>
      </c>
      <c r="K230" s="8" t="s">
        <v>1099</v>
      </c>
      <c r="L230" s="10" t="s">
        <v>1199</v>
      </c>
      <c r="M230" s="10" t="s">
        <v>1200</v>
      </c>
      <c r="N230" s="10"/>
      <c r="O230" s="8" t="s">
        <v>1106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1106</v>
      </c>
      <c r="AA230" s="8" t="s">
        <v>331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1093</v>
      </c>
      <c r="E231" s="8" t="s">
        <v>128</v>
      </c>
      <c r="F231" s="8" t="s">
        <v>1689</v>
      </c>
      <c r="G231" s="8" t="s">
        <v>1476</v>
      </c>
      <c r="H231" s="8" t="s">
        <v>1716</v>
      </c>
      <c r="I231" s="8" t="s">
        <v>1203</v>
      </c>
      <c r="J231" s="8" t="s">
        <v>1204</v>
      </c>
      <c r="K231" s="8" t="s">
        <v>1099</v>
      </c>
      <c r="L231" s="10" t="s">
        <v>1205</v>
      </c>
      <c r="M231" s="10" t="s">
        <v>1206</v>
      </c>
      <c r="N231" s="10" t="s">
        <v>128</v>
      </c>
      <c r="O231" s="8" t="s">
        <v>321</v>
      </c>
      <c r="P231" s="8"/>
      <c r="Q231" s="8">
        <v>11171</v>
      </c>
      <c r="R231" s="8">
        <v>147964</v>
      </c>
      <c r="S231" s="8" t="s">
        <v>331</v>
      </c>
      <c r="T231" s="8"/>
      <c r="U231" s="8"/>
      <c r="V231" s="8"/>
      <c r="W231" s="8"/>
      <c r="X231" s="8"/>
      <c r="Y231" s="8"/>
      <c r="Z231" s="10" t="s">
        <v>1102</v>
      </c>
      <c r="AA231" s="8" t="s">
        <v>331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1093</v>
      </c>
      <c r="E232" s="8" t="s">
        <v>128</v>
      </c>
      <c r="F232" s="8" t="s">
        <v>1711</v>
      </c>
      <c r="G232" s="8" t="s">
        <v>1717</v>
      </c>
      <c r="H232" s="8" t="s">
        <v>1653</v>
      </c>
      <c r="I232" s="8" t="s">
        <v>1209</v>
      </c>
      <c r="J232" s="8" t="s">
        <v>1204</v>
      </c>
      <c r="K232" s="8" t="s">
        <v>1099</v>
      </c>
      <c r="L232" s="10" t="s">
        <v>1210</v>
      </c>
      <c r="M232" s="10" t="s">
        <v>1211</v>
      </c>
      <c r="N232" s="10" t="s">
        <v>1188</v>
      </c>
      <c r="O232" s="8" t="s">
        <v>321</v>
      </c>
      <c r="P232" s="8"/>
      <c r="Q232" s="8">
        <v>1652</v>
      </c>
      <c r="R232" s="8">
        <v>243616</v>
      </c>
      <c r="S232" s="8" t="s">
        <v>331</v>
      </c>
      <c r="T232" s="8"/>
      <c r="U232" s="8"/>
      <c r="V232" s="8"/>
      <c r="W232" s="8"/>
      <c r="X232" s="8"/>
      <c r="Y232" s="8"/>
      <c r="Z232" s="10" t="s">
        <v>1102</v>
      </c>
      <c r="AA232" s="8" t="s">
        <v>331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1093</v>
      </c>
      <c r="E233" s="8" t="s">
        <v>128</v>
      </c>
      <c r="F233" s="8" t="s">
        <v>1693</v>
      </c>
      <c r="G233" s="8" t="s">
        <v>1343</v>
      </c>
      <c r="H233" s="8" t="s">
        <v>1694</v>
      </c>
      <c r="I233" s="8" t="s">
        <v>1213</v>
      </c>
      <c r="J233" s="8" t="s">
        <v>1214</v>
      </c>
      <c r="K233" s="8" t="s">
        <v>1099</v>
      </c>
      <c r="L233" s="10" t="s">
        <v>1123</v>
      </c>
      <c r="M233" s="10" t="s">
        <v>1124</v>
      </c>
      <c r="N233" s="10" t="s">
        <v>1215</v>
      </c>
      <c r="O233" s="8" t="s">
        <v>321</v>
      </c>
      <c r="P233" s="8"/>
      <c r="Q233" s="8"/>
      <c r="R233" s="8">
        <v>106523</v>
      </c>
      <c r="S233" s="8" t="s">
        <v>331</v>
      </c>
      <c r="T233" s="8"/>
      <c r="U233" s="8"/>
      <c r="V233" s="8"/>
      <c r="W233" s="8"/>
      <c r="X233" s="8"/>
      <c r="Y233" s="8"/>
      <c r="Z233" s="10" t="s">
        <v>1102</v>
      </c>
      <c r="AA233" s="8" t="s">
        <v>331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1093</v>
      </c>
      <c r="E234" s="8" t="s">
        <v>128</v>
      </c>
      <c r="F234" s="8" t="s">
        <v>1708</v>
      </c>
      <c r="G234" s="8" t="s">
        <v>1718</v>
      </c>
      <c r="H234" s="8" t="s">
        <v>1719</v>
      </c>
      <c r="I234" s="8" t="s">
        <v>1216</v>
      </c>
      <c r="J234" s="8" t="s">
        <v>1217</v>
      </c>
      <c r="K234" s="8" t="s">
        <v>1099</v>
      </c>
      <c r="L234" s="10" t="s">
        <v>1218</v>
      </c>
      <c r="M234" s="10" t="s">
        <v>1219</v>
      </c>
      <c r="N234" s="10" t="s">
        <v>1220</v>
      </c>
      <c r="O234" s="8" t="s">
        <v>321</v>
      </c>
      <c r="P234" s="8"/>
      <c r="Q234" s="8">
        <v>30407</v>
      </c>
      <c r="R234" s="8">
        <v>26071</v>
      </c>
      <c r="S234" s="8" t="s">
        <v>331</v>
      </c>
      <c r="T234" s="8"/>
      <c r="U234" s="8"/>
      <c r="V234" s="8"/>
      <c r="W234" s="8"/>
      <c r="X234" s="8"/>
      <c r="Y234" s="8"/>
      <c r="Z234" s="10" t="s">
        <v>1102</v>
      </c>
      <c r="AA234" s="8" t="s">
        <v>331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1093</v>
      </c>
      <c r="E235" s="8" t="s">
        <v>128</v>
      </c>
      <c r="F235" s="8" t="s">
        <v>1695</v>
      </c>
      <c r="G235" s="8" t="s">
        <v>1653</v>
      </c>
      <c r="H235" s="8" t="s">
        <v>1720</v>
      </c>
      <c r="I235" s="8" t="s">
        <v>1223</v>
      </c>
      <c r="J235" s="8" t="s">
        <v>1217</v>
      </c>
      <c r="K235" s="8" t="s">
        <v>1099</v>
      </c>
      <c r="L235" s="10" t="s">
        <v>1224</v>
      </c>
      <c r="M235" s="10" t="s">
        <v>1225</v>
      </c>
      <c r="N235" s="10" t="s">
        <v>1226</v>
      </c>
      <c r="O235" s="8" t="s">
        <v>321</v>
      </c>
      <c r="P235" s="8"/>
      <c r="Q235" s="8">
        <v>4539</v>
      </c>
      <c r="R235" s="8">
        <v>35915</v>
      </c>
      <c r="S235" s="8" t="s">
        <v>331</v>
      </c>
      <c r="T235" s="8"/>
      <c r="U235" s="8"/>
      <c r="V235" s="8"/>
      <c r="W235" s="8"/>
      <c r="X235" s="8"/>
      <c r="Y235" s="8"/>
      <c r="Z235" s="10" t="s">
        <v>1102</v>
      </c>
      <c r="AA235" s="8" t="s">
        <v>331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1093</v>
      </c>
      <c r="E236" s="8" t="s">
        <v>128</v>
      </c>
      <c r="F236" s="8" t="s">
        <v>1689</v>
      </c>
      <c r="G236" s="8" t="s">
        <v>1537</v>
      </c>
      <c r="H236" s="8" t="s">
        <v>1549</v>
      </c>
      <c r="I236" s="8" t="s">
        <v>1229</v>
      </c>
      <c r="J236" s="8" t="s">
        <v>1217</v>
      </c>
      <c r="K236" s="8" t="s">
        <v>1099</v>
      </c>
      <c r="L236" s="10" t="s">
        <v>1230</v>
      </c>
      <c r="M236" s="10" t="s">
        <v>1231</v>
      </c>
      <c r="N236" s="10" t="s">
        <v>128</v>
      </c>
      <c r="O236" s="8" t="s">
        <v>321</v>
      </c>
      <c r="P236" s="8"/>
      <c r="Q236" s="8">
        <v>13916</v>
      </c>
      <c r="R236" s="8">
        <v>20241</v>
      </c>
      <c r="S236" s="8" t="s">
        <v>331</v>
      </c>
      <c r="T236" s="8"/>
      <c r="U236" s="8"/>
      <c r="V236" s="8"/>
      <c r="W236" s="8"/>
      <c r="X236" s="8"/>
      <c r="Y236" s="8"/>
      <c r="Z236" s="10" t="s">
        <v>1102</v>
      </c>
      <c r="AA236" s="8" t="s">
        <v>331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1093</v>
      </c>
      <c r="E237" s="8" t="s">
        <v>128</v>
      </c>
      <c r="F237" s="8" t="s">
        <v>1721</v>
      </c>
      <c r="G237" s="8" t="s">
        <v>1722</v>
      </c>
      <c r="H237" s="8" t="s">
        <v>1511</v>
      </c>
      <c r="I237" s="8" t="s">
        <v>1243</v>
      </c>
      <c r="J237" s="8" t="s">
        <v>1244</v>
      </c>
      <c r="K237" s="8" t="s">
        <v>1099</v>
      </c>
      <c r="L237" s="10" t="s">
        <v>1236</v>
      </c>
      <c r="M237" s="10" t="s">
        <v>1237</v>
      </c>
      <c r="N237" s="10" t="s">
        <v>1238</v>
      </c>
      <c r="O237" s="8" t="s">
        <v>321</v>
      </c>
      <c r="P237" s="8"/>
      <c r="Q237" s="8">
        <v>168</v>
      </c>
      <c r="R237" s="8">
        <v>6195</v>
      </c>
      <c r="S237" s="8" t="s">
        <v>331</v>
      </c>
      <c r="T237" s="8"/>
      <c r="U237" s="8"/>
      <c r="V237" s="8"/>
      <c r="W237" s="8"/>
      <c r="X237" s="8"/>
      <c r="Y237" s="8"/>
      <c r="Z237" s="10" t="s">
        <v>1102</v>
      </c>
      <c r="AA237" s="8" t="s">
        <v>331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1093</v>
      </c>
      <c r="E238" s="8" t="s">
        <v>128</v>
      </c>
      <c r="F238" s="8" t="s">
        <v>1708</v>
      </c>
      <c r="G238" s="8" t="s">
        <v>1167</v>
      </c>
      <c r="H238" s="8" t="s">
        <v>1723</v>
      </c>
      <c r="I238" s="8" t="s">
        <v>1724</v>
      </c>
      <c r="J238" s="8" t="s">
        <v>1725</v>
      </c>
      <c r="K238" s="8" t="s">
        <v>1099</v>
      </c>
      <c r="L238" s="10" t="s">
        <v>1249</v>
      </c>
      <c r="M238" s="10" t="s">
        <v>1250</v>
      </c>
      <c r="N238" s="10"/>
      <c r="O238" s="8" t="s">
        <v>321</v>
      </c>
      <c r="P238" s="8"/>
      <c r="Q238" s="8"/>
      <c r="R238" s="8">
        <v>4424</v>
      </c>
      <c r="S238" s="8" t="s">
        <v>331</v>
      </c>
      <c r="T238" s="8"/>
      <c r="U238" s="8"/>
      <c r="V238" s="8"/>
      <c r="W238" s="8"/>
      <c r="X238" s="8"/>
      <c r="Y238" s="8"/>
      <c r="Z238" s="10" t="s">
        <v>1102</v>
      </c>
      <c r="AA238" s="8" t="s">
        <v>331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1093</v>
      </c>
      <c r="E239" s="8" t="s">
        <v>128</v>
      </c>
      <c r="F239" s="8" t="s">
        <v>1721</v>
      </c>
      <c r="G239" s="8" t="s">
        <v>1726</v>
      </c>
      <c r="H239" s="8" t="s">
        <v>1727</v>
      </c>
      <c r="I239" s="8" t="s">
        <v>1251</v>
      </c>
      <c r="J239" s="8" t="s">
        <v>1252</v>
      </c>
      <c r="K239" s="8" t="s">
        <v>1099</v>
      </c>
      <c r="L239" s="10" t="s">
        <v>1236</v>
      </c>
      <c r="M239" s="10" t="s">
        <v>1237</v>
      </c>
      <c r="N239" s="10" t="s">
        <v>1253</v>
      </c>
      <c r="O239" s="8" t="s">
        <v>321</v>
      </c>
      <c r="P239" s="8"/>
      <c r="Q239" s="8"/>
      <c r="R239" s="8">
        <v>95268</v>
      </c>
      <c r="S239" s="8" t="s">
        <v>331</v>
      </c>
      <c r="T239" s="8"/>
      <c r="U239" s="8"/>
      <c r="V239" s="8"/>
      <c r="W239" s="8"/>
      <c r="X239" s="8"/>
      <c r="Y239" s="8"/>
      <c r="Z239" s="10" t="s">
        <v>1728</v>
      </c>
      <c r="AA239" s="8" t="s">
        <v>331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1093</v>
      </c>
      <c r="E240" s="8" t="s">
        <v>128</v>
      </c>
      <c r="F240" s="8" t="s">
        <v>1721</v>
      </c>
      <c r="G240" s="8" t="s">
        <v>1729</v>
      </c>
      <c r="H240" s="8" t="s">
        <v>1518</v>
      </c>
      <c r="I240" s="8" t="s">
        <v>1256</v>
      </c>
      <c r="J240" s="8" t="s">
        <v>1252</v>
      </c>
      <c r="K240" s="8" t="s">
        <v>1099</v>
      </c>
      <c r="L240" s="10" t="s">
        <v>1236</v>
      </c>
      <c r="M240" s="10" t="s">
        <v>1237</v>
      </c>
      <c r="N240" s="10" t="s">
        <v>1257</v>
      </c>
      <c r="O240" s="8" t="s">
        <v>321</v>
      </c>
      <c r="P240" s="8"/>
      <c r="Q240" s="8"/>
      <c r="R240" s="8">
        <v>46759</v>
      </c>
      <c r="S240" s="8" t="s">
        <v>331</v>
      </c>
      <c r="T240" s="8"/>
      <c r="U240" s="8"/>
      <c r="V240" s="8"/>
      <c r="W240" s="8"/>
      <c r="X240" s="8"/>
      <c r="Y240" s="8"/>
      <c r="Z240" s="10" t="s">
        <v>1102</v>
      </c>
      <c r="AA240" s="8" t="s">
        <v>331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1093</v>
      </c>
      <c r="E241" s="8" t="s">
        <v>123</v>
      </c>
      <c r="F241" s="8" t="s">
        <v>1730</v>
      </c>
      <c r="G241" s="8" t="s">
        <v>1284</v>
      </c>
      <c r="H241" s="8" t="s">
        <v>1166</v>
      </c>
      <c r="I241" s="8" t="s">
        <v>1267</v>
      </c>
      <c r="J241" s="8" t="s">
        <v>1111</v>
      </c>
      <c r="K241" s="8" t="s">
        <v>1099</v>
      </c>
      <c r="L241" s="10" t="s">
        <v>1268</v>
      </c>
      <c r="M241" s="10" t="s">
        <v>1269</v>
      </c>
      <c r="N241" s="10" t="s">
        <v>1584</v>
      </c>
      <c r="O241" s="8" t="s">
        <v>321</v>
      </c>
      <c r="P241" s="8"/>
      <c r="Q241" s="8">
        <v>8264</v>
      </c>
      <c r="R241" s="8">
        <v>58127</v>
      </c>
      <c r="S241" s="8" t="s">
        <v>331</v>
      </c>
      <c r="T241" s="8"/>
      <c r="U241" s="8"/>
      <c r="V241" s="8"/>
      <c r="W241" s="8"/>
      <c r="X241" s="8"/>
      <c r="Y241" s="8"/>
      <c r="Z241" s="10" t="s">
        <v>1613</v>
      </c>
      <c r="AA241" s="8" t="s">
        <v>331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1093</v>
      </c>
      <c r="E242" s="8" t="s">
        <v>123</v>
      </c>
      <c r="F242" s="8" t="s">
        <v>1731</v>
      </c>
      <c r="G242" s="8" t="s">
        <v>1303</v>
      </c>
      <c r="H242" s="8" t="s">
        <v>1732</v>
      </c>
      <c r="I242" s="8" t="s">
        <v>1274</v>
      </c>
      <c r="J242" s="8" t="s">
        <v>1111</v>
      </c>
      <c r="K242" s="8" t="s">
        <v>1099</v>
      </c>
      <c r="L242" s="10" t="s">
        <v>1275</v>
      </c>
      <c r="M242" s="10" t="s">
        <v>1276</v>
      </c>
      <c r="N242" s="10" t="s">
        <v>1277</v>
      </c>
      <c r="O242" s="8" t="s">
        <v>321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331</v>
      </c>
      <c r="Z242" s="10" t="s">
        <v>1407</v>
      </c>
      <c r="AA242" s="8" t="s">
        <v>331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1093</v>
      </c>
      <c r="E243" s="8" t="s">
        <v>123</v>
      </c>
      <c r="F243" s="8" t="s">
        <v>1730</v>
      </c>
      <c r="G243" s="8" t="s">
        <v>1303</v>
      </c>
      <c r="H243" s="8" t="s">
        <v>1342</v>
      </c>
      <c r="I243" s="8" t="s">
        <v>1281</v>
      </c>
      <c r="J243" s="8" t="s">
        <v>1111</v>
      </c>
      <c r="K243" s="8" t="s">
        <v>1099</v>
      </c>
      <c r="L243" s="10" t="s">
        <v>1282</v>
      </c>
      <c r="M243" s="10" t="s">
        <v>1283</v>
      </c>
      <c r="N243" s="10"/>
      <c r="O243" s="8" t="s">
        <v>321</v>
      </c>
      <c r="P243" s="8"/>
      <c r="Q243" s="8">
        <v>1800</v>
      </c>
      <c r="R243" s="8">
        <v>36000</v>
      </c>
      <c r="S243" s="8" t="s">
        <v>331</v>
      </c>
      <c r="T243" s="8"/>
      <c r="U243" s="8"/>
      <c r="V243" s="8"/>
      <c r="W243" s="8"/>
      <c r="X243" s="8"/>
      <c r="Y243" s="8"/>
      <c r="Z243" s="10" t="s">
        <v>1613</v>
      </c>
      <c r="AA243" s="8" t="s">
        <v>331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1093</v>
      </c>
      <c r="E244" s="8" t="s">
        <v>123</v>
      </c>
      <c r="F244" s="8" t="s">
        <v>1693</v>
      </c>
      <c r="G244" s="8" t="s">
        <v>1149</v>
      </c>
      <c r="H244" s="8" t="s">
        <v>1297</v>
      </c>
      <c r="I244" s="8" t="s">
        <v>1281</v>
      </c>
      <c r="J244" s="8" t="s">
        <v>1111</v>
      </c>
      <c r="K244" s="8" t="s">
        <v>1099</v>
      </c>
      <c r="L244" s="10" t="s">
        <v>1282</v>
      </c>
      <c r="M244" s="10" t="s">
        <v>1283</v>
      </c>
      <c r="N244" s="10"/>
      <c r="O244" s="8" t="s">
        <v>321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331</v>
      </c>
      <c r="X244" s="8"/>
      <c r="Y244" s="8"/>
      <c r="Z244" s="10" t="s">
        <v>1733</v>
      </c>
      <c r="AA244" s="8" t="s">
        <v>331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1093</v>
      </c>
      <c r="E245" s="8" t="s">
        <v>123</v>
      </c>
      <c r="F245" s="8" t="s">
        <v>1734</v>
      </c>
      <c r="G245" s="8" t="s">
        <v>1149</v>
      </c>
      <c r="H245" s="8" t="s">
        <v>1297</v>
      </c>
      <c r="I245" s="8" t="s">
        <v>1286</v>
      </c>
      <c r="J245" s="8" t="s">
        <v>1111</v>
      </c>
      <c r="K245" s="8" t="s">
        <v>1099</v>
      </c>
      <c r="L245" s="10" t="s">
        <v>1287</v>
      </c>
      <c r="M245" s="10" t="s">
        <v>1288</v>
      </c>
      <c r="N245" s="10" t="s">
        <v>1289</v>
      </c>
      <c r="O245" s="8" t="s">
        <v>1106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1613</v>
      </c>
      <c r="AA245" s="8" t="s">
        <v>331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1093</v>
      </c>
      <c r="E246" s="8" t="s">
        <v>123</v>
      </c>
      <c r="F246" s="8" t="s">
        <v>1695</v>
      </c>
      <c r="G246" s="8" t="s">
        <v>1284</v>
      </c>
      <c r="H246" s="8" t="s">
        <v>1735</v>
      </c>
      <c r="I246" s="8" t="s">
        <v>1292</v>
      </c>
      <c r="J246" s="8" t="s">
        <v>1111</v>
      </c>
      <c r="K246" s="8" t="s">
        <v>1099</v>
      </c>
      <c r="L246" s="10" t="s">
        <v>1293</v>
      </c>
      <c r="M246" s="10" t="s">
        <v>1294</v>
      </c>
      <c r="N246" s="10" t="s">
        <v>1295</v>
      </c>
      <c r="O246" s="8" t="s">
        <v>362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1736</v>
      </c>
      <c r="AA246" s="8" t="s">
        <v>331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1093</v>
      </c>
      <c r="E247" s="8" t="s">
        <v>123</v>
      </c>
      <c r="F247" s="8" t="s">
        <v>1737</v>
      </c>
      <c r="G247" s="8" t="s">
        <v>1196</v>
      </c>
      <c r="H247" s="8" t="s">
        <v>1279</v>
      </c>
      <c r="I247" s="8" t="s">
        <v>1292</v>
      </c>
      <c r="J247" s="8" t="s">
        <v>1111</v>
      </c>
      <c r="K247" s="8" t="s">
        <v>1099</v>
      </c>
      <c r="L247" s="10" t="s">
        <v>1293</v>
      </c>
      <c r="M247" s="10" t="s">
        <v>1294</v>
      </c>
      <c r="N247" s="10" t="s">
        <v>1295</v>
      </c>
      <c r="O247" s="8" t="s">
        <v>1106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1738</v>
      </c>
      <c r="AA247" s="8" t="s">
        <v>331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1093</v>
      </c>
      <c r="E248" s="8" t="s">
        <v>123</v>
      </c>
      <c r="F248" s="8" t="s">
        <v>1737</v>
      </c>
      <c r="G248" s="8" t="s">
        <v>1303</v>
      </c>
      <c r="H248" s="8" t="s">
        <v>1739</v>
      </c>
      <c r="I248" s="8" t="s">
        <v>1292</v>
      </c>
      <c r="J248" s="8" t="s">
        <v>1111</v>
      </c>
      <c r="K248" s="8" t="s">
        <v>1099</v>
      </c>
      <c r="L248" s="10" t="s">
        <v>1293</v>
      </c>
      <c r="M248" s="10" t="s">
        <v>1294</v>
      </c>
      <c r="N248" s="10" t="s">
        <v>1295</v>
      </c>
      <c r="O248" s="8" t="s">
        <v>321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331</v>
      </c>
      <c r="Z248" s="10" t="s">
        <v>1740</v>
      </c>
      <c r="AA248" s="8" t="s">
        <v>331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1093</v>
      </c>
      <c r="E249" s="8" t="s">
        <v>123</v>
      </c>
      <c r="F249" s="8" t="s">
        <v>1741</v>
      </c>
      <c r="G249" s="8" t="s">
        <v>1279</v>
      </c>
      <c r="H249" s="8" t="s">
        <v>1149</v>
      </c>
      <c r="I249" s="8" t="s">
        <v>1298</v>
      </c>
      <c r="J249" s="8" t="s">
        <v>1140</v>
      </c>
      <c r="K249" s="8" t="s">
        <v>1099</v>
      </c>
      <c r="L249" s="10" t="s">
        <v>1299</v>
      </c>
      <c r="M249" s="10" t="s">
        <v>1300</v>
      </c>
      <c r="N249" s="10" t="s">
        <v>1301</v>
      </c>
      <c r="O249" s="8" t="s">
        <v>321</v>
      </c>
      <c r="P249" s="8">
        <v>5690</v>
      </c>
      <c r="Q249" s="8">
        <v>12951</v>
      </c>
      <c r="R249" s="8">
        <v>17355</v>
      </c>
      <c r="S249" s="8" t="s">
        <v>331</v>
      </c>
      <c r="T249" s="8"/>
      <c r="U249" s="8"/>
      <c r="V249" s="8"/>
      <c r="W249" s="8"/>
      <c r="X249" s="8"/>
      <c r="Y249" s="8"/>
      <c r="Z249" s="10" t="s">
        <v>1613</v>
      </c>
      <c r="AA249" s="8" t="s">
        <v>331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1093</v>
      </c>
      <c r="E250" s="8" t="s">
        <v>123</v>
      </c>
      <c r="F250" s="8" t="s">
        <v>1741</v>
      </c>
      <c r="G250" s="8" t="s">
        <v>1149</v>
      </c>
      <c r="H250" s="8" t="s">
        <v>1297</v>
      </c>
      <c r="I250" s="8" t="s">
        <v>1600</v>
      </c>
      <c r="J250" s="8" t="s">
        <v>1140</v>
      </c>
      <c r="K250" s="8" t="s">
        <v>1099</v>
      </c>
      <c r="L250" s="10" t="s">
        <v>1299</v>
      </c>
      <c r="M250" s="10" t="s">
        <v>1601</v>
      </c>
      <c r="N250" s="10" t="s">
        <v>1602</v>
      </c>
      <c r="O250" s="8" t="s">
        <v>321</v>
      </c>
      <c r="P250" s="8">
        <v>260</v>
      </c>
      <c r="Q250" s="8">
        <v>521</v>
      </c>
      <c r="R250" s="8">
        <v>2677</v>
      </c>
      <c r="S250" s="8" t="s">
        <v>331</v>
      </c>
      <c r="T250" s="8"/>
      <c r="U250" s="8"/>
      <c r="V250" s="8"/>
      <c r="W250" s="8"/>
      <c r="X250" s="8"/>
      <c r="Y250" s="8"/>
      <c r="Z250" s="10" t="s">
        <v>1613</v>
      </c>
      <c r="AA250" s="8" t="s">
        <v>331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1093</v>
      </c>
      <c r="E251" s="8" t="s">
        <v>123</v>
      </c>
      <c r="F251" s="8" t="s">
        <v>1742</v>
      </c>
      <c r="G251" s="8" t="s">
        <v>1120</v>
      </c>
      <c r="H251" s="8" t="s">
        <v>1343</v>
      </c>
      <c r="I251" s="8" t="s">
        <v>1606</v>
      </c>
      <c r="J251" s="8" t="s">
        <v>1140</v>
      </c>
      <c r="K251" s="8" t="s">
        <v>1099</v>
      </c>
      <c r="L251" s="10" t="s">
        <v>1260</v>
      </c>
      <c r="M251" s="10" t="s">
        <v>1261</v>
      </c>
      <c r="N251" s="10" t="s">
        <v>1413</v>
      </c>
      <c r="O251" s="8" t="s">
        <v>321</v>
      </c>
      <c r="P251" s="8"/>
      <c r="Q251" s="8">
        <v>200</v>
      </c>
      <c r="R251" s="8">
        <v>3000</v>
      </c>
      <c r="S251" s="8" t="s">
        <v>331</v>
      </c>
      <c r="T251" s="8"/>
      <c r="U251" s="8"/>
      <c r="V251" s="8"/>
      <c r="W251" s="8"/>
      <c r="X251" s="8"/>
      <c r="Y251" s="8"/>
      <c r="Z251" s="10" t="s">
        <v>1613</v>
      </c>
      <c r="AA251" s="8" t="s">
        <v>331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1093</v>
      </c>
      <c r="E252" s="8" t="s">
        <v>123</v>
      </c>
      <c r="F252" s="8" t="s">
        <v>1693</v>
      </c>
      <c r="G252" s="8" t="s">
        <v>1279</v>
      </c>
      <c r="H252" s="8" t="s">
        <v>1149</v>
      </c>
      <c r="I252" s="8" t="s">
        <v>1606</v>
      </c>
      <c r="J252" s="8" t="s">
        <v>1140</v>
      </c>
      <c r="K252" s="8" t="s">
        <v>1099</v>
      </c>
      <c r="L252" s="10" t="s">
        <v>1260</v>
      </c>
      <c r="M252" s="10" t="s">
        <v>1261</v>
      </c>
      <c r="N252" s="10" t="s">
        <v>1413</v>
      </c>
      <c r="O252" s="8" t="s">
        <v>321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331</v>
      </c>
      <c r="X252" s="8"/>
      <c r="Y252" s="8"/>
      <c r="Z252" s="10" t="s">
        <v>1733</v>
      </c>
      <c r="AA252" s="8" t="s">
        <v>331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1093</v>
      </c>
      <c r="E253" s="8" t="s">
        <v>123</v>
      </c>
      <c r="F253" s="8" t="s">
        <v>1743</v>
      </c>
      <c r="G253" s="8" t="s">
        <v>1297</v>
      </c>
      <c r="H253" s="8" t="s">
        <v>1317</v>
      </c>
      <c r="I253" s="8" t="s">
        <v>1313</v>
      </c>
      <c r="J253" s="8" t="s">
        <v>1169</v>
      </c>
      <c r="K253" s="8" t="s">
        <v>1099</v>
      </c>
      <c r="L253" s="10" t="s">
        <v>1314</v>
      </c>
      <c r="M253" s="10" t="s">
        <v>1315</v>
      </c>
      <c r="N253" s="10" t="s">
        <v>1316</v>
      </c>
      <c r="O253" s="8" t="s">
        <v>321</v>
      </c>
      <c r="P253" s="8"/>
      <c r="Q253" s="8"/>
      <c r="R253" s="8">
        <v>375284</v>
      </c>
      <c r="S253" s="8" t="s">
        <v>331</v>
      </c>
      <c r="T253" s="8"/>
      <c r="U253" s="8"/>
      <c r="V253" s="8"/>
      <c r="W253" s="8"/>
      <c r="X253" s="8"/>
      <c r="Y253" s="8"/>
      <c r="Z253" s="10" t="s">
        <v>1613</v>
      </c>
      <c r="AA253" s="8" t="s">
        <v>331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1093</v>
      </c>
      <c r="E254" s="8" t="s">
        <v>123</v>
      </c>
      <c r="F254" s="8" t="s">
        <v>1689</v>
      </c>
      <c r="G254" s="8" t="s">
        <v>1196</v>
      </c>
      <c r="H254" s="8" t="s">
        <v>1297</v>
      </c>
      <c r="I254" s="8" t="s">
        <v>1313</v>
      </c>
      <c r="J254" s="8" t="s">
        <v>1169</v>
      </c>
      <c r="K254" s="8" t="s">
        <v>1099</v>
      </c>
      <c r="L254" s="10" t="s">
        <v>1314</v>
      </c>
      <c r="M254" s="10" t="s">
        <v>1315</v>
      </c>
      <c r="N254" s="10" t="s">
        <v>1316</v>
      </c>
      <c r="O254" s="8" t="s">
        <v>321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331</v>
      </c>
      <c r="Z254" s="10" t="s">
        <v>1744</v>
      </c>
      <c r="AA254" s="8" t="s">
        <v>331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1093</v>
      </c>
      <c r="E255" s="8" t="s">
        <v>123</v>
      </c>
      <c r="F255" s="8" t="s">
        <v>1695</v>
      </c>
      <c r="G255" s="8" t="s">
        <v>1297</v>
      </c>
      <c r="H255" s="8" t="s">
        <v>1745</v>
      </c>
      <c r="I255" s="8" t="s">
        <v>1313</v>
      </c>
      <c r="J255" s="8" t="s">
        <v>1169</v>
      </c>
      <c r="K255" s="8" t="s">
        <v>1099</v>
      </c>
      <c r="L255" s="10" t="s">
        <v>1314</v>
      </c>
      <c r="M255" s="10" t="s">
        <v>1315</v>
      </c>
      <c r="N255" s="10" t="s">
        <v>1316</v>
      </c>
      <c r="O255" s="8" t="s">
        <v>321</v>
      </c>
      <c r="P255" s="8"/>
      <c r="Q255" s="8"/>
      <c r="R255" s="8">
        <v>375284</v>
      </c>
      <c r="S255" s="8"/>
      <c r="T255" s="8"/>
      <c r="U255" s="8" t="s">
        <v>331</v>
      </c>
      <c r="V255" s="8"/>
      <c r="W255" s="8"/>
      <c r="X255" s="8"/>
      <c r="Y255" s="8"/>
      <c r="Z255" s="10" t="s">
        <v>1278</v>
      </c>
      <c r="AA255" s="8" t="s">
        <v>331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1093</v>
      </c>
      <c r="E256" s="8" t="s">
        <v>123</v>
      </c>
      <c r="F256" s="8" t="s">
        <v>1743</v>
      </c>
      <c r="G256" s="8" t="s">
        <v>1317</v>
      </c>
      <c r="H256" s="8" t="s">
        <v>1273</v>
      </c>
      <c r="I256" s="8" t="s">
        <v>1320</v>
      </c>
      <c r="J256" s="8" t="s">
        <v>1169</v>
      </c>
      <c r="K256" s="8" t="s">
        <v>1099</v>
      </c>
      <c r="L256" s="10" t="s">
        <v>1314</v>
      </c>
      <c r="M256" s="10" t="s">
        <v>1321</v>
      </c>
      <c r="N256" s="10" t="s">
        <v>1322</v>
      </c>
      <c r="O256" s="8" t="s">
        <v>321</v>
      </c>
      <c r="P256" s="8"/>
      <c r="Q256" s="8"/>
      <c r="R256" s="8">
        <v>162458</v>
      </c>
      <c r="S256" s="8" t="s">
        <v>331</v>
      </c>
      <c r="T256" s="8"/>
      <c r="U256" s="8"/>
      <c r="V256" s="8"/>
      <c r="W256" s="8"/>
      <c r="X256" s="8"/>
      <c r="Y256" s="8"/>
      <c r="Z256" s="10" t="s">
        <v>1613</v>
      </c>
      <c r="AA256" s="8" t="s">
        <v>331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1093</v>
      </c>
      <c r="E257" s="8" t="s">
        <v>123</v>
      </c>
      <c r="F257" s="8" t="s">
        <v>1741</v>
      </c>
      <c r="G257" s="8" t="s">
        <v>1746</v>
      </c>
      <c r="H257" s="8" t="s">
        <v>1512</v>
      </c>
      <c r="I257" s="8" t="s">
        <v>1324</v>
      </c>
      <c r="J257" s="8" t="s">
        <v>1169</v>
      </c>
      <c r="K257" s="8" t="s">
        <v>1099</v>
      </c>
      <c r="L257" s="10" t="s">
        <v>1325</v>
      </c>
      <c r="M257" s="10" t="s">
        <v>1326</v>
      </c>
      <c r="N257" s="10"/>
      <c r="O257" s="8" t="s">
        <v>321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331</v>
      </c>
      <c r="Z257" s="10" t="s">
        <v>1747</v>
      </c>
      <c r="AA257" s="8" t="s">
        <v>331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1093</v>
      </c>
      <c r="E258" s="8" t="s">
        <v>123</v>
      </c>
      <c r="F258" s="8" t="s">
        <v>1734</v>
      </c>
      <c r="G258" s="8" t="s">
        <v>1302</v>
      </c>
      <c r="H258" s="8" t="s">
        <v>1666</v>
      </c>
      <c r="I258" s="8" t="s">
        <v>1324</v>
      </c>
      <c r="J258" s="8" t="s">
        <v>1169</v>
      </c>
      <c r="K258" s="8" t="s">
        <v>1099</v>
      </c>
      <c r="L258" s="10" t="s">
        <v>1325</v>
      </c>
      <c r="M258" s="10" t="s">
        <v>1326</v>
      </c>
      <c r="N258" s="10"/>
      <c r="O258" s="8" t="s">
        <v>321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331</v>
      </c>
      <c r="Z258" s="10" t="s">
        <v>1748</v>
      </c>
      <c r="AA258" s="8" t="s">
        <v>331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1093</v>
      </c>
      <c r="E259" s="8" t="s">
        <v>123</v>
      </c>
      <c r="F259" s="8" t="s">
        <v>1731</v>
      </c>
      <c r="G259" s="8" t="s">
        <v>1196</v>
      </c>
      <c r="H259" s="8" t="s">
        <v>1279</v>
      </c>
      <c r="I259" s="8" t="s">
        <v>1324</v>
      </c>
      <c r="J259" s="8" t="s">
        <v>1169</v>
      </c>
      <c r="K259" s="8" t="s">
        <v>1099</v>
      </c>
      <c r="L259" s="10" t="s">
        <v>1325</v>
      </c>
      <c r="M259" s="10" t="s">
        <v>1326</v>
      </c>
      <c r="N259" s="10"/>
      <c r="O259" s="8" t="s">
        <v>321</v>
      </c>
      <c r="P259" s="8"/>
      <c r="Q259" s="8"/>
      <c r="R259" s="8">
        <v>304826</v>
      </c>
      <c r="S259" s="8" t="s">
        <v>331</v>
      </c>
      <c r="T259" s="8"/>
      <c r="U259" s="8"/>
      <c r="V259" s="8"/>
      <c r="W259" s="8"/>
      <c r="X259" s="8"/>
      <c r="Y259" s="8"/>
      <c r="Z259" s="10" t="s">
        <v>1613</v>
      </c>
      <c r="AA259" s="8" t="s">
        <v>331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1093</v>
      </c>
      <c r="E260" s="8" t="s">
        <v>123</v>
      </c>
      <c r="F260" s="8" t="s">
        <v>1749</v>
      </c>
      <c r="G260" s="8" t="s">
        <v>1317</v>
      </c>
      <c r="H260" s="8" t="s">
        <v>1273</v>
      </c>
      <c r="I260" s="8" t="s">
        <v>1324</v>
      </c>
      <c r="J260" s="8" t="s">
        <v>1169</v>
      </c>
      <c r="K260" s="8" t="s">
        <v>1099</v>
      </c>
      <c r="L260" s="10" t="s">
        <v>1325</v>
      </c>
      <c r="M260" s="10" t="s">
        <v>1326</v>
      </c>
      <c r="N260" s="10"/>
      <c r="O260" s="8" t="s">
        <v>321</v>
      </c>
      <c r="P260" s="8"/>
      <c r="Q260" s="8"/>
      <c r="R260" s="8">
        <v>304826</v>
      </c>
      <c r="S260" s="8"/>
      <c r="T260" s="8"/>
      <c r="U260" s="8" t="s">
        <v>331</v>
      </c>
      <c r="V260" s="8"/>
      <c r="W260" s="8"/>
      <c r="X260" s="8"/>
      <c r="Y260" s="8"/>
      <c r="Z260" s="10" t="s">
        <v>1278</v>
      </c>
      <c r="AA260" s="8" t="s">
        <v>331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1093</v>
      </c>
      <c r="E261" s="8" t="s">
        <v>123</v>
      </c>
      <c r="F261" s="8" t="s">
        <v>1721</v>
      </c>
      <c r="G261" s="8" t="s">
        <v>1196</v>
      </c>
      <c r="H261" s="8" t="s">
        <v>1317</v>
      </c>
      <c r="I261" s="8" t="s">
        <v>1616</v>
      </c>
      <c r="J261" s="8" t="s">
        <v>1169</v>
      </c>
      <c r="K261" s="8" t="s">
        <v>1099</v>
      </c>
      <c r="L261" s="10" t="s">
        <v>1466</v>
      </c>
      <c r="M261" s="10" t="s">
        <v>1617</v>
      </c>
      <c r="N261" s="10" t="s">
        <v>1618</v>
      </c>
      <c r="O261" s="8" t="s">
        <v>321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331</v>
      </c>
      <c r="Z261" s="10" t="s">
        <v>1750</v>
      </c>
      <c r="AA261" s="8" t="s">
        <v>331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1093</v>
      </c>
      <c r="E262" s="8" t="s">
        <v>123</v>
      </c>
      <c r="F262" s="8" t="s">
        <v>1731</v>
      </c>
      <c r="G262" s="8" t="s">
        <v>1297</v>
      </c>
      <c r="H262" s="8" t="s">
        <v>1317</v>
      </c>
      <c r="I262" s="8" t="s">
        <v>1329</v>
      </c>
      <c r="J262" s="8" t="s">
        <v>1169</v>
      </c>
      <c r="K262" s="8" t="s">
        <v>1099</v>
      </c>
      <c r="L262" s="10" t="s">
        <v>1330</v>
      </c>
      <c r="M262" s="10" t="s">
        <v>1331</v>
      </c>
      <c r="N262" s="10"/>
      <c r="O262" s="8" t="s">
        <v>321</v>
      </c>
      <c r="P262" s="8"/>
      <c r="Q262" s="8"/>
      <c r="R262" s="8">
        <v>79800</v>
      </c>
      <c r="S262" s="8" t="s">
        <v>331</v>
      </c>
      <c r="T262" s="8"/>
      <c r="U262" s="8"/>
      <c r="V262" s="8"/>
      <c r="W262" s="8"/>
      <c r="X262" s="8"/>
      <c r="Y262" s="8"/>
      <c r="Z262" s="10" t="s">
        <v>1613</v>
      </c>
      <c r="AA262" s="8" t="s">
        <v>331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1093</v>
      </c>
      <c r="E263" s="8" t="s">
        <v>123</v>
      </c>
      <c r="F263" s="8" t="s">
        <v>1743</v>
      </c>
      <c r="G263" s="8" t="s">
        <v>1266</v>
      </c>
      <c r="H263" s="8" t="s">
        <v>1196</v>
      </c>
      <c r="I263" s="8" t="s">
        <v>1338</v>
      </c>
      <c r="J263" s="8" t="s">
        <v>1169</v>
      </c>
      <c r="K263" s="8" t="s">
        <v>1099</v>
      </c>
      <c r="L263" s="10" t="s">
        <v>1186</v>
      </c>
      <c r="M263" s="10" t="s">
        <v>1339</v>
      </c>
      <c r="N263" s="10" t="s">
        <v>1340</v>
      </c>
      <c r="O263" s="8" t="s">
        <v>1106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1738</v>
      </c>
      <c r="AA263" s="8" t="s">
        <v>331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1093</v>
      </c>
      <c r="E264" s="8" t="s">
        <v>123</v>
      </c>
      <c r="F264" s="8" t="s">
        <v>1743</v>
      </c>
      <c r="G264" s="8" t="s">
        <v>1196</v>
      </c>
      <c r="H264" s="8" t="s">
        <v>1279</v>
      </c>
      <c r="I264" s="8" t="s">
        <v>1344</v>
      </c>
      <c r="J264" s="8" t="s">
        <v>1169</v>
      </c>
      <c r="K264" s="8" t="s">
        <v>1099</v>
      </c>
      <c r="L264" s="10" t="s">
        <v>1186</v>
      </c>
      <c r="M264" s="10" t="s">
        <v>1345</v>
      </c>
      <c r="N264" s="10" t="s">
        <v>1346</v>
      </c>
      <c r="O264" s="8" t="s">
        <v>321</v>
      </c>
      <c r="P264" s="8"/>
      <c r="Q264" s="8"/>
      <c r="R264" s="8">
        <v>66034</v>
      </c>
      <c r="S264" s="8" t="s">
        <v>331</v>
      </c>
      <c r="T264" s="8"/>
      <c r="U264" s="8"/>
      <c r="V264" s="8"/>
      <c r="W264" s="8"/>
      <c r="X264" s="8"/>
      <c r="Y264" s="8"/>
      <c r="Z264" s="10" t="s">
        <v>1613</v>
      </c>
      <c r="AA264" s="8" t="s">
        <v>331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1093</v>
      </c>
      <c r="E265" s="8" t="s">
        <v>123</v>
      </c>
      <c r="F265" s="8" t="s">
        <v>1741</v>
      </c>
      <c r="G265" s="8" t="s">
        <v>1284</v>
      </c>
      <c r="H265" s="8" t="s">
        <v>1120</v>
      </c>
      <c r="I265" s="8" t="s">
        <v>1344</v>
      </c>
      <c r="J265" s="8" t="s">
        <v>1169</v>
      </c>
      <c r="K265" s="8" t="s">
        <v>1099</v>
      </c>
      <c r="L265" s="10" t="s">
        <v>1186</v>
      </c>
      <c r="M265" s="10" t="s">
        <v>1345</v>
      </c>
      <c r="N265" s="10" t="s">
        <v>1346</v>
      </c>
      <c r="O265" s="8" t="s">
        <v>362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1751</v>
      </c>
      <c r="AA265" s="8" t="s">
        <v>331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1093</v>
      </c>
      <c r="E266" s="8" t="s">
        <v>123</v>
      </c>
      <c r="F266" s="8" t="s">
        <v>1741</v>
      </c>
      <c r="G266" s="8" t="s">
        <v>1266</v>
      </c>
      <c r="H266" s="8" t="s">
        <v>1196</v>
      </c>
      <c r="I266" s="8" t="s">
        <v>1349</v>
      </c>
      <c r="J266" s="8" t="s">
        <v>1193</v>
      </c>
      <c r="K266" s="8" t="s">
        <v>1099</v>
      </c>
      <c r="L266" s="10" t="s">
        <v>1350</v>
      </c>
      <c r="M266" s="10" t="s">
        <v>1351</v>
      </c>
      <c r="N266" s="10" t="s">
        <v>1352</v>
      </c>
      <c r="O266" s="8" t="s">
        <v>321</v>
      </c>
      <c r="P266" s="8"/>
      <c r="Q266" s="8"/>
      <c r="R266" s="8">
        <v>118585</v>
      </c>
      <c r="S266" s="8" t="s">
        <v>331</v>
      </c>
      <c r="T266" s="8"/>
      <c r="U266" s="8"/>
      <c r="V266" s="8"/>
      <c r="W266" s="8"/>
      <c r="X266" s="8"/>
      <c r="Y266" s="8"/>
      <c r="Z266" s="10" t="s">
        <v>1613</v>
      </c>
      <c r="AA266" s="8" t="s">
        <v>331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1093</v>
      </c>
      <c r="E267" s="8" t="s">
        <v>123</v>
      </c>
      <c r="F267" s="8" t="s">
        <v>1693</v>
      </c>
      <c r="G267" s="8" t="s">
        <v>1284</v>
      </c>
      <c r="H267" s="8" t="s">
        <v>1245</v>
      </c>
      <c r="I267" s="8" t="s">
        <v>1349</v>
      </c>
      <c r="J267" s="8" t="s">
        <v>1193</v>
      </c>
      <c r="K267" s="8" t="s">
        <v>1099</v>
      </c>
      <c r="L267" s="10" t="s">
        <v>1350</v>
      </c>
      <c r="M267" s="10" t="s">
        <v>1351</v>
      </c>
      <c r="N267" s="10" t="s">
        <v>1352</v>
      </c>
      <c r="O267" s="8" t="s">
        <v>362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1407</v>
      </c>
      <c r="AA267" s="8" t="s">
        <v>331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1093</v>
      </c>
      <c r="E268" s="8" t="s">
        <v>123</v>
      </c>
      <c r="F268" s="8" t="s">
        <v>1741</v>
      </c>
      <c r="G268" s="8" t="s">
        <v>1196</v>
      </c>
      <c r="H268" s="8" t="s">
        <v>1279</v>
      </c>
      <c r="I268" s="8" t="s">
        <v>1356</v>
      </c>
      <c r="J268" s="8" t="s">
        <v>1193</v>
      </c>
      <c r="K268" s="8" t="s">
        <v>1099</v>
      </c>
      <c r="L268" s="10" t="s">
        <v>1350</v>
      </c>
      <c r="M268" s="10" t="s">
        <v>1357</v>
      </c>
      <c r="N268" s="10" t="s">
        <v>1358</v>
      </c>
      <c r="O268" s="8" t="s">
        <v>1106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1613</v>
      </c>
      <c r="AA268" s="8" t="s">
        <v>331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1093</v>
      </c>
      <c r="E269" s="8" t="s">
        <v>123</v>
      </c>
      <c r="F269" s="8" t="s">
        <v>1693</v>
      </c>
      <c r="G269" s="8" t="s">
        <v>1245</v>
      </c>
      <c r="H269" s="8" t="s">
        <v>1095</v>
      </c>
      <c r="I269" s="8" t="s">
        <v>1356</v>
      </c>
      <c r="J269" s="8" t="s">
        <v>1193</v>
      </c>
      <c r="K269" s="8" t="s">
        <v>1099</v>
      </c>
      <c r="L269" s="10" t="s">
        <v>1350</v>
      </c>
      <c r="M269" s="10" t="s">
        <v>1357</v>
      </c>
      <c r="N269" s="10" t="s">
        <v>1358</v>
      </c>
      <c r="O269" s="8" t="s">
        <v>362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1752</v>
      </c>
      <c r="AA269" s="8" t="s">
        <v>331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1093</v>
      </c>
      <c r="E270" s="8" t="s">
        <v>123</v>
      </c>
      <c r="F270" s="8" t="s">
        <v>1753</v>
      </c>
      <c r="G270" s="8" t="s">
        <v>1317</v>
      </c>
      <c r="H270" s="8" t="s">
        <v>1258</v>
      </c>
      <c r="I270" s="8" t="s">
        <v>1356</v>
      </c>
      <c r="J270" s="8" t="s">
        <v>1193</v>
      </c>
      <c r="K270" s="8" t="s">
        <v>1099</v>
      </c>
      <c r="L270" s="10" t="s">
        <v>1350</v>
      </c>
      <c r="M270" s="10" t="s">
        <v>1357</v>
      </c>
      <c r="N270" s="10" t="s">
        <v>1358</v>
      </c>
      <c r="O270" s="8" t="s">
        <v>321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331</v>
      </c>
      <c r="Z270" s="10" t="s">
        <v>1754</v>
      </c>
      <c r="AA270" s="8" t="s">
        <v>331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1093</v>
      </c>
      <c r="E271" s="8" t="s">
        <v>123</v>
      </c>
      <c r="F271" s="8" t="s">
        <v>1742</v>
      </c>
      <c r="G271" s="8" t="s">
        <v>1343</v>
      </c>
      <c r="H271" s="8" t="s">
        <v>1302</v>
      </c>
      <c r="I271" s="8" t="s">
        <v>1363</v>
      </c>
      <c r="J271" s="8" t="s">
        <v>1193</v>
      </c>
      <c r="K271" s="8" t="s">
        <v>1099</v>
      </c>
      <c r="L271" s="10" t="s">
        <v>1364</v>
      </c>
      <c r="M271" s="10" t="s">
        <v>1365</v>
      </c>
      <c r="N271" s="10"/>
      <c r="O271" s="8" t="s">
        <v>321</v>
      </c>
      <c r="P271" s="8"/>
      <c r="Q271" s="8"/>
      <c r="R271" s="8">
        <v>36000</v>
      </c>
      <c r="S271" s="8" t="s">
        <v>331</v>
      </c>
      <c r="T271" s="8"/>
      <c r="U271" s="8"/>
      <c r="V271" s="8"/>
      <c r="W271" s="8"/>
      <c r="X271" s="8"/>
      <c r="Y271" s="8"/>
      <c r="Z271" s="10" t="s">
        <v>1613</v>
      </c>
      <c r="AA271" s="8" t="s">
        <v>331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1093</v>
      </c>
      <c r="E272" s="8" t="s">
        <v>123</v>
      </c>
      <c r="F272" s="8" t="s">
        <v>1693</v>
      </c>
      <c r="G272" s="8" t="s">
        <v>1196</v>
      </c>
      <c r="H272" s="8" t="s">
        <v>1279</v>
      </c>
      <c r="I272" s="8" t="s">
        <v>1363</v>
      </c>
      <c r="J272" s="8" t="s">
        <v>1193</v>
      </c>
      <c r="K272" s="8" t="s">
        <v>1099</v>
      </c>
      <c r="L272" s="10" t="s">
        <v>1364</v>
      </c>
      <c r="M272" s="10" t="s">
        <v>1365</v>
      </c>
      <c r="N272" s="10"/>
      <c r="O272" s="8" t="s">
        <v>321</v>
      </c>
      <c r="P272" s="8"/>
      <c r="Q272" s="8"/>
      <c r="R272" s="8">
        <v>36000</v>
      </c>
      <c r="S272" s="8"/>
      <c r="T272" s="8"/>
      <c r="U272" s="8"/>
      <c r="V272" s="8"/>
      <c r="W272" s="8" t="s">
        <v>331</v>
      </c>
      <c r="X272" s="8"/>
      <c r="Y272" s="8"/>
      <c r="Z272" s="10" t="s">
        <v>1733</v>
      </c>
      <c r="AA272" s="8" t="s">
        <v>331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1093</v>
      </c>
      <c r="E273" s="8" t="s">
        <v>123</v>
      </c>
      <c r="F273" s="8" t="s">
        <v>1755</v>
      </c>
      <c r="G273" s="8" t="s">
        <v>1266</v>
      </c>
      <c r="H273" s="8" t="s">
        <v>1196</v>
      </c>
      <c r="I273" s="8" t="s">
        <v>1377</v>
      </c>
      <c r="J273" s="8" t="s">
        <v>1193</v>
      </c>
      <c r="K273" s="8" t="s">
        <v>1099</v>
      </c>
      <c r="L273" s="10" t="s">
        <v>1378</v>
      </c>
      <c r="M273" s="10" t="s">
        <v>1379</v>
      </c>
      <c r="N273" s="10" t="s">
        <v>1380</v>
      </c>
      <c r="O273" s="8" t="s">
        <v>321</v>
      </c>
      <c r="P273" s="8"/>
      <c r="Q273" s="8"/>
      <c r="R273" s="8">
        <v>114085</v>
      </c>
      <c r="S273" s="8"/>
      <c r="T273" s="8"/>
      <c r="U273" s="8" t="s">
        <v>331</v>
      </c>
      <c r="V273" s="8"/>
      <c r="W273" s="8"/>
      <c r="X273" s="8"/>
      <c r="Y273" s="8"/>
      <c r="Z273" s="10" t="s">
        <v>1278</v>
      </c>
      <c r="AA273" s="8" t="s">
        <v>331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1093</v>
      </c>
      <c r="E274" s="8" t="s">
        <v>123</v>
      </c>
      <c r="F274" s="8" t="s">
        <v>1755</v>
      </c>
      <c r="G274" s="8" t="s">
        <v>1196</v>
      </c>
      <c r="H274" s="8" t="s">
        <v>1279</v>
      </c>
      <c r="I274" s="8" t="s">
        <v>1630</v>
      </c>
      <c r="J274" s="8" t="s">
        <v>1193</v>
      </c>
      <c r="K274" s="8" t="s">
        <v>1099</v>
      </c>
      <c r="L274" s="10" t="s">
        <v>1378</v>
      </c>
      <c r="M274" s="10" t="s">
        <v>1631</v>
      </c>
      <c r="N274" s="10" t="s">
        <v>1632</v>
      </c>
      <c r="O274" s="8" t="s">
        <v>321</v>
      </c>
      <c r="P274" s="8"/>
      <c r="Q274" s="8"/>
      <c r="R274" s="8">
        <v>102241</v>
      </c>
      <c r="S274" s="8"/>
      <c r="T274" s="8"/>
      <c r="U274" s="8" t="s">
        <v>331</v>
      </c>
      <c r="V274" s="8"/>
      <c r="W274" s="8"/>
      <c r="X274" s="8"/>
      <c r="Y274" s="8"/>
      <c r="Z274" s="10" t="s">
        <v>1278</v>
      </c>
      <c r="AA274" s="8" t="s">
        <v>331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1093</v>
      </c>
      <c r="E275" s="8" t="s">
        <v>123</v>
      </c>
      <c r="F275" s="8" t="s">
        <v>1731</v>
      </c>
      <c r="G275" s="8" t="s">
        <v>1279</v>
      </c>
      <c r="H275" s="8" t="s">
        <v>1149</v>
      </c>
      <c r="I275" s="8" t="s">
        <v>1386</v>
      </c>
      <c r="J275" s="8" t="s">
        <v>1387</v>
      </c>
      <c r="K275" s="8" t="s">
        <v>1099</v>
      </c>
      <c r="L275" s="10" t="s">
        <v>1388</v>
      </c>
      <c r="M275" s="10" t="s">
        <v>1326</v>
      </c>
      <c r="N275" s="10" t="s">
        <v>1358</v>
      </c>
      <c r="O275" s="8" t="s">
        <v>321</v>
      </c>
      <c r="P275" s="8"/>
      <c r="Q275" s="8"/>
      <c r="R275" s="8">
        <v>69999</v>
      </c>
      <c r="S275" s="8" t="s">
        <v>331</v>
      </c>
      <c r="T275" s="8"/>
      <c r="U275" s="8"/>
      <c r="V275" s="8"/>
      <c r="W275" s="8"/>
      <c r="X275" s="8"/>
      <c r="Y275" s="8"/>
      <c r="Z275" s="10" t="s">
        <v>1613</v>
      </c>
      <c r="AA275" s="8" t="s">
        <v>331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1093</v>
      </c>
      <c r="E276" s="8" t="s">
        <v>123</v>
      </c>
      <c r="F276" s="8" t="s">
        <v>1756</v>
      </c>
      <c r="G276" s="8" t="s">
        <v>1149</v>
      </c>
      <c r="H276" s="8" t="s">
        <v>1284</v>
      </c>
      <c r="I276" s="8" t="s">
        <v>1757</v>
      </c>
      <c r="J276" s="8" t="s">
        <v>1204</v>
      </c>
      <c r="K276" s="8" t="s">
        <v>1099</v>
      </c>
      <c r="L276" s="10" t="s">
        <v>1758</v>
      </c>
      <c r="M276" s="10" t="s">
        <v>1759</v>
      </c>
      <c r="N276" s="10" t="s">
        <v>1760</v>
      </c>
      <c r="O276" s="8" t="s">
        <v>321</v>
      </c>
      <c r="P276" s="8"/>
      <c r="Q276" s="8">
        <v>715</v>
      </c>
      <c r="R276" s="8">
        <v>2924</v>
      </c>
      <c r="S276" s="8"/>
      <c r="T276" s="8" t="s">
        <v>331</v>
      </c>
      <c r="U276" s="8"/>
      <c r="V276" s="8"/>
      <c r="W276" s="8"/>
      <c r="X276" s="8"/>
      <c r="Y276" s="8"/>
      <c r="Z276" s="10" t="s">
        <v>1371</v>
      </c>
      <c r="AA276" s="8" t="s">
        <v>331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1093</v>
      </c>
      <c r="E277" s="8" t="s">
        <v>123</v>
      </c>
      <c r="F277" s="8" t="s">
        <v>1761</v>
      </c>
      <c r="G277" s="8" t="s">
        <v>1279</v>
      </c>
      <c r="H277" s="8" t="s">
        <v>1762</v>
      </c>
      <c r="I277" s="8" t="s">
        <v>1757</v>
      </c>
      <c r="J277" s="8" t="s">
        <v>1204</v>
      </c>
      <c r="K277" s="8" t="s">
        <v>1099</v>
      </c>
      <c r="L277" s="10" t="s">
        <v>1758</v>
      </c>
      <c r="M277" s="10" t="s">
        <v>1759</v>
      </c>
      <c r="N277" s="10" t="s">
        <v>1760</v>
      </c>
      <c r="O277" s="8" t="s">
        <v>321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331</v>
      </c>
      <c r="Z277" s="10" t="s">
        <v>1667</v>
      </c>
      <c r="AA277" s="8" t="s">
        <v>331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1093</v>
      </c>
      <c r="E278" s="8" t="s">
        <v>123</v>
      </c>
      <c r="F278" s="8" t="s">
        <v>1761</v>
      </c>
      <c r="G278" s="8" t="s">
        <v>1166</v>
      </c>
      <c r="H278" s="8" t="s">
        <v>1763</v>
      </c>
      <c r="I278" s="8" t="s">
        <v>1757</v>
      </c>
      <c r="J278" s="8" t="s">
        <v>1204</v>
      </c>
      <c r="K278" s="8" t="s">
        <v>1099</v>
      </c>
      <c r="L278" s="10" t="s">
        <v>1758</v>
      </c>
      <c r="M278" s="10" t="s">
        <v>1759</v>
      </c>
      <c r="N278" s="10" t="s">
        <v>1760</v>
      </c>
      <c r="O278" s="8" t="s">
        <v>321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331</v>
      </c>
      <c r="Z278" s="10" t="s">
        <v>1764</v>
      </c>
      <c r="AA278" s="8" t="s">
        <v>331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1093</v>
      </c>
      <c r="E279" s="8" t="s">
        <v>123</v>
      </c>
      <c r="F279" s="8" t="s">
        <v>1708</v>
      </c>
      <c r="G279" s="8" t="s">
        <v>1694</v>
      </c>
      <c r="H279" s="8" t="s">
        <v>1765</v>
      </c>
      <c r="I279" s="8" t="s">
        <v>1766</v>
      </c>
      <c r="J279" s="8" t="s">
        <v>1204</v>
      </c>
      <c r="K279" s="8" t="s">
        <v>1099</v>
      </c>
      <c r="L279" s="10" t="s">
        <v>1170</v>
      </c>
      <c r="M279" s="10" t="s">
        <v>1767</v>
      </c>
      <c r="N279" s="10" t="s">
        <v>1768</v>
      </c>
      <c r="O279" s="8" t="s">
        <v>362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1769</v>
      </c>
      <c r="AA279" s="8" t="s">
        <v>331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1093</v>
      </c>
      <c r="E280" s="8" t="s">
        <v>123</v>
      </c>
      <c r="F280" s="8" t="s">
        <v>1770</v>
      </c>
      <c r="G280" s="8" t="s">
        <v>1196</v>
      </c>
      <c r="H280" s="8" t="s">
        <v>1109</v>
      </c>
      <c r="I280" s="8" t="s">
        <v>1771</v>
      </c>
      <c r="J280" s="8" t="s">
        <v>1204</v>
      </c>
      <c r="K280" s="8" t="s">
        <v>1099</v>
      </c>
      <c r="L280" s="10" t="s">
        <v>1170</v>
      </c>
      <c r="M280" s="10" t="s">
        <v>1772</v>
      </c>
      <c r="N280" s="10" t="s">
        <v>1773</v>
      </c>
      <c r="O280" s="8" t="s">
        <v>362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1774</v>
      </c>
      <c r="AA280" s="8" t="s">
        <v>331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1093</v>
      </c>
      <c r="E281" s="8" t="s">
        <v>123</v>
      </c>
      <c r="F281" s="8" t="s">
        <v>1775</v>
      </c>
      <c r="G281" s="8" t="s">
        <v>1166</v>
      </c>
      <c r="H281" s="8" t="s">
        <v>1776</v>
      </c>
      <c r="I281" s="8" t="s">
        <v>1411</v>
      </c>
      <c r="J281" s="8" t="s">
        <v>1214</v>
      </c>
      <c r="K281" s="8" t="s">
        <v>1099</v>
      </c>
      <c r="L281" s="10" t="s">
        <v>1186</v>
      </c>
      <c r="M281" s="10" t="s">
        <v>1412</v>
      </c>
      <c r="N281" s="10" t="s">
        <v>1413</v>
      </c>
      <c r="O281" s="8" t="s">
        <v>362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1777</v>
      </c>
      <c r="AA281" s="8" t="s">
        <v>331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1093</v>
      </c>
      <c r="E282" s="8" t="s">
        <v>123</v>
      </c>
      <c r="F282" s="8" t="s">
        <v>1743</v>
      </c>
      <c r="G282" s="8" t="s">
        <v>1279</v>
      </c>
      <c r="H282" s="8" t="s">
        <v>1149</v>
      </c>
      <c r="I282" s="8" t="s">
        <v>1411</v>
      </c>
      <c r="J282" s="8" t="s">
        <v>1214</v>
      </c>
      <c r="K282" s="8" t="s">
        <v>1099</v>
      </c>
      <c r="L282" s="10" t="s">
        <v>1186</v>
      </c>
      <c r="M282" s="10" t="s">
        <v>1412</v>
      </c>
      <c r="N282" s="10" t="s">
        <v>1413</v>
      </c>
      <c r="O282" s="8" t="s">
        <v>321</v>
      </c>
      <c r="P282" s="8"/>
      <c r="Q282" s="8"/>
      <c r="R282" s="8">
        <v>27533</v>
      </c>
      <c r="S282" s="8" t="s">
        <v>331</v>
      </c>
      <c r="T282" s="8"/>
      <c r="U282" s="8"/>
      <c r="V282" s="8"/>
      <c r="W282" s="8"/>
      <c r="X282" s="8"/>
      <c r="Y282" s="8"/>
      <c r="Z282" s="10" t="s">
        <v>1613</v>
      </c>
      <c r="AA282" s="8" t="s">
        <v>331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1093</v>
      </c>
      <c r="E283" s="8" t="s">
        <v>123</v>
      </c>
      <c r="F283" s="8" t="s">
        <v>1743</v>
      </c>
      <c r="G283" s="8" t="s">
        <v>1120</v>
      </c>
      <c r="H283" s="8" t="s">
        <v>1343</v>
      </c>
      <c r="I283" s="8" t="s">
        <v>1426</v>
      </c>
      <c r="J283" s="8" t="s">
        <v>1214</v>
      </c>
      <c r="K283" s="8" t="s">
        <v>1099</v>
      </c>
      <c r="L283" s="10" t="s">
        <v>1314</v>
      </c>
      <c r="M283" s="10" t="s">
        <v>1427</v>
      </c>
      <c r="N283" s="10" t="s">
        <v>1428</v>
      </c>
      <c r="O283" s="8" t="s">
        <v>321</v>
      </c>
      <c r="P283" s="8"/>
      <c r="Q283" s="8"/>
      <c r="R283" s="8">
        <v>10811</v>
      </c>
      <c r="S283" s="8" t="s">
        <v>331</v>
      </c>
      <c r="T283" s="8"/>
      <c r="U283" s="8"/>
      <c r="V283" s="8"/>
      <c r="W283" s="8"/>
      <c r="X283" s="8"/>
      <c r="Y283" s="8"/>
      <c r="Z283" s="10" t="s">
        <v>1613</v>
      </c>
      <c r="AA283" s="8" t="s">
        <v>331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1093</v>
      </c>
      <c r="E284" s="8" t="s">
        <v>123</v>
      </c>
      <c r="F284" s="8" t="s">
        <v>1743</v>
      </c>
      <c r="G284" s="8" t="s">
        <v>1149</v>
      </c>
      <c r="H284" s="8" t="s">
        <v>1297</v>
      </c>
      <c r="I284" s="8" t="s">
        <v>1429</v>
      </c>
      <c r="J284" s="8" t="s">
        <v>1214</v>
      </c>
      <c r="K284" s="8" t="s">
        <v>1099</v>
      </c>
      <c r="L284" s="10" t="s">
        <v>1314</v>
      </c>
      <c r="M284" s="10" t="s">
        <v>1430</v>
      </c>
      <c r="N284" s="10" t="s">
        <v>1295</v>
      </c>
      <c r="O284" s="8" t="s">
        <v>321</v>
      </c>
      <c r="P284" s="8"/>
      <c r="Q284" s="8"/>
      <c r="R284" s="8">
        <v>132626</v>
      </c>
      <c r="S284" s="8" t="s">
        <v>331</v>
      </c>
      <c r="T284" s="8"/>
      <c r="U284" s="8"/>
      <c r="V284" s="8"/>
      <c r="W284" s="8"/>
      <c r="X284" s="8"/>
      <c r="Y284" s="8"/>
      <c r="Z284" s="10" t="s">
        <v>1613</v>
      </c>
      <c r="AA284" s="8" t="s">
        <v>331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1093</v>
      </c>
      <c r="E285" s="8" t="s">
        <v>123</v>
      </c>
      <c r="F285" s="8" t="s">
        <v>1695</v>
      </c>
      <c r="G285" s="8" t="s">
        <v>1266</v>
      </c>
      <c r="H285" s="8" t="s">
        <v>1279</v>
      </c>
      <c r="I285" s="8" t="s">
        <v>1429</v>
      </c>
      <c r="J285" s="8" t="s">
        <v>1214</v>
      </c>
      <c r="K285" s="8" t="s">
        <v>1099</v>
      </c>
      <c r="L285" s="10" t="s">
        <v>1314</v>
      </c>
      <c r="M285" s="10" t="s">
        <v>1430</v>
      </c>
      <c r="N285" s="10" t="s">
        <v>1295</v>
      </c>
      <c r="O285" s="8" t="s">
        <v>321</v>
      </c>
      <c r="P285" s="8"/>
      <c r="Q285" s="8"/>
      <c r="R285" s="8">
        <v>132626</v>
      </c>
      <c r="S285" s="8"/>
      <c r="T285" s="8"/>
      <c r="U285" s="8" t="s">
        <v>331</v>
      </c>
      <c r="V285" s="8"/>
      <c r="W285" s="8"/>
      <c r="X285" s="8"/>
      <c r="Y285" s="8" t="s">
        <v>331</v>
      </c>
      <c r="Z285" s="10" t="s">
        <v>1778</v>
      </c>
      <c r="AA285" s="8" t="s">
        <v>331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1093</v>
      </c>
      <c r="E286" s="8" t="s">
        <v>123</v>
      </c>
      <c r="F286" s="8" t="s">
        <v>1743</v>
      </c>
      <c r="G286" s="8" t="s">
        <v>1284</v>
      </c>
      <c r="H286" s="8" t="s">
        <v>1166</v>
      </c>
      <c r="I286" s="8" t="s">
        <v>1434</v>
      </c>
      <c r="J286" s="8" t="s">
        <v>1214</v>
      </c>
      <c r="K286" s="8" t="s">
        <v>1099</v>
      </c>
      <c r="L286" s="10" t="s">
        <v>1314</v>
      </c>
      <c r="M286" s="10" t="s">
        <v>1435</v>
      </c>
      <c r="N286" s="10" t="s">
        <v>1436</v>
      </c>
      <c r="O286" s="8" t="s">
        <v>321</v>
      </c>
      <c r="P286" s="8"/>
      <c r="Q286" s="8"/>
      <c r="R286" s="8">
        <v>220153</v>
      </c>
      <c r="S286" s="8" t="s">
        <v>331</v>
      </c>
      <c r="T286" s="8"/>
      <c r="U286" s="8"/>
      <c r="V286" s="8"/>
      <c r="W286" s="8"/>
      <c r="X286" s="8"/>
      <c r="Y286" s="8"/>
      <c r="Z286" s="10" t="s">
        <v>1613</v>
      </c>
      <c r="AA286" s="8" t="s">
        <v>331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1093</v>
      </c>
      <c r="E287" s="8" t="s">
        <v>123</v>
      </c>
      <c r="F287" s="8" t="s">
        <v>1695</v>
      </c>
      <c r="G287" s="8" t="s">
        <v>1279</v>
      </c>
      <c r="H287" s="8" t="s">
        <v>1297</v>
      </c>
      <c r="I287" s="8" t="s">
        <v>1434</v>
      </c>
      <c r="J287" s="8" t="s">
        <v>1214</v>
      </c>
      <c r="K287" s="8" t="s">
        <v>1099</v>
      </c>
      <c r="L287" s="10" t="s">
        <v>1314</v>
      </c>
      <c r="M287" s="10" t="s">
        <v>1435</v>
      </c>
      <c r="N287" s="10" t="s">
        <v>1436</v>
      </c>
      <c r="O287" s="8" t="s">
        <v>321</v>
      </c>
      <c r="P287" s="8"/>
      <c r="Q287" s="8"/>
      <c r="R287" s="8">
        <v>220153</v>
      </c>
      <c r="S287" s="8"/>
      <c r="T287" s="8" t="s">
        <v>331</v>
      </c>
      <c r="U287" s="8"/>
      <c r="V287" s="8"/>
      <c r="W287" s="8"/>
      <c r="X287" s="8"/>
      <c r="Y287" s="8" t="s">
        <v>331</v>
      </c>
      <c r="Z287" s="10" t="s">
        <v>1779</v>
      </c>
      <c r="AA287" s="8" t="s">
        <v>331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1093</v>
      </c>
      <c r="E288" s="8" t="s">
        <v>123</v>
      </c>
      <c r="F288" s="8" t="s">
        <v>1743</v>
      </c>
      <c r="G288" s="8" t="s">
        <v>1166</v>
      </c>
      <c r="H288" s="8" t="s">
        <v>1120</v>
      </c>
      <c r="I288" s="8" t="s">
        <v>1437</v>
      </c>
      <c r="J288" s="8" t="s">
        <v>1214</v>
      </c>
      <c r="K288" s="8" t="s">
        <v>1099</v>
      </c>
      <c r="L288" s="10" t="s">
        <v>1314</v>
      </c>
      <c r="M288" s="10" t="s">
        <v>1438</v>
      </c>
      <c r="N288" s="10" t="s">
        <v>1439</v>
      </c>
      <c r="O288" s="8" t="s">
        <v>321</v>
      </c>
      <c r="P288" s="8"/>
      <c r="Q288" s="8"/>
      <c r="R288" s="8">
        <v>105706</v>
      </c>
      <c r="S288" s="8" t="s">
        <v>331</v>
      </c>
      <c r="T288" s="8"/>
      <c r="U288" s="8"/>
      <c r="V288" s="8"/>
      <c r="W288" s="8"/>
      <c r="X288" s="8"/>
      <c r="Y288" s="8"/>
      <c r="Z288" s="10" t="s">
        <v>1613</v>
      </c>
      <c r="AA288" s="8" t="s">
        <v>331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1093</v>
      </c>
      <c r="E289" s="8" t="s">
        <v>123</v>
      </c>
      <c r="F289" s="8" t="s">
        <v>1743</v>
      </c>
      <c r="G289" s="8" t="s">
        <v>1273</v>
      </c>
      <c r="H289" s="8" t="s">
        <v>1258</v>
      </c>
      <c r="I289" s="8" t="s">
        <v>1450</v>
      </c>
      <c r="J289" s="8" t="s">
        <v>1214</v>
      </c>
      <c r="K289" s="8" t="s">
        <v>1099</v>
      </c>
      <c r="L289" s="10" t="s">
        <v>1314</v>
      </c>
      <c r="M289" s="10" t="s">
        <v>1451</v>
      </c>
      <c r="N289" s="10" t="s">
        <v>1410</v>
      </c>
      <c r="O289" s="8" t="s">
        <v>321</v>
      </c>
      <c r="P289" s="8"/>
      <c r="Q289" s="8"/>
      <c r="R289" s="8">
        <v>173363</v>
      </c>
      <c r="S289" s="8" t="s">
        <v>331</v>
      </c>
      <c r="T289" s="8"/>
      <c r="U289" s="8"/>
      <c r="V289" s="8"/>
      <c r="W289" s="8"/>
      <c r="X289" s="8"/>
      <c r="Y289" s="8"/>
      <c r="Z289" s="10" t="s">
        <v>1613</v>
      </c>
      <c r="AA289" s="8" t="s">
        <v>331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1093</v>
      </c>
      <c r="E290" s="8" t="s">
        <v>123</v>
      </c>
      <c r="F290" s="8" t="s">
        <v>1730</v>
      </c>
      <c r="G290" s="8" t="s">
        <v>1166</v>
      </c>
      <c r="H290" s="8" t="s">
        <v>1120</v>
      </c>
      <c r="I290" s="8" t="s">
        <v>1452</v>
      </c>
      <c r="J290" s="8" t="s">
        <v>1214</v>
      </c>
      <c r="K290" s="8" t="s">
        <v>1099</v>
      </c>
      <c r="L290" s="10" t="s">
        <v>1453</v>
      </c>
      <c r="M290" s="10" t="s">
        <v>1454</v>
      </c>
      <c r="N290" s="10"/>
      <c r="O290" s="8" t="s">
        <v>321</v>
      </c>
      <c r="P290" s="8"/>
      <c r="Q290" s="8"/>
      <c r="R290" s="8">
        <v>113516</v>
      </c>
      <c r="S290" s="8" t="s">
        <v>331</v>
      </c>
      <c r="T290" s="8"/>
      <c r="U290" s="8"/>
      <c r="V290" s="8"/>
      <c r="W290" s="8"/>
      <c r="X290" s="8"/>
      <c r="Y290" s="8"/>
      <c r="Z290" s="10" t="s">
        <v>1613</v>
      </c>
      <c r="AA290" s="8" t="s">
        <v>331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1093</v>
      </c>
      <c r="E291" s="8" t="s">
        <v>123</v>
      </c>
      <c r="F291" s="8" t="s">
        <v>1770</v>
      </c>
      <c r="G291" s="8" t="s">
        <v>1284</v>
      </c>
      <c r="H291" s="8" t="s">
        <v>1302</v>
      </c>
      <c r="I291" s="8" t="s">
        <v>1649</v>
      </c>
      <c r="J291" s="8" t="s">
        <v>1650</v>
      </c>
      <c r="K291" s="8" t="s">
        <v>1099</v>
      </c>
      <c r="L291" s="10" t="s">
        <v>1170</v>
      </c>
      <c r="M291" s="10" t="s">
        <v>1651</v>
      </c>
      <c r="N291" s="10" t="s">
        <v>1652</v>
      </c>
      <c r="O291" s="8" t="s">
        <v>321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331</v>
      </c>
      <c r="Z291" s="10" t="s">
        <v>1780</v>
      </c>
      <c r="AA291" s="8" t="s">
        <v>331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1093</v>
      </c>
      <c r="E292" s="8" t="s">
        <v>123</v>
      </c>
      <c r="F292" s="8" t="s">
        <v>1721</v>
      </c>
      <c r="G292" s="8" t="s">
        <v>1166</v>
      </c>
      <c r="H292" s="8" t="s">
        <v>1120</v>
      </c>
      <c r="I292" s="8" t="s">
        <v>1663</v>
      </c>
      <c r="J292" s="8" t="s">
        <v>1459</v>
      </c>
      <c r="K292" s="8" t="s">
        <v>1099</v>
      </c>
      <c r="L292" s="10" t="s">
        <v>1170</v>
      </c>
      <c r="M292" s="10" t="s">
        <v>1463</v>
      </c>
      <c r="N292" s="10" t="s">
        <v>1664</v>
      </c>
      <c r="O292" s="8" t="s">
        <v>321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331</v>
      </c>
      <c r="Z292" s="10" t="s">
        <v>1781</v>
      </c>
      <c r="AA292" s="8" t="s">
        <v>331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1093</v>
      </c>
      <c r="E293" s="8" t="s">
        <v>123</v>
      </c>
      <c r="F293" s="8" t="s">
        <v>1782</v>
      </c>
      <c r="G293" s="8" t="s">
        <v>1149</v>
      </c>
      <c r="H293" s="8" t="s">
        <v>1297</v>
      </c>
      <c r="I293" s="8" t="s">
        <v>1473</v>
      </c>
      <c r="J293" s="8" t="s">
        <v>1244</v>
      </c>
      <c r="K293" s="8" t="s">
        <v>1099</v>
      </c>
      <c r="L293" s="10" t="s">
        <v>1474</v>
      </c>
      <c r="M293" s="10" t="s">
        <v>1475</v>
      </c>
      <c r="N293" s="10" t="s">
        <v>1424</v>
      </c>
      <c r="O293" s="8" t="s">
        <v>321</v>
      </c>
      <c r="P293" s="8"/>
      <c r="Q293" s="8">
        <v>2107</v>
      </c>
      <c r="R293" s="8">
        <v>832</v>
      </c>
      <c r="S293" s="8" t="s">
        <v>331</v>
      </c>
      <c r="T293" s="8"/>
      <c r="U293" s="8"/>
      <c r="V293" s="8"/>
      <c r="W293" s="8"/>
      <c r="X293" s="8"/>
      <c r="Y293" s="8"/>
      <c r="Z293" s="10" t="s">
        <v>1613</v>
      </c>
      <c r="AA293" s="8" t="s">
        <v>331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1093</v>
      </c>
      <c r="E294" s="8" t="s">
        <v>123</v>
      </c>
      <c r="F294" s="8" t="s">
        <v>1753</v>
      </c>
      <c r="G294" s="8" t="s">
        <v>1303</v>
      </c>
      <c r="H294" s="8" t="s">
        <v>1607</v>
      </c>
      <c r="I294" s="8" t="s">
        <v>1478</v>
      </c>
      <c r="J294" s="8" t="s">
        <v>1479</v>
      </c>
      <c r="K294" s="8" t="s">
        <v>1099</v>
      </c>
      <c r="L294" s="10" t="s">
        <v>1480</v>
      </c>
      <c r="M294" s="10" t="s">
        <v>1481</v>
      </c>
      <c r="N294" s="10" t="s">
        <v>1482</v>
      </c>
      <c r="O294" s="8" t="s">
        <v>362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1783</v>
      </c>
      <c r="AA294" s="8" t="s">
        <v>331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1093</v>
      </c>
      <c r="E295" s="8" t="s">
        <v>123</v>
      </c>
      <c r="F295" s="8" t="s">
        <v>1761</v>
      </c>
      <c r="G295" s="8" t="s">
        <v>1266</v>
      </c>
      <c r="H295" s="8" t="s">
        <v>1279</v>
      </c>
      <c r="I295" s="8" t="s">
        <v>1478</v>
      </c>
      <c r="J295" s="8" t="s">
        <v>1479</v>
      </c>
      <c r="K295" s="8" t="s">
        <v>1099</v>
      </c>
      <c r="L295" s="10" t="s">
        <v>1480</v>
      </c>
      <c r="M295" s="10" t="s">
        <v>1481</v>
      </c>
      <c r="N295" s="10" t="s">
        <v>1482</v>
      </c>
      <c r="O295" s="8" t="s">
        <v>321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331</v>
      </c>
      <c r="Z295" s="10" t="s">
        <v>1747</v>
      </c>
      <c r="AA295" s="8" t="s">
        <v>331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1093</v>
      </c>
      <c r="E296" s="8" t="s">
        <v>123</v>
      </c>
      <c r="F296" s="8" t="s">
        <v>1782</v>
      </c>
      <c r="G296" s="8" t="s">
        <v>1347</v>
      </c>
      <c r="H296" s="8" t="s">
        <v>1348</v>
      </c>
      <c r="I296" s="8" t="s">
        <v>1484</v>
      </c>
      <c r="J296" s="8" t="s">
        <v>1479</v>
      </c>
      <c r="K296" s="8" t="s">
        <v>1099</v>
      </c>
      <c r="L296" s="10" t="s">
        <v>1170</v>
      </c>
      <c r="M296" s="10" t="s">
        <v>1463</v>
      </c>
      <c r="N296" s="10" t="s">
        <v>1485</v>
      </c>
      <c r="O296" s="8" t="s">
        <v>321</v>
      </c>
      <c r="P296" s="8"/>
      <c r="Q296" s="8"/>
      <c r="R296" s="8">
        <v>64520</v>
      </c>
      <c r="S296" s="8"/>
      <c r="T296" s="8"/>
      <c r="U296" s="8" t="s">
        <v>331</v>
      </c>
      <c r="V296" s="8"/>
      <c r="W296" s="8"/>
      <c r="X296" s="8"/>
      <c r="Y296" s="8"/>
      <c r="Z296" s="10" t="s">
        <v>1278</v>
      </c>
      <c r="AA296" s="8" t="s">
        <v>331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1093</v>
      </c>
      <c r="E297" s="8" t="s">
        <v>123</v>
      </c>
      <c r="F297" s="8" t="s">
        <v>1742</v>
      </c>
      <c r="G297" s="8" t="s">
        <v>1303</v>
      </c>
      <c r="H297" s="8" t="s">
        <v>1342</v>
      </c>
      <c r="I297" s="8" t="s">
        <v>1484</v>
      </c>
      <c r="J297" s="8" t="s">
        <v>1479</v>
      </c>
      <c r="K297" s="8" t="s">
        <v>1099</v>
      </c>
      <c r="L297" s="10" t="s">
        <v>1170</v>
      </c>
      <c r="M297" s="10" t="s">
        <v>1463</v>
      </c>
      <c r="N297" s="10" t="s">
        <v>1485</v>
      </c>
      <c r="O297" s="8" t="s">
        <v>321</v>
      </c>
      <c r="P297" s="8"/>
      <c r="Q297" s="8"/>
      <c r="R297" s="8">
        <v>64520</v>
      </c>
      <c r="S297" s="8"/>
      <c r="T297" s="8"/>
      <c r="U297" s="8" t="s">
        <v>331</v>
      </c>
      <c r="V297" s="8"/>
      <c r="W297" s="8"/>
      <c r="X297" s="8"/>
      <c r="Y297" s="8"/>
      <c r="Z297" s="10" t="s">
        <v>1278</v>
      </c>
      <c r="AA297" s="8" t="s">
        <v>331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1093</v>
      </c>
      <c r="E298" s="8" t="s">
        <v>123</v>
      </c>
      <c r="F298" s="8" t="s">
        <v>1721</v>
      </c>
      <c r="G298" s="8" t="s">
        <v>1120</v>
      </c>
      <c r="H298" s="8" t="s">
        <v>1343</v>
      </c>
      <c r="I298" s="8" t="s">
        <v>1484</v>
      </c>
      <c r="J298" s="8" t="s">
        <v>1479</v>
      </c>
      <c r="K298" s="8" t="s">
        <v>1099</v>
      </c>
      <c r="L298" s="10" t="s">
        <v>1170</v>
      </c>
      <c r="M298" s="10" t="s">
        <v>1463</v>
      </c>
      <c r="N298" s="10" t="s">
        <v>1485</v>
      </c>
      <c r="O298" s="8" t="s">
        <v>321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331</v>
      </c>
      <c r="Z298" s="10" t="s">
        <v>1781</v>
      </c>
      <c r="AA298" s="8" t="s">
        <v>331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1093</v>
      </c>
      <c r="E299" s="8" t="s">
        <v>123</v>
      </c>
      <c r="F299" s="8" t="s">
        <v>1782</v>
      </c>
      <c r="G299" s="8" t="s">
        <v>1347</v>
      </c>
      <c r="H299" s="8" t="s">
        <v>1348</v>
      </c>
      <c r="I299" s="8" t="s">
        <v>1487</v>
      </c>
      <c r="J299" s="8" t="s">
        <v>1479</v>
      </c>
      <c r="K299" s="8" t="s">
        <v>1099</v>
      </c>
      <c r="L299" s="10" t="s">
        <v>1170</v>
      </c>
      <c r="M299" s="10" t="s">
        <v>1463</v>
      </c>
      <c r="N299" s="10" t="s">
        <v>1488</v>
      </c>
      <c r="O299" s="8" t="s">
        <v>321</v>
      </c>
      <c r="P299" s="8"/>
      <c r="Q299" s="8"/>
      <c r="R299" s="8">
        <v>165091</v>
      </c>
      <c r="S299" s="8"/>
      <c r="T299" s="8" t="s">
        <v>331</v>
      </c>
      <c r="U299" s="8"/>
      <c r="V299" s="8"/>
      <c r="W299" s="8"/>
      <c r="X299" s="8"/>
      <c r="Y299" s="8"/>
      <c r="Z299" s="10" t="s">
        <v>1278</v>
      </c>
      <c r="AA299" s="8" t="s">
        <v>331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1093</v>
      </c>
      <c r="E300" s="8" t="s">
        <v>123</v>
      </c>
      <c r="F300" s="8" t="s">
        <v>1742</v>
      </c>
      <c r="G300" s="8" t="s">
        <v>1302</v>
      </c>
      <c r="H300" s="8" t="s">
        <v>1303</v>
      </c>
      <c r="I300" s="8" t="s">
        <v>1487</v>
      </c>
      <c r="J300" s="8" t="s">
        <v>1479</v>
      </c>
      <c r="K300" s="8" t="s">
        <v>1099</v>
      </c>
      <c r="L300" s="10" t="s">
        <v>1170</v>
      </c>
      <c r="M300" s="10" t="s">
        <v>1463</v>
      </c>
      <c r="N300" s="10" t="s">
        <v>1488</v>
      </c>
      <c r="O300" s="8" t="s">
        <v>321</v>
      </c>
      <c r="P300" s="8"/>
      <c r="Q300" s="8"/>
      <c r="R300" s="8">
        <v>165091</v>
      </c>
      <c r="S300" s="8"/>
      <c r="T300" s="8"/>
      <c r="U300" s="8" t="s">
        <v>331</v>
      </c>
      <c r="V300" s="8"/>
      <c r="W300" s="8"/>
      <c r="X300" s="8"/>
      <c r="Y300" s="8"/>
      <c r="Z300" s="10" t="s">
        <v>1278</v>
      </c>
      <c r="AA300" s="8" t="s">
        <v>331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1093</v>
      </c>
      <c r="E301" s="8" t="s">
        <v>123</v>
      </c>
      <c r="F301" s="8" t="s">
        <v>1721</v>
      </c>
      <c r="G301" s="8" t="s">
        <v>1284</v>
      </c>
      <c r="H301" s="8" t="s">
        <v>1166</v>
      </c>
      <c r="I301" s="8" t="s">
        <v>1487</v>
      </c>
      <c r="J301" s="8" t="s">
        <v>1479</v>
      </c>
      <c r="K301" s="8" t="s">
        <v>1099</v>
      </c>
      <c r="L301" s="10" t="s">
        <v>1170</v>
      </c>
      <c r="M301" s="10" t="s">
        <v>1463</v>
      </c>
      <c r="N301" s="10" t="s">
        <v>1488</v>
      </c>
      <c r="O301" s="8" t="s">
        <v>321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331</v>
      </c>
      <c r="Z301" s="10" t="s">
        <v>1781</v>
      </c>
      <c r="AA301" s="8" t="s">
        <v>331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1093</v>
      </c>
      <c r="E302" s="8" t="s">
        <v>123</v>
      </c>
      <c r="F302" s="8" t="s">
        <v>1731</v>
      </c>
      <c r="G302" s="8" t="s">
        <v>1149</v>
      </c>
      <c r="H302" s="8" t="s">
        <v>1297</v>
      </c>
      <c r="I302" s="8" t="s">
        <v>1489</v>
      </c>
      <c r="J302" s="8" t="s">
        <v>1479</v>
      </c>
      <c r="K302" s="8" t="s">
        <v>1099</v>
      </c>
      <c r="L302" s="10" t="s">
        <v>1388</v>
      </c>
      <c r="M302" s="10" t="s">
        <v>1326</v>
      </c>
      <c r="N302" s="10" t="s">
        <v>1358</v>
      </c>
      <c r="O302" s="8" t="s">
        <v>321</v>
      </c>
      <c r="P302" s="8"/>
      <c r="Q302" s="8"/>
      <c r="R302" s="8">
        <v>40698</v>
      </c>
      <c r="S302" s="8" t="s">
        <v>331</v>
      </c>
      <c r="T302" s="8"/>
      <c r="U302" s="8"/>
      <c r="V302" s="8"/>
      <c r="W302" s="8"/>
      <c r="X302" s="8"/>
      <c r="Y302" s="8"/>
      <c r="Z302" s="10" t="s">
        <v>1613</v>
      </c>
      <c r="AA302" s="8" t="s">
        <v>331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1093</v>
      </c>
      <c r="E303" s="8" t="s">
        <v>123</v>
      </c>
      <c r="F303" s="8" t="s">
        <v>1749</v>
      </c>
      <c r="G303" s="8" t="s">
        <v>1196</v>
      </c>
      <c r="H303" s="8" t="s">
        <v>1317</v>
      </c>
      <c r="I303" s="8" t="s">
        <v>1489</v>
      </c>
      <c r="J303" s="8" t="s">
        <v>1479</v>
      </c>
      <c r="K303" s="8" t="s">
        <v>1099</v>
      </c>
      <c r="L303" s="10" t="s">
        <v>1388</v>
      </c>
      <c r="M303" s="10" t="s">
        <v>1326</v>
      </c>
      <c r="N303" s="10" t="s">
        <v>1358</v>
      </c>
      <c r="O303" s="8" t="s">
        <v>321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331</v>
      </c>
      <c r="Z303" s="10" t="s">
        <v>1784</v>
      </c>
      <c r="AA303" s="8" t="s">
        <v>331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1093</v>
      </c>
      <c r="E304" s="8" t="s">
        <v>123</v>
      </c>
      <c r="F304" s="8" t="s">
        <v>1753</v>
      </c>
      <c r="G304" s="8" t="s">
        <v>1196</v>
      </c>
      <c r="H304" s="8" t="s">
        <v>1297</v>
      </c>
      <c r="I304" s="8" t="s">
        <v>1674</v>
      </c>
      <c r="J304" s="8" t="s">
        <v>1675</v>
      </c>
      <c r="K304" s="8" t="s">
        <v>1099</v>
      </c>
      <c r="L304" s="10" t="s">
        <v>1676</v>
      </c>
      <c r="M304" s="10" t="s">
        <v>1677</v>
      </c>
      <c r="N304" s="10" t="s">
        <v>1678</v>
      </c>
      <c r="O304" s="8" t="s">
        <v>321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331</v>
      </c>
      <c r="Z304" s="10" t="s">
        <v>1785</v>
      </c>
      <c r="AA304" s="8" t="s">
        <v>331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1093</v>
      </c>
      <c r="E305" s="8" t="s">
        <v>123</v>
      </c>
      <c r="F305" s="8" t="s">
        <v>1743</v>
      </c>
      <c r="G305" s="8" t="s">
        <v>1343</v>
      </c>
      <c r="H305" s="8" t="s">
        <v>1302</v>
      </c>
      <c r="I305" s="8" t="s">
        <v>1490</v>
      </c>
      <c r="J305" s="8" t="s">
        <v>1491</v>
      </c>
      <c r="K305" s="8" t="s">
        <v>1099</v>
      </c>
      <c r="L305" s="10" t="s">
        <v>1314</v>
      </c>
      <c r="M305" s="10" t="s">
        <v>1492</v>
      </c>
      <c r="N305" s="10" t="s">
        <v>1493</v>
      </c>
      <c r="O305" s="8" t="s">
        <v>321</v>
      </c>
      <c r="P305" s="8"/>
      <c r="Q305" s="8"/>
      <c r="R305" s="8">
        <v>23412</v>
      </c>
      <c r="S305" s="8" t="s">
        <v>331</v>
      </c>
      <c r="T305" s="8"/>
      <c r="U305" s="8"/>
      <c r="V305" s="8"/>
      <c r="W305" s="8"/>
      <c r="X305" s="8"/>
      <c r="Y305" s="8"/>
      <c r="Z305" s="10" t="s">
        <v>1613</v>
      </c>
      <c r="AA305" s="8" t="s">
        <v>331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1093</v>
      </c>
      <c r="E306" s="8" t="s">
        <v>123</v>
      </c>
      <c r="F306" s="8" t="s">
        <v>1708</v>
      </c>
      <c r="G306" s="8" t="s">
        <v>1786</v>
      </c>
      <c r="H306" s="8" t="s">
        <v>1787</v>
      </c>
      <c r="I306" s="8" t="s">
        <v>1495</v>
      </c>
      <c r="J306" s="8" t="s">
        <v>1788</v>
      </c>
      <c r="K306" s="8" t="s">
        <v>1496</v>
      </c>
      <c r="L306" s="10" t="s">
        <v>1497</v>
      </c>
      <c r="M306" s="10" t="s">
        <v>1498</v>
      </c>
      <c r="N306" s="10" t="s">
        <v>1499</v>
      </c>
      <c r="O306" s="8" t="s">
        <v>321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331</v>
      </c>
      <c r="Z306" s="10" t="s">
        <v>1789</v>
      </c>
      <c r="AA306" s="8" t="s">
        <v>331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1093</v>
      </c>
      <c r="E307" s="8" t="s">
        <v>123</v>
      </c>
      <c r="F307" s="8" t="s">
        <v>1689</v>
      </c>
      <c r="G307" s="8" t="s">
        <v>1284</v>
      </c>
      <c r="H307" s="8" t="s">
        <v>1790</v>
      </c>
      <c r="I307" s="8" t="s">
        <v>1791</v>
      </c>
      <c r="J307" s="8" t="s">
        <v>1788</v>
      </c>
      <c r="K307" s="8" t="s">
        <v>1496</v>
      </c>
      <c r="L307" s="10" t="s">
        <v>1497</v>
      </c>
      <c r="M307" s="10" t="s">
        <v>1498</v>
      </c>
      <c r="N307" s="10" t="s">
        <v>1499</v>
      </c>
      <c r="O307" s="8" t="s">
        <v>362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1792</v>
      </c>
      <c r="AA307" s="8" t="s">
        <v>331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1093</v>
      </c>
      <c r="E308" s="8" t="s">
        <v>123</v>
      </c>
      <c r="F308" s="8" t="s">
        <v>1775</v>
      </c>
      <c r="G308" s="8" t="s">
        <v>1793</v>
      </c>
      <c r="H308" s="8" t="s">
        <v>1794</v>
      </c>
      <c r="I308" s="8" t="s">
        <v>1795</v>
      </c>
      <c r="J308" s="8"/>
      <c r="K308" s="8" t="s">
        <v>1496</v>
      </c>
      <c r="L308" s="10" t="s">
        <v>1497</v>
      </c>
      <c r="M308" s="10" t="s">
        <v>1498</v>
      </c>
      <c r="N308" s="10" t="s">
        <v>1499</v>
      </c>
      <c r="O308" s="8" t="s">
        <v>362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1796</v>
      </c>
      <c r="AA308" s="8" t="s">
        <v>331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1093</v>
      </c>
      <c r="E309" s="8" t="s">
        <v>139</v>
      </c>
      <c r="F309" s="8" t="s">
        <v>1730</v>
      </c>
      <c r="G309" s="8" t="s">
        <v>1714</v>
      </c>
      <c r="H309" s="8" t="s">
        <v>1715</v>
      </c>
      <c r="I309" s="8" t="s">
        <v>1502</v>
      </c>
      <c r="J309" s="8" t="s">
        <v>1217</v>
      </c>
      <c r="K309" s="8" t="s">
        <v>1099</v>
      </c>
      <c r="L309" s="10" t="s">
        <v>1503</v>
      </c>
      <c r="M309" s="10" t="s">
        <v>1504</v>
      </c>
      <c r="N309" s="10" t="s">
        <v>1346</v>
      </c>
      <c r="O309" s="8" t="s">
        <v>1106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331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1093</v>
      </c>
      <c r="E310" s="8" t="s">
        <v>139</v>
      </c>
      <c r="F310" s="8" t="s">
        <v>1730</v>
      </c>
      <c r="G310" s="8" t="s">
        <v>1714</v>
      </c>
      <c r="H310" s="8" t="s">
        <v>1715</v>
      </c>
      <c r="I310" s="8" t="s">
        <v>1509</v>
      </c>
      <c r="J310" s="8" t="s">
        <v>1217</v>
      </c>
      <c r="K310" s="8" t="s">
        <v>1099</v>
      </c>
      <c r="L310" s="10" t="s">
        <v>1503</v>
      </c>
      <c r="M310" s="10" t="s">
        <v>1504</v>
      </c>
      <c r="N310" s="10" t="s">
        <v>1346</v>
      </c>
      <c r="O310" s="8" t="s">
        <v>1106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331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1093</v>
      </c>
      <c r="E311" s="8" t="s">
        <v>139</v>
      </c>
      <c r="F311" s="8" t="s">
        <v>1689</v>
      </c>
      <c r="G311" s="8" t="s">
        <v>1317</v>
      </c>
      <c r="H311" s="8" t="s">
        <v>1384</v>
      </c>
      <c r="I311" s="8" t="s">
        <v>1797</v>
      </c>
      <c r="J311" s="8" t="s">
        <v>1514</v>
      </c>
      <c r="K311" s="8" t="s">
        <v>1496</v>
      </c>
      <c r="L311" s="10" t="s">
        <v>1515</v>
      </c>
      <c r="M311" s="10" t="s">
        <v>1516</v>
      </c>
      <c r="N311" s="10" t="s">
        <v>1798</v>
      </c>
      <c r="O311" s="8" t="s">
        <v>362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1799</v>
      </c>
      <c r="AA311" s="8" t="s">
        <v>331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1093</v>
      </c>
      <c r="E312" s="8" t="s">
        <v>128</v>
      </c>
      <c r="F312" s="8" t="s">
        <v>1800</v>
      </c>
      <c r="G312" s="8" t="s">
        <v>1245</v>
      </c>
      <c r="H312" s="8" t="s">
        <v>1246</v>
      </c>
      <c r="I312" s="8" t="s">
        <v>1097</v>
      </c>
      <c r="J312" s="8" t="s">
        <v>1098</v>
      </c>
      <c r="K312" s="8" t="s">
        <v>1099</v>
      </c>
      <c r="L312" s="10" t="s">
        <v>1100</v>
      </c>
      <c r="M312" s="10" t="s">
        <v>1101</v>
      </c>
      <c r="N312" s="10" t="s">
        <v>128</v>
      </c>
      <c r="O312" s="8" t="s">
        <v>321</v>
      </c>
      <c r="P312" s="8"/>
      <c r="Q312" s="8">
        <v>4473</v>
      </c>
      <c r="R312" s="8">
        <v>30440</v>
      </c>
      <c r="S312" s="8" t="s">
        <v>331</v>
      </c>
      <c r="T312" s="8"/>
      <c r="U312" s="8"/>
      <c r="V312" s="8"/>
      <c r="W312" s="8"/>
      <c r="X312" s="8"/>
      <c r="Y312" s="8"/>
      <c r="Z312" s="10" t="s">
        <v>1102</v>
      </c>
      <c r="AA312" s="8" t="s">
        <v>331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1093</v>
      </c>
      <c r="E313" s="8" t="s">
        <v>128</v>
      </c>
      <c r="F313" s="8" t="s">
        <v>1801</v>
      </c>
      <c r="G313" s="8" t="s">
        <v>1588</v>
      </c>
      <c r="H313" s="8" t="s">
        <v>1138</v>
      </c>
      <c r="I313" s="8" t="s">
        <v>1110</v>
      </c>
      <c r="J313" s="8" t="s">
        <v>1111</v>
      </c>
      <c r="K313" s="8" t="s">
        <v>1099</v>
      </c>
      <c r="L313" s="10" t="s">
        <v>1112</v>
      </c>
      <c r="M313" s="10" t="s">
        <v>1113</v>
      </c>
      <c r="N313" s="10" t="s">
        <v>128</v>
      </c>
      <c r="O313" s="8" t="s">
        <v>1106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1106</v>
      </c>
      <c r="AA313" s="8" t="s">
        <v>331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1093</v>
      </c>
      <c r="E314" s="8" t="s">
        <v>128</v>
      </c>
      <c r="F314" s="8" t="s">
        <v>1801</v>
      </c>
      <c r="G314" s="8" t="s">
        <v>1114</v>
      </c>
      <c r="H314" s="8" t="s">
        <v>1115</v>
      </c>
      <c r="I314" s="8" t="s">
        <v>1116</v>
      </c>
      <c r="J314" s="8" t="s">
        <v>1111</v>
      </c>
      <c r="K314" s="8" t="s">
        <v>1099</v>
      </c>
      <c r="L314" s="10" t="s">
        <v>1117</v>
      </c>
      <c r="M314" s="10" t="s">
        <v>1118</v>
      </c>
      <c r="N314" s="10" t="s">
        <v>1802</v>
      </c>
      <c r="O314" s="8" t="s">
        <v>1106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1106</v>
      </c>
      <c r="AA314" s="8" t="s">
        <v>331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1093</v>
      </c>
      <c r="E315" s="8" t="s">
        <v>128</v>
      </c>
      <c r="F315" s="8" t="s">
        <v>1803</v>
      </c>
      <c r="G315" s="8" t="s">
        <v>1608</v>
      </c>
      <c r="H315" s="8" t="s">
        <v>1804</v>
      </c>
      <c r="I315" s="8" t="s">
        <v>1122</v>
      </c>
      <c r="J315" s="8" t="s">
        <v>1111</v>
      </c>
      <c r="K315" s="8" t="s">
        <v>1099</v>
      </c>
      <c r="L315" s="10" t="s">
        <v>1123</v>
      </c>
      <c r="M315" s="10" t="s">
        <v>1124</v>
      </c>
      <c r="N315" s="10" t="s">
        <v>1125</v>
      </c>
      <c r="O315" s="8" t="s">
        <v>321</v>
      </c>
      <c r="P315" s="8"/>
      <c r="Q315" s="8">
        <v>26552</v>
      </c>
      <c r="R315" s="8">
        <v>60785</v>
      </c>
      <c r="S315" s="8" t="s">
        <v>331</v>
      </c>
      <c r="T315" s="8"/>
      <c r="U315" s="8"/>
      <c r="V315" s="8"/>
      <c r="W315" s="8"/>
      <c r="X315" s="8"/>
      <c r="Y315" s="8"/>
      <c r="Z315" s="10" t="s">
        <v>1102</v>
      </c>
      <c r="AA315" s="8" t="s">
        <v>331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1093</v>
      </c>
      <c r="E316" s="8" t="s">
        <v>128</v>
      </c>
      <c r="F316" s="8" t="s">
        <v>1801</v>
      </c>
      <c r="G316" s="8" t="s">
        <v>1805</v>
      </c>
      <c r="H316" s="8" t="s">
        <v>1806</v>
      </c>
      <c r="I316" s="8" t="s">
        <v>1128</v>
      </c>
      <c r="J316" s="8" t="s">
        <v>1111</v>
      </c>
      <c r="K316" s="8" t="s">
        <v>1099</v>
      </c>
      <c r="L316" s="10" t="s">
        <v>1129</v>
      </c>
      <c r="M316" s="10" t="s">
        <v>1130</v>
      </c>
      <c r="N316" s="10" t="s">
        <v>1131</v>
      </c>
      <c r="O316" s="8" t="s">
        <v>1106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1106</v>
      </c>
      <c r="AA316" s="8" t="s">
        <v>331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1093</v>
      </c>
      <c r="E317" s="8" t="s">
        <v>128</v>
      </c>
      <c r="F317" s="8" t="s">
        <v>1800</v>
      </c>
      <c r="G317" s="8" t="s">
        <v>1807</v>
      </c>
      <c r="H317" s="8" t="s">
        <v>1808</v>
      </c>
      <c r="I317" s="8" t="s">
        <v>1128</v>
      </c>
      <c r="J317" s="8" t="s">
        <v>1111</v>
      </c>
      <c r="K317" s="8" t="s">
        <v>1099</v>
      </c>
      <c r="L317" s="10" t="s">
        <v>1129</v>
      </c>
      <c r="M317" s="10" t="s">
        <v>1130</v>
      </c>
      <c r="N317" s="10" t="s">
        <v>1131</v>
      </c>
      <c r="O317" s="8" t="s">
        <v>1106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1106</v>
      </c>
      <c r="AA317" s="8" t="s">
        <v>331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1093</v>
      </c>
      <c r="E318" s="8" t="s">
        <v>128</v>
      </c>
      <c r="F318" s="8" t="s">
        <v>1809</v>
      </c>
      <c r="G318" s="8" t="s">
        <v>1810</v>
      </c>
      <c r="H318" s="8" t="s">
        <v>1811</v>
      </c>
      <c r="I318" s="8" t="s">
        <v>1128</v>
      </c>
      <c r="J318" s="8" t="s">
        <v>1111</v>
      </c>
      <c r="K318" s="8" t="s">
        <v>1099</v>
      </c>
      <c r="L318" s="10" t="s">
        <v>1129</v>
      </c>
      <c r="M318" s="10" t="s">
        <v>1130</v>
      </c>
      <c r="N318" s="10" t="s">
        <v>1131</v>
      </c>
      <c r="O318" s="8" t="s">
        <v>1106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1106</v>
      </c>
      <c r="AA318" s="8" t="s">
        <v>331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1093</v>
      </c>
      <c r="E319" s="8" t="s">
        <v>128</v>
      </c>
      <c r="F319" s="8" t="s">
        <v>1801</v>
      </c>
      <c r="G319" s="8" t="s">
        <v>1812</v>
      </c>
      <c r="H319" s="8" t="s">
        <v>1813</v>
      </c>
      <c r="I319" s="8" t="s">
        <v>1134</v>
      </c>
      <c r="J319" s="8" t="s">
        <v>1111</v>
      </c>
      <c r="K319" s="8" t="s">
        <v>1099</v>
      </c>
      <c r="L319" s="10" t="s">
        <v>1135</v>
      </c>
      <c r="M319" s="10" t="s">
        <v>1136</v>
      </c>
      <c r="N319" s="10" t="s">
        <v>128</v>
      </c>
      <c r="O319" s="8" t="s">
        <v>1106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1106</v>
      </c>
      <c r="AA319" s="8" t="s">
        <v>331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1093</v>
      </c>
      <c r="E320" s="8" t="s">
        <v>128</v>
      </c>
      <c r="F320" s="8" t="s">
        <v>1801</v>
      </c>
      <c r="G320" s="8" t="s">
        <v>1814</v>
      </c>
      <c r="H320" s="8" t="s">
        <v>1787</v>
      </c>
      <c r="I320" s="8" t="s">
        <v>1139</v>
      </c>
      <c r="J320" s="8" t="s">
        <v>1140</v>
      </c>
      <c r="K320" s="8" t="s">
        <v>1099</v>
      </c>
      <c r="L320" s="10" t="s">
        <v>1141</v>
      </c>
      <c r="M320" s="10" t="s">
        <v>1142</v>
      </c>
      <c r="N320" s="10" t="s">
        <v>1143</v>
      </c>
      <c r="O320" s="8" t="s">
        <v>1106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1106</v>
      </c>
      <c r="AA320" s="8" t="s">
        <v>331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1093</v>
      </c>
      <c r="E321" s="8" t="s">
        <v>128</v>
      </c>
      <c r="F321" s="8" t="s">
        <v>1801</v>
      </c>
      <c r="G321" s="8" t="s">
        <v>1815</v>
      </c>
      <c r="H321" s="8" t="s">
        <v>1816</v>
      </c>
      <c r="I321" s="8" t="s">
        <v>1145</v>
      </c>
      <c r="J321" s="8" t="s">
        <v>1140</v>
      </c>
      <c r="K321" s="8" t="s">
        <v>1099</v>
      </c>
      <c r="L321" s="10" t="s">
        <v>1146</v>
      </c>
      <c r="M321" s="10" t="s">
        <v>1147</v>
      </c>
      <c r="N321" s="10" t="s">
        <v>1131</v>
      </c>
      <c r="O321" s="8" t="s">
        <v>1106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1106</v>
      </c>
      <c r="AA321" s="8" t="s">
        <v>331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1093</v>
      </c>
      <c r="E322" s="8" t="s">
        <v>128</v>
      </c>
      <c r="F322" s="8" t="s">
        <v>1800</v>
      </c>
      <c r="G322" s="8" t="s">
        <v>1095</v>
      </c>
      <c r="H322" s="8" t="s">
        <v>1096</v>
      </c>
      <c r="I322" s="8" t="s">
        <v>1150</v>
      </c>
      <c r="J322" s="8" t="s">
        <v>1140</v>
      </c>
      <c r="K322" s="8" t="s">
        <v>1099</v>
      </c>
      <c r="L322" s="10" t="s">
        <v>1151</v>
      </c>
      <c r="M322" s="10" t="s">
        <v>1152</v>
      </c>
      <c r="N322" s="10" t="s">
        <v>1153</v>
      </c>
      <c r="O322" s="8" t="s">
        <v>321</v>
      </c>
      <c r="P322" s="8"/>
      <c r="Q322" s="8">
        <v>1045</v>
      </c>
      <c r="R322" s="8">
        <v>50580</v>
      </c>
      <c r="S322" s="8" t="s">
        <v>331</v>
      </c>
      <c r="T322" s="8"/>
      <c r="U322" s="8"/>
      <c r="V322" s="8"/>
      <c r="W322" s="8"/>
      <c r="X322" s="8"/>
      <c r="Y322" s="8"/>
      <c r="Z322" s="10" t="s">
        <v>1102</v>
      </c>
      <c r="AA322" s="8" t="s">
        <v>331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1093</v>
      </c>
      <c r="E323" s="8" t="s">
        <v>128</v>
      </c>
      <c r="F323" s="8" t="s">
        <v>1809</v>
      </c>
      <c r="G323" s="8" t="s">
        <v>1817</v>
      </c>
      <c r="H323" s="8" t="s">
        <v>1818</v>
      </c>
      <c r="I323" s="8" t="s">
        <v>1156</v>
      </c>
      <c r="J323" s="8" t="s">
        <v>1140</v>
      </c>
      <c r="K323" s="8" t="s">
        <v>1099</v>
      </c>
      <c r="L323" s="10" t="s">
        <v>1157</v>
      </c>
      <c r="M323" s="10" t="s">
        <v>1158</v>
      </c>
      <c r="N323" s="10"/>
      <c r="O323" s="8" t="s">
        <v>321</v>
      </c>
      <c r="P323" s="8"/>
      <c r="Q323" s="8">
        <v>346</v>
      </c>
      <c r="R323" s="8">
        <v>639</v>
      </c>
      <c r="S323" s="8" t="s">
        <v>331</v>
      </c>
      <c r="T323" s="8"/>
      <c r="U323" s="8"/>
      <c r="V323" s="8"/>
      <c r="W323" s="8"/>
      <c r="X323" s="8"/>
      <c r="Y323" s="8"/>
      <c r="Z323" s="10" t="s">
        <v>1102</v>
      </c>
      <c r="AA323" s="8" t="s">
        <v>331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1093</v>
      </c>
      <c r="E324" s="8" t="s">
        <v>128</v>
      </c>
      <c r="F324" s="8" t="s">
        <v>1801</v>
      </c>
      <c r="G324" s="8" t="s">
        <v>1819</v>
      </c>
      <c r="H324" s="8" t="s">
        <v>1566</v>
      </c>
      <c r="I324" s="8" t="s">
        <v>1162</v>
      </c>
      <c r="J324" s="8" t="s">
        <v>1140</v>
      </c>
      <c r="K324" s="8" t="s">
        <v>1099</v>
      </c>
      <c r="L324" s="10" t="s">
        <v>1163</v>
      </c>
      <c r="M324" s="10" t="s">
        <v>1164</v>
      </c>
      <c r="N324" s="10" t="s">
        <v>1131</v>
      </c>
      <c r="O324" s="8" t="s">
        <v>1106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1106</v>
      </c>
      <c r="AA324" s="8" t="s">
        <v>331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1093</v>
      </c>
      <c r="E325" s="8" t="s">
        <v>128</v>
      </c>
      <c r="F325" s="8" t="s">
        <v>1803</v>
      </c>
      <c r="G325" s="8" t="s">
        <v>1608</v>
      </c>
      <c r="H325" s="8" t="s">
        <v>1804</v>
      </c>
      <c r="I325" s="8" t="s">
        <v>1175</v>
      </c>
      <c r="J325" s="8" t="s">
        <v>1169</v>
      </c>
      <c r="K325" s="8" t="s">
        <v>1099</v>
      </c>
      <c r="L325" s="10" t="s">
        <v>1123</v>
      </c>
      <c r="M325" s="10" t="s">
        <v>1124</v>
      </c>
      <c r="N325" s="10" t="s">
        <v>1176</v>
      </c>
      <c r="O325" s="8" t="s">
        <v>321</v>
      </c>
      <c r="P325" s="8"/>
      <c r="Q325" s="8"/>
      <c r="R325" s="8">
        <v>80095</v>
      </c>
      <c r="S325" s="8" t="s">
        <v>331</v>
      </c>
      <c r="T325" s="8"/>
      <c r="U325" s="8"/>
      <c r="V325" s="8"/>
      <c r="W325" s="8"/>
      <c r="X325" s="8"/>
      <c r="Y325" s="8"/>
      <c r="Z325" s="10" t="s">
        <v>1102</v>
      </c>
      <c r="AA325" s="8" t="s">
        <v>331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1093</v>
      </c>
      <c r="E326" s="8" t="s">
        <v>128</v>
      </c>
      <c r="F326" s="8" t="s">
        <v>1801</v>
      </c>
      <c r="G326" s="8" t="s">
        <v>1255</v>
      </c>
      <c r="H326" s="8" t="s">
        <v>1820</v>
      </c>
      <c r="I326" s="8" t="s">
        <v>1179</v>
      </c>
      <c r="J326" s="8" t="s">
        <v>1169</v>
      </c>
      <c r="K326" s="8" t="s">
        <v>1099</v>
      </c>
      <c r="L326" s="10" t="s">
        <v>1180</v>
      </c>
      <c r="M326" s="10" t="s">
        <v>1181</v>
      </c>
      <c r="N326" s="10" t="s">
        <v>128</v>
      </c>
      <c r="O326" s="8" t="s">
        <v>1106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1106</v>
      </c>
      <c r="AA326" s="8" t="s">
        <v>331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1093</v>
      </c>
      <c r="E327" s="8" t="s">
        <v>128</v>
      </c>
      <c r="F327" s="8" t="s">
        <v>1821</v>
      </c>
      <c r="G327" s="8" t="s">
        <v>1712</v>
      </c>
      <c r="H327" s="8" t="s">
        <v>1713</v>
      </c>
      <c r="I327" s="8" t="s">
        <v>1185</v>
      </c>
      <c r="J327" s="8" t="s">
        <v>1169</v>
      </c>
      <c r="K327" s="8" t="s">
        <v>1099</v>
      </c>
      <c r="L327" s="10" t="s">
        <v>1186</v>
      </c>
      <c r="M327" s="10" t="s">
        <v>1187</v>
      </c>
      <c r="N327" s="10" t="s">
        <v>1188</v>
      </c>
      <c r="O327" s="8" t="s">
        <v>321</v>
      </c>
      <c r="P327" s="8"/>
      <c r="Q327" s="8"/>
      <c r="R327" s="8">
        <v>21849</v>
      </c>
      <c r="S327" s="8" t="s">
        <v>331</v>
      </c>
      <c r="T327" s="8"/>
      <c r="U327" s="8"/>
      <c r="V327" s="8"/>
      <c r="W327" s="8"/>
      <c r="X327" s="8"/>
      <c r="Y327" s="8"/>
      <c r="Z327" s="10" t="s">
        <v>1102</v>
      </c>
      <c r="AA327" s="8" t="s">
        <v>331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1093</v>
      </c>
      <c r="E328" s="8" t="s">
        <v>128</v>
      </c>
      <c r="F328" s="8" t="s">
        <v>1822</v>
      </c>
      <c r="G328" s="8" t="s">
        <v>1823</v>
      </c>
      <c r="H328" s="8" t="s">
        <v>1824</v>
      </c>
      <c r="I328" s="8" t="s">
        <v>1825</v>
      </c>
      <c r="J328" s="8" t="s">
        <v>1169</v>
      </c>
      <c r="K328" s="8" t="s">
        <v>1099</v>
      </c>
      <c r="L328" s="10" t="s">
        <v>1546</v>
      </c>
      <c r="M328" s="10" t="s">
        <v>1826</v>
      </c>
      <c r="N328" s="10" t="s">
        <v>128</v>
      </c>
      <c r="O328" s="8" t="s">
        <v>321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331</v>
      </c>
      <c r="Z328" s="10" t="s">
        <v>1827</v>
      </c>
      <c r="AA328" s="8" t="s">
        <v>331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1093</v>
      </c>
      <c r="E329" s="8" t="s">
        <v>128</v>
      </c>
      <c r="F329" s="8" t="s">
        <v>1828</v>
      </c>
      <c r="G329" s="8" t="s">
        <v>1829</v>
      </c>
      <c r="H329" s="8" t="s">
        <v>1190</v>
      </c>
      <c r="I329" s="8" t="s">
        <v>1192</v>
      </c>
      <c r="J329" s="8" t="s">
        <v>1193</v>
      </c>
      <c r="K329" s="8" t="s">
        <v>1099</v>
      </c>
      <c r="L329" s="10" t="s">
        <v>1194</v>
      </c>
      <c r="M329" s="10" t="s">
        <v>1195</v>
      </c>
      <c r="N329" s="10" t="s">
        <v>128</v>
      </c>
      <c r="O329" s="8" t="s">
        <v>321</v>
      </c>
      <c r="P329" s="8"/>
      <c r="Q329" s="8"/>
      <c r="R329" s="8">
        <v>54475</v>
      </c>
      <c r="S329" s="8" t="s">
        <v>331</v>
      </c>
      <c r="T329" s="8"/>
      <c r="U329" s="8"/>
      <c r="V329" s="8"/>
      <c r="W329" s="8"/>
      <c r="X329" s="8"/>
      <c r="Y329" s="8"/>
      <c r="Z329" s="10" t="s">
        <v>1102</v>
      </c>
      <c r="AA329" s="8" t="s">
        <v>331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1093</v>
      </c>
      <c r="E330" s="8" t="s">
        <v>128</v>
      </c>
      <c r="F330" s="8" t="s">
        <v>1828</v>
      </c>
      <c r="G330" s="8" t="s">
        <v>1830</v>
      </c>
      <c r="H330" s="8" t="s">
        <v>1831</v>
      </c>
      <c r="I330" s="8" t="s">
        <v>1198</v>
      </c>
      <c r="J330" s="8" t="s">
        <v>1193</v>
      </c>
      <c r="K330" s="8" t="s">
        <v>1099</v>
      </c>
      <c r="L330" s="10" t="s">
        <v>1199</v>
      </c>
      <c r="M330" s="10" t="s">
        <v>1200</v>
      </c>
      <c r="N330" s="10"/>
      <c r="O330" s="8" t="s">
        <v>1106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1102</v>
      </c>
      <c r="AA330" s="8" t="s">
        <v>331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1093</v>
      </c>
      <c r="E331" s="8" t="s">
        <v>128</v>
      </c>
      <c r="F331" s="8" t="s">
        <v>1801</v>
      </c>
      <c r="G331" s="8" t="s">
        <v>1160</v>
      </c>
      <c r="H331" s="8" t="s">
        <v>1161</v>
      </c>
      <c r="I331" s="8" t="s">
        <v>1203</v>
      </c>
      <c r="J331" s="8" t="s">
        <v>1204</v>
      </c>
      <c r="K331" s="8" t="s">
        <v>1099</v>
      </c>
      <c r="L331" s="10" t="s">
        <v>1205</v>
      </c>
      <c r="M331" s="10" t="s">
        <v>1206</v>
      </c>
      <c r="N331" s="10" t="s">
        <v>128</v>
      </c>
      <c r="O331" s="8" t="s">
        <v>1106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1106</v>
      </c>
      <c r="AA331" s="8" t="s">
        <v>331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1093</v>
      </c>
      <c r="E332" s="8" t="s">
        <v>128</v>
      </c>
      <c r="F332" s="8" t="s">
        <v>1821</v>
      </c>
      <c r="G332" s="8" t="s">
        <v>1832</v>
      </c>
      <c r="H332" s="8" t="s">
        <v>1833</v>
      </c>
      <c r="I332" s="8" t="s">
        <v>1209</v>
      </c>
      <c r="J332" s="8" t="s">
        <v>1204</v>
      </c>
      <c r="K332" s="8" t="s">
        <v>1099</v>
      </c>
      <c r="L332" s="10" t="s">
        <v>1210</v>
      </c>
      <c r="M332" s="10" t="s">
        <v>1211</v>
      </c>
      <c r="N332" s="10" t="s">
        <v>1188</v>
      </c>
      <c r="O332" s="8" t="s">
        <v>321</v>
      </c>
      <c r="P332" s="8"/>
      <c r="Q332" s="8">
        <v>1793</v>
      </c>
      <c r="R332" s="8">
        <v>252393</v>
      </c>
      <c r="S332" s="8" t="s">
        <v>331</v>
      </c>
      <c r="T332" s="8"/>
      <c r="U332" s="8" t="s">
        <v>331</v>
      </c>
      <c r="V332" s="8"/>
      <c r="W332" s="8"/>
      <c r="X332" s="8"/>
      <c r="Y332" s="8"/>
      <c r="Z332" s="10" t="s">
        <v>1569</v>
      </c>
      <c r="AA332" s="8" t="s">
        <v>331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1093</v>
      </c>
      <c r="E333" s="8" t="s">
        <v>128</v>
      </c>
      <c r="F333" s="8" t="s">
        <v>1834</v>
      </c>
      <c r="G333" s="8" t="s">
        <v>1290</v>
      </c>
      <c r="H333" s="8" t="s">
        <v>1347</v>
      </c>
      <c r="I333" s="8" t="s">
        <v>1209</v>
      </c>
      <c r="J333" s="8" t="s">
        <v>1204</v>
      </c>
      <c r="K333" s="8" t="s">
        <v>1099</v>
      </c>
      <c r="L333" s="10" t="s">
        <v>1210</v>
      </c>
      <c r="M333" s="10" t="s">
        <v>1211</v>
      </c>
      <c r="N333" s="10" t="s">
        <v>1188</v>
      </c>
      <c r="O333" s="8" t="s">
        <v>321</v>
      </c>
      <c r="P333" s="8"/>
      <c r="Q333" s="8">
        <v>1793</v>
      </c>
      <c r="R333" s="8">
        <v>252393</v>
      </c>
      <c r="S333" s="8" t="s">
        <v>331</v>
      </c>
      <c r="T333" s="8"/>
      <c r="U333" s="8" t="s">
        <v>331</v>
      </c>
      <c r="V333" s="8"/>
      <c r="W333" s="8"/>
      <c r="X333" s="8"/>
      <c r="Y333" s="8"/>
      <c r="Z333" s="10" t="s">
        <v>1835</v>
      </c>
      <c r="AA333" s="8" t="s">
        <v>331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1093</v>
      </c>
      <c r="E334" s="8" t="s">
        <v>128</v>
      </c>
      <c r="F334" s="8" t="s">
        <v>1836</v>
      </c>
      <c r="G334" s="8" t="s">
        <v>1682</v>
      </c>
      <c r="H334" s="8" t="s">
        <v>1837</v>
      </c>
      <c r="I334" s="8" t="s">
        <v>1209</v>
      </c>
      <c r="J334" s="8" t="s">
        <v>1204</v>
      </c>
      <c r="K334" s="8" t="s">
        <v>1099</v>
      </c>
      <c r="L334" s="10" t="s">
        <v>1210</v>
      </c>
      <c r="M334" s="10" t="s">
        <v>1211</v>
      </c>
      <c r="N334" s="10" t="s">
        <v>1188</v>
      </c>
      <c r="O334" s="8" t="s">
        <v>362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1838</v>
      </c>
      <c r="AA334" s="8" t="s">
        <v>331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1093</v>
      </c>
      <c r="E335" s="8" t="s">
        <v>128</v>
      </c>
      <c r="F335" s="8" t="s">
        <v>1803</v>
      </c>
      <c r="G335" s="8" t="s">
        <v>1729</v>
      </c>
      <c r="H335" s="8" t="s">
        <v>1518</v>
      </c>
      <c r="I335" s="8" t="s">
        <v>1213</v>
      </c>
      <c r="J335" s="8" t="s">
        <v>1214</v>
      </c>
      <c r="K335" s="8" t="s">
        <v>1099</v>
      </c>
      <c r="L335" s="10" t="s">
        <v>1123</v>
      </c>
      <c r="M335" s="10" t="s">
        <v>1124</v>
      </c>
      <c r="N335" s="10" t="s">
        <v>1215</v>
      </c>
      <c r="O335" s="8" t="s">
        <v>321</v>
      </c>
      <c r="P335" s="8"/>
      <c r="Q335" s="8"/>
      <c r="R335" s="8">
        <v>111270</v>
      </c>
      <c r="S335" s="8" t="s">
        <v>331</v>
      </c>
      <c r="T335" s="8"/>
      <c r="U335" s="8"/>
      <c r="V335" s="8"/>
      <c r="W335" s="8"/>
      <c r="X335" s="8"/>
      <c r="Y335" s="8"/>
      <c r="Z335" s="10" t="s">
        <v>1102</v>
      </c>
      <c r="AA335" s="8" t="s">
        <v>331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1093</v>
      </c>
      <c r="E336" s="8" t="s">
        <v>128</v>
      </c>
      <c r="F336" s="8" t="s">
        <v>1801</v>
      </c>
      <c r="G336" s="8" t="s">
        <v>1839</v>
      </c>
      <c r="H336" s="8" t="s">
        <v>1840</v>
      </c>
      <c r="I336" s="8" t="s">
        <v>1216</v>
      </c>
      <c r="J336" s="8" t="s">
        <v>1217</v>
      </c>
      <c r="K336" s="8" t="s">
        <v>1099</v>
      </c>
      <c r="L336" s="10" t="s">
        <v>1218</v>
      </c>
      <c r="M336" s="10" t="s">
        <v>1219</v>
      </c>
      <c r="N336" s="10" t="s">
        <v>1220</v>
      </c>
      <c r="O336" s="8" t="s">
        <v>1106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1106</v>
      </c>
      <c r="AA336" s="8" t="s">
        <v>331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1093</v>
      </c>
      <c r="E337" s="8" t="s">
        <v>128</v>
      </c>
      <c r="F337" s="8" t="s">
        <v>1801</v>
      </c>
      <c r="G337" s="8" t="s">
        <v>1816</v>
      </c>
      <c r="H337" s="8" t="s">
        <v>1567</v>
      </c>
      <c r="I337" s="8" t="s">
        <v>1223</v>
      </c>
      <c r="J337" s="8" t="s">
        <v>1217</v>
      </c>
      <c r="K337" s="8" t="s">
        <v>1099</v>
      </c>
      <c r="L337" s="10" t="s">
        <v>1224</v>
      </c>
      <c r="M337" s="10" t="s">
        <v>1225</v>
      </c>
      <c r="N337" s="10" t="s">
        <v>1226</v>
      </c>
      <c r="O337" s="8" t="s">
        <v>1106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1106</v>
      </c>
      <c r="AA337" s="8" t="s">
        <v>331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1093</v>
      </c>
      <c r="E338" s="8" t="s">
        <v>128</v>
      </c>
      <c r="F338" s="8" t="s">
        <v>1801</v>
      </c>
      <c r="G338" s="8" t="s">
        <v>1155</v>
      </c>
      <c r="H338" s="8" t="s">
        <v>1841</v>
      </c>
      <c r="I338" s="8" t="s">
        <v>1229</v>
      </c>
      <c r="J338" s="8" t="s">
        <v>1217</v>
      </c>
      <c r="K338" s="8" t="s">
        <v>1099</v>
      </c>
      <c r="L338" s="10" t="s">
        <v>1230</v>
      </c>
      <c r="M338" s="10" t="s">
        <v>1231</v>
      </c>
      <c r="N338" s="10" t="s">
        <v>128</v>
      </c>
      <c r="O338" s="8" t="s">
        <v>1106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1106</v>
      </c>
      <c r="AA338" s="8" t="s">
        <v>331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1093</v>
      </c>
      <c r="E339" s="8" t="s">
        <v>128</v>
      </c>
      <c r="F339" s="8" t="s">
        <v>1822</v>
      </c>
      <c r="G339" s="8" t="s">
        <v>1842</v>
      </c>
      <c r="H339" s="8" t="s">
        <v>1843</v>
      </c>
      <c r="I339" s="8" t="s">
        <v>1243</v>
      </c>
      <c r="J339" s="8" t="s">
        <v>1244</v>
      </c>
      <c r="K339" s="8" t="s">
        <v>1099</v>
      </c>
      <c r="L339" s="10" t="s">
        <v>1236</v>
      </c>
      <c r="M339" s="10" t="s">
        <v>1237</v>
      </c>
      <c r="N339" s="10" t="s">
        <v>1238</v>
      </c>
      <c r="O339" s="8" t="s">
        <v>321</v>
      </c>
      <c r="P339" s="8"/>
      <c r="Q339" s="8">
        <v>250</v>
      </c>
      <c r="R339" s="8">
        <v>10568</v>
      </c>
      <c r="S339" s="8" t="s">
        <v>331</v>
      </c>
      <c r="T339" s="8"/>
      <c r="U339" s="8"/>
      <c r="V339" s="8"/>
      <c r="W339" s="8"/>
      <c r="X339" s="8"/>
      <c r="Y339" s="8"/>
      <c r="Z339" s="10" t="s">
        <v>1102</v>
      </c>
      <c r="AA339" s="8" t="s">
        <v>331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1093</v>
      </c>
      <c r="E340" s="8" t="s">
        <v>128</v>
      </c>
      <c r="F340" s="8" t="s">
        <v>1809</v>
      </c>
      <c r="G340" s="8" t="s">
        <v>1570</v>
      </c>
      <c r="H340" s="8" t="s">
        <v>1844</v>
      </c>
      <c r="I340" s="8" t="s">
        <v>1724</v>
      </c>
      <c r="J340" s="8" t="s">
        <v>1725</v>
      </c>
      <c r="K340" s="8" t="s">
        <v>1099</v>
      </c>
      <c r="L340" s="10" t="s">
        <v>1249</v>
      </c>
      <c r="M340" s="10" t="s">
        <v>1250</v>
      </c>
      <c r="N340" s="10"/>
      <c r="O340" s="8" t="s">
        <v>321</v>
      </c>
      <c r="P340" s="8"/>
      <c r="Q340" s="8"/>
      <c r="R340" s="8">
        <v>8543</v>
      </c>
      <c r="S340" s="8" t="s">
        <v>331</v>
      </c>
      <c r="T340" s="8"/>
      <c r="U340" s="8"/>
      <c r="V340" s="8"/>
      <c r="W340" s="8"/>
      <c r="X340" s="8"/>
      <c r="Y340" s="8"/>
      <c r="Z340" s="10" t="s">
        <v>1102</v>
      </c>
      <c r="AA340" s="8" t="s">
        <v>331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1093</v>
      </c>
      <c r="E341" s="8" t="s">
        <v>128</v>
      </c>
      <c r="F341" s="8" t="s">
        <v>1822</v>
      </c>
      <c r="G341" s="8" t="s">
        <v>1550</v>
      </c>
      <c r="H341" s="8" t="s">
        <v>1845</v>
      </c>
      <c r="I341" s="8" t="s">
        <v>1251</v>
      </c>
      <c r="J341" s="8" t="s">
        <v>1252</v>
      </c>
      <c r="K341" s="8" t="s">
        <v>1099</v>
      </c>
      <c r="L341" s="10" t="s">
        <v>1236</v>
      </c>
      <c r="M341" s="10" t="s">
        <v>1237</v>
      </c>
      <c r="N341" s="10" t="s">
        <v>1253</v>
      </c>
      <c r="O341" s="8" t="s">
        <v>321</v>
      </c>
      <c r="P341" s="8"/>
      <c r="Q341" s="8"/>
      <c r="R341" s="8">
        <v>101049</v>
      </c>
      <c r="S341" s="8" t="s">
        <v>331</v>
      </c>
      <c r="T341" s="8"/>
      <c r="U341" s="8"/>
      <c r="V341" s="8"/>
      <c r="W341" s="8"/>
      <c r="X341" s="8"/>
      <c r="Y341" s="8"/>
      <c r="Z341" s="10" t="s">
        <v>1102</v>
      </c>
      <c r="AA341" s="8" t="s">
        <v>331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1093</v>
      </c>
      <c r="E342" s="8" t="s">
        <v>128</v>
      </c>
      <c r="F342" s="8" t="s">
        <v>1822</v>
      </c>
      <c r="G342" s="8" t="s">
        <v>1842</v>
      </c>
      <c r="H342" s="8" t="s">
        <v>1843</v>
      </c>
      <c r="I342" s="8" t="s">
        <v>1256</v>
      </c>
      <c r="J342" s="8" t="s">
        <v>1252</v>
      </c>
      <c r="K342" s="8" t="s">
        <v>1099</v>
      </c>
      <c r="L342" s="10" t="s">
        <v>1236</v>
      </c>
      <c r="M342" s="10" t="s">
        <v>1237</v>
      </c>
      <c r="N342" s="10" t="s">
        <v>1257</v>
      </c>
      <c r="O342" s="8" t="s">
        <v>1106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1102</v>
      </c>
      <c r="AA342" s="8" t="s">
        <v>331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1093</v>
      </c>
      <c r="E343" s="8" t="s">
        <v>123</v>
      </c>
      <c r="F343" s="8" t="s">
        <v>1846</v>
      </c>
      <c r="G343" s="8" t="s">
        <v>1303</v>
      </c>
      <c r="H343" s="8" t="s">
        <v>1347</v>
      </c>
      <c r="I343" s="8" t="s">
        <v>1267</v>
      </c>
      <c r="J343" s="8" t="s">
        <v>1111</v>
      </c>
      <c r="K343" s="8" t="s">
        <v>1099</v>
      </c>
      <c r="L343" s="10" t="s">
        <v>1268</v>
      </c>
      <c r="M343" s="10" t="s">
        <v>1269</v>
      </c>
      <c r="N343" s="10" t="s">
        <v>1584</v>
      </c>
      <c r="O343" s="8" t="s">
        <v>362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1847</v>
      </c>
      <c r="AA343" s="8" t="s">
        <v>331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1093</v>
      </c>
      <c r="E344" s="8" t="s">
        <v>123</v>
      </c>
      <c r="F344" s="8" t="s">
        <v>1848</v>
      </c>
      <c r="G344" s="8" t="s">
        <v>1284</v>
      </c>
      <c r="H344" s="8" t="s">
        <v>1166</v>
      </c>
      <c r="I344" s="8" t="s">
        <v>1267</v>
      </c>
      <c r="J344" s="8" t="s">
        <v>1111</v>
      </c>
      <c r="K344" s="8" t="s">
        <v>1099</v>
      </c>
      <c r="L344" s="10" t="s">
        <v>1268</v>
      </c>
      <c r="M344" s="10" t="s">
        <v>1269</v>
      </c>
      <c r="N344" s="10" t="s">
        <v>1584</v>
      </c>
      <c r="O344" s="8" t="s">
        <v>321</v>
      </c>
      <c r="P344" s="8"/>
      <c r="Q344" s="8">
        <v>8374</v>
      </c>
      <c r="R344" s="8">
        <v>60127</v>
      </c>
      <c r="S344" s="8" t="s">
        <v>331</v>
      </c>
      <c r="T344" s="8"/>
      <c r="U344" s="8"/>
      <c r="V344" s="8"/>
      <c r="W344" s="8"/>
      <c r="X344" s="8"/>
      <c r="Y344" s="8"/>
      <c r="Z344" s="10" t="s">
        <v>1613</v>
      </c>
      <c r="AA344" s="8" t="s">
        <v>331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1093</v>
      </c>
      <c r="E345" s="8" t="s">
        <v>123</v>
      </c>
      <c r="F345" s="8" t="s">
        <v>1849</v>
      </c>
      <c r="G345" s="8" t="s">
        <v>1279</v>
      </c>
      <c r="H345" s="8" t="s">
        <v>1149</v>
      </c>
      <c r="I345" s="8" t="s">
        <v>1274</v>
      </c>
      <c r="J345" s="8" t="s">
        <v>1111</v>
      </c>
      <c r="K345" s="8" t="s">
        <v>1099</v>
      </c>
      <c r="L345" s="10" t="s">
        <v>1275</v>
      </c>
      <c r="M345" s="10" t="s">
        <v>1276</v>
      </c>
      <c r="N345" s="10" t="s">
        <v>1277</v>
      </c>
      <c r="O345" s="8" t="s">
        <v>321</v>
      </c>
      <c r="P345" s="8"/>
      <c r="Q345" s="8">
        <v>18172</v>
      </c>
      <c r="R345" s="8">
        <v>79569</v>
      </c>
      <c r="S345" s="8" t="s">
        <v>331</v>
      </c>
      <c r="T345" s="8"/>
      <c r="U345" s="8"/>
      <c r="V345" s="8"/>
      <c r="W345" s="8"/>
      <c r="X345" s="8"/>
      <c r="Y345" s="8"/>
      <c r="Z345" s="10" t="s">
        <v>1613</v>
      </c>
      <c r="AA345" s="8" t="s">
        <v>331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1093</v>
      </c>
      <c r="E346" s="8" t="s">
        <v>123</v>
      </c>
      <c r="F346" s="8" t="s">
        <v>1848</v>
      </c>
      <c r="G346" s="8" t="s">
        <v>1166</v>
      </c>
      <c r="H346" s="8" t="s">
        <v>1120</v>
      </c>
      <c r="I346" s="8" t="s">
        <v>1281</v>
      </c>
      <c r="J346" s="8" t="s">
        <v>1111</v>
      </c>
      <c r="K346" s="8" t="s">
        <v>1099</v>
      </c>
      <c r="L346" s="10" t="s">
        <v>1282</v>
      </c>
      <c r="M346" s="10" t="s">
        <v>1283</v>
      </c>
      <c r="N346" s="10"/>
      <c r="O346" s="8" t="s">
        <v>321</v>
      </c>
      <c r="P346" s="8"/>
      <c r="Q346" s="8">
        <v>1850</v>
      </c>
      <c r="R346" s="8">
        <v>37000</v>
      </c>
      <c r="S346" s="8" t="s">
        <v>331</v>
      </c>
      <c r="T346" s="8"/>
      <c r="U346" s="8"/>
      <c r="V346" s="8"/>
      <c r="W346" s="8"/>
      <c r="X346" s="8"/>
      <c r="Y346" s="8"/>
      <c r="Z346" s="10" t="s">
        <v>1613</v>
      </c>
      <c r="AA346" s="8" t="s">
        <v>331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1093</v>
      </c>
      <c r="E347" s="8" t="s">
        <v>123</v>
      </c>
      <c r="F347" s="8" t="s">
        <v>1801</v>
      </c>
      <c r="G347" s="8" t="s">
        <v>1196</v>
      </c>
      <c r="H347" s="8" t="s">
        <v>1279</v>
      </c>
      <c r="I347" s="8" t="s">
        <v>1286</v>
      </c>
      <c r="J347" s="8" t="s">
        <v>1111</v>
      </c>
      <c r="K347" s="8" t="s">
        <v>1099</v>
      </c>
      <c r="L347" s="10" t="s">
        <v>1287</v>
      </c>
      <c r="M347" s="10" t="s">
        <v>1288</v>
      </c>
      <c r="N347" s="10" t="s">
        <v>1289</v>
      </c>
      <c r="O347" s="8" t="s">
        <v>1106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1613</v>
      </c>
      <c r="AA347" s="8" t="s">
        <v>331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1093</v>
      </c>
      <c r="E348" s="8" t="s">
        <v>123</v>
      </c>
      <c r="F348" s="8" t="s">
        <v>1834</v>
      </c>
      <c r="G348" s="8" t="s">
        <v>1302</v>
      </c>
      <c r="H348" s="8" t="s">
        <v>1303</v>
      </c>
      <c r="I348" s="8" t="s">
        <v>1286</v>
      </c>
      <c r="J348" s="8" t="s">
        <v>1111</v>
      </c>
      <c r="K348" s="8" t="s">
        <v>1099</v>
      </c>
      <c r="L348" s="10" t="s">
        <v>1287</v>
      </c>
      <c r="M348" s="10" t="s">
        <v>1288</v>
      </c>
      <c r="N348" s="10" t="s">
        <v>1289</v>
      </c>
      <c r="O348" s="8" t="s">
        <v>362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1850</v>
      </c>
      <c r="AA348" s="8" t="s">
        <v>331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1093</v>
      </c>
      <c r="E349" s="8" t="s">
        <v>123</v>
      </c>
      <c r="F349" s="8" t="s">
        <v>1851</v>
      </c>
      <c r="G349" s="8" t="s">
        <v>1302</v>
      </c>
      <c r="H349" s="8" t="s">
        <v>1303</v>
      </c>
      <c r="I349" s="8" t="s">
        <v>1286</v>
      </c>
      <c r="J349" s="8" t="s">
        <v>1111</v>
      </c>
      <c r="K349" s="8" t="s">
        <v>1099</v>
      </c>
      <c r="L349" s="10" t="s">
        <v>1287</v>
      </c>
      <c r="M349" s="10" t="s">
        <v>1288</v>
      </c>
      <c r="N349" s="10" t="s">
        <v>1289</v>
      </c>
      <c r="O349" s="8" t="s">
        <v>321</v>
      </c>
      <c r="P349" s="8"/>
      <c r="Q349" s="8">
        <v>13874</v>
      </c>
      <c r="R349" s="8">
        <v>124688</v>
      </c>
      <c r="S349" s="8"/>
      <c r="T349" s="8"/>
      <c r="U349" s="8" t="s">
        <v>331</v>
      </c>
      <c r="V349" s="8"/>
      <c r="W349" s="8"/>
      <c r="X349" s="8"/>
      <c r="Y349" s="8" t="s">
        <v>331</v>
      </c>
      <c r="Z349" s="10" t="s">
        <v>1852</v>
      </c>
      <c r="AA349" s="8" t="s">
        <v>331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1093</v>
      </c>
      <c r="E350" s="8" t="s">
        <v>123</v>
      </c>
      <c r="F350" s="8" t="s">
        <v>1809</v>
      </c>
      <c r="G350" s="8" t="s">
        <v>1149</v>
      </c>
      <c r="H350" s="8" t="s">
        <v>1297</v>
      </c>
      <c r="I350" s="8" t="s">
        <v>1853</v>
      </c>
      <c r="J350" s="8" t="s">
        <v>1111</v>
      </c>
      <c r="K350" s="8" t="s">
        <v>1099</v>
      </c>
      <c r="L350" s="10" t="s">
        <v>1293</v>
      </c>
      <c r="M350" s="10" t="s">
        <v>1854</v>
      </c>
      <c r="N350" s="10" t="s">
        <v>1855</v>
      </c>
      <c r="O350" s="8" t="s">
        <v>1106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1613</v>
      </c>
      <c r="AA350" s="8" t="s">
        <v>331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1093</v>
      </c>
      <c r="E351" s="8" t="s">
        <v>123</v>
      </c>
      <c r="F351" s="8" t="s">
        <v>1846</v>
      </c>
      <c r="G351" s="8" t="s">
        <v>1284</v>
      </c>
      <c r="H351" s="8" t="s">
        <v>1302</v>
      </c>
      <c r="I351" s="8" t="s">
        <v>1592</v>
      </c>
      <c r="J351" s="8" t="s">
        <v>1111</v>
      </c>
      <c r="K351" s="8" t="s">
        <v>1099</v>
      </c>
      <c r="L351" s="10" t="s">
        <v>1293</v>
      </c>
      <c r="M351" s="10" t="s">
        <v>1593</v>
      </c>
      <c r="N351" s="10" t="s">
        <v>1594</v>
      </c>
      <c r="O351" s="8" t="s">
        <v>362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1856</v>
      </c>
      <c r="AA351" s="8" t="s">
        <v>331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1093</v>
      </c>
      <c r="E352" s="8" t="s">
        <v>123</v>
      </c>
      <c r="F352" s="8" t="s">
        <v>1821</v>
      </c>
      <c r="G352" s="8" t="s">
        <v>1279</v>
      </c>
      <c r="H352" s="8" t="s">
        <v>1149</v>
      </c>
      <c r="I352" s="8" t="s">
        <v>1298</v>
      </c>
      <c r="J352" s="8" t="s">
        <v>1140</v>
      </c>
      <c r="K352" s="8" t="s">
        <v>1099</v>
      </c>
      <c r="L352" s="10" t="s">
        <v>1299</v>
      </c>
      <c r="M352" s="10" t="s">
        <v>1300</v>
      </c>
      <c r="N352" s="10" t="s">
        <v>1301</v>
      </c>
      <c r="O352" s="8" t="s">
        <v>321</v>
      </c>
      <c r="P352" s="8">
        <v>5840</v>
      </c>
      <c r="Q352" s="8">
        <v>13201</v>
      </c>
      <c r="R352" s="8">
        <v>17666</v>
      </c>
      <c r="S352" s="8" t="s">
        <v>331</v>
      </c>
      <c r="T352" s="8"/>
      <c r="U352" s="8"/>
      <c r="V352" s="8"/>
      <c r="W352" s="8"/>
      <c r="X352" s="8"/>
      <c r="Y352" s="8"/>
      <c r="Z352" s="10" t="s">
        <v>1613</v>
      </c>
      <c r="AA352" s="8" t="s">
        <v>331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1093</v>
      </c>
      <c r="E353" s="8" t="s">
        <v>123</v>
      </c>
      <c r="F353" s="8" t="s">
        <v>1821</v>
      </c>
      <c r="G353" s="8" t="s">
        <v>1196</v>
      </c>
      <c r="H353" s="8" t="s">
        <v>1279</v>
      </c>
      <c r="I353" s="8" t="s">
        <v>1600</v>
      </c>
      <c r="J353" s="8" t="s">
        <v>1140</v>
      </c>
      <c r="K353" s="8" t="s">
        <v>1099</v>
      </c>
      <c r="L353" s="10" t="s">
        <v>1299</v>
      </c>
      <c r="M353" s="10" t="s">
        <v>1601</v>
      </c>
      <c r="N353" s="10" t="s">
        <v>1602</v>
      </c>
      <c r="O353" s="8" t="s">
        <v>321</v>
      </c>
      <c r="P353" s="8">
        <v>408</v>
      </c>
      <c r="Q353" s="8">
        <v>613</v>
      </c>
      <c r="R353" s="8">
        <v>3482</v>
      </c>
      <c r="S353" s="8" t="s">
        <v>331</v>
      </c>
      <c r="T353" s="8"/>
      <c r="U353" s="8"/>
      <c r="V353" s="8"/>
      <c r="W353" s="8"/>
      <c r="X353" s="8"/>
      <c r="Y353" s="8"/>
      <c r="Z353" s="10" t="s">
        <v>1613</v>
      </c>
      <c r="AA353" s="8" t="s">
        <v>331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1093</v>
      </c>
      <c r="E354" s="8" t="s">
        <v>123</v>
      </c>
      <c r="F354" s="8" t="s">
        <v>1803</v>
      </c>
      <c r="G354" s="8" t="s">
        <v>1266</v>
      </c>
      <c r="H354" s="8" t="s">
        <v>1196</v>
      </c>
      <c r="I354" s="8" t="s">
        <v>1606</v>
      </c>
      <c r="J354" s="8" t="s">
        <v>1140</v>
      </c>
      <c r="K354" s="8" t="s">
        <v>1099</v>
      </c>
      <c r="L354" s="10" t="s">
        <v>1260</v>
      </c>
      <c r="M354" s="10" t="s">
        <v>1261</v>
      </c>
      <c r="N354" s="10" t="s">
        <v>1413</v>
      </c>
      <c r="O354" s="8" t="s">
        <v>321</v>
      </c>
      <c r="P354" s="8"/>
      <c r="Q354" s="8">
        <v>300</v>
      </c>
      <c r="R354" s="8">
        <v>4500</v>
      </c>
      <c r="S354" s="8" t="s">
        <v>331</v>
      </c>
      <c r="T354" s="8"/>
      <c r="U354" s="8"/>
      <c r="V354" s="8"/>
      <c r="W354" s="8"/>
      <c r="X354" s="8"/>
      <c r="Y354" s="8"/>
      <c r="Z354" s="10" t="s">
        <v>1613</v>
      </c>
      <c r="AA354" s="8" t="s">
        <v>331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1093</v>
      </c>
      <c r="E355" s="8" t="s">
        <v>123</v>
      </c>
      <c r="F355" s="8" t="s">
        <v>1801</v>
      </c>
      <c r="G355" s="8" t="s">
        <v>1284</v>
      </c>
      <c r="H355" s="8" t="s">
        <v>1303</v>
      </c>
      <c r="I355" s="8" t="s">
        <v>1857</v>
      </c>
      <c r="J355" s="8" t="s">
        <v>1140</v>
      </c>
      <c r="K355" s="8" t="s">
        <v>1099</v>
      </c>
      <c r="L355" s="10" t="s">
        <v>1299</v>
      </c>
      <c r="M355" s="10" t="s">
        <v>1858</v>
      </c>
      <c r="N355" s="10" t="s">
        <v>1859</v>
      </c>
      <c r="O355" s="8" t="s">
        <v>321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331</v>
      </c>
      <c r="Z355" s="10" t="s">
        <v>1407</v>
      </c>
      <c r="AA355" s="8" t="s">
        <v>331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1093</v>
      </c>
      <c r="E356" s="8" t="s">
        <v>123</v>
      </c>
      <c r="F356" s="8" t="s">
        <v>1822</v>
      </c>
      <c r="G356" s="8" t="s">
        <v>1196</v>
      </c>
      <c r="H356" s="8" t="s">
        <v>1149</v>
      </c>
      <c r="I356" s="8" t="s">
        <v>1857</v>
      </c>
      <c r="J356" s="8" t="s">
        <v>1140</v>
      </c>
      <c r="K356" s="8" t="s">
        <v>1099</v>
      </c>
      <c r="L356" s="10" t="s">
        <v>1299</v>
      </c>
      <c r="M356" s="10" t="s">
        <v>1858</v>
      </c>
      <c r="N356" s="10" t="s">
        <v>1859</v>
      </c>
      <c r="O356" s="8" t="s">
        <v>321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331</v>
      </c>
      <c r="Z356" s="10" t="s">
        <v>1860</v>
      </c>
      <c r="AA356" s="8" t="s">
        <v>331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1093</v>
      </c>
      <c r="E357" s="8" t="s">
        <v>123</v>
      </c>
      <c r="F357" s="8" t="s">
        <v>1821</v>
      </c>
      <c r="G357" s="8" t="s">
        <v>1120</v>
      </c>
      <c r="H357" s="8" t="s">
        <v>1627</v>
      </c>
      <c r="I357" s="8" t="s">
        <v>1861</v>
      </c>
      <c r="J357" s="8" t="s">
        <v>1169</v>
      </c>
      <c r="K357" s="8" t="s">
        <v>1099</v>
      </c>
      <c r="L357" s="10" t="s">
        <v>1170</v>
      </c>
      <c r="M357" s="10" t="s">
        <v>1862</v>
      </c>
      <c r="N357" s="10" t="s">
        <v>1863</v>
      </c>
      <c r="O357" s="8" t="s">
        <v>321</v>
      </c>
      <c r="P357" s="8"/>
      <c r="Q357" s="8"/>
      <c r="R357" s="8">
        <v>57483</v>
      </c>
      <c r="S357" s="8"/>
      <c r="T357" s="8"/>
      <c r="U357" s="8" t="s">
        <v>331</v>
      </c>
      <c r="V357" s="8"/>
      <c r="W357" s="8"/>
      <c r="X357" s="8"/>
      <c r="Y357" s="8"/>
      <c r="Z357" s="10" t="s">
        <v>1278</v>
      </c>
      <c r="AA357" s="8" t="s">
        <v>331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1093</v>
      </c>
      <c r="E358" s="8" t="s">
        <v>123</v>
      </c>
      <c r="F358" s="8" t="s">
        <v>1864</v>
      </c>
      <c r="G358" s="8" t="s">
        <v>1302</v>
      </c>
      <c r="H358" s="8" t="s">
        <v>1579</v>
      </c>
      <c r="I358" s="8" t="s">
        <v>1861</v>
      </c>
      <c r="J358" s="8" t="s">
        <v>1169</v>
      </c>
      <c r="K358" s="8" t="s">
        <v>1099</v>
      </c>
      <c r="L358" s="10" t="s">
        <v>1170</v>
      </c>
      <c r="M358" s="10" t="s">
        <v>1862</v>
      </c>
      <c r="N358" s="10" t="s">
        <v>1863</v>
      </c>
      <c r="O358" s="8" t="s">
        <v>362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1865</v>
      </c>
      <c r="AA358" s="8" t="s">
        <v>331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1093</v>
      </c>
      <c r="E359" s="8" t="s">
        <v>123</v>
      </c>
      <c r="F359" s="8" t="s">
        <v>1849</v>
      </c>
      <c r="G359" s="8" t="s">
        <v>1341</v>
      </c>
      <c r="H359" s="8" t="s">
        <v>1512</v>
      </c>
      <c r="I359" s="8" t="s">
        <v>1861</v>
      </c>
      <c r="J359" s="8" t="s">
        <v>1169</v>
      </c>
      <c r="K359" s="8" t="s">
        <v>1099</v>
      </c>
      <c r="L359" s="10" t="s">
        <v>1170</v>
      </c>
      <c r="M359" s="10" t="s">
        <v>1862</v>
      </c>
      <c r="N359" s="10" t="s">
        <v>1863</v>
      </c>
      <c r="O359" s="8" t="s">
        <v>321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331</v>
      </c>
      <c r="Z359" s="10" t="s">
        <v>1866</v>
      </c>
      <c r="AA359" s="8" t="s">
        <v>331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1093</v>
      </c>
      <c r="E360" s="8" t="s">
        <v>123</v>
      </c>
      <c r="F360" s="8" t="s">
        <v>1864</v>
      </c>
      <c r="G360" s="8" t="s">
        <v>1266</v>
      </c>
      <c r="H360" s="8" t="s">
        <v>1867</v>
      </c>
      <c r="I360" s="8" t="s">
        <v>1313</v>
      </c>
      <c r="J360" s="8" t="s">
        <v>1169</v>
      </c>
      <c r="K360" s="8" t="s">
        <v>1099</v>
      </c>
      <c r="L360" s="10" t="s">
        <v>1314</v>
      </c>
      <c r="M360" s="10" t="s">
        <v>1315</v>
      </c>
      <c r="N360" s="10" t="s">
        <v>1316</v>
      </c>
      <c r="O360" s="8" t="s">
        <v>321</v>
      </c>
      <c r="P360" s="8"/>
      <c r="Q360" s="8"/>
      <c r="R360" s="8">
        <v>379298</v>
      </c>
      <c r="S360" s="8" t="s">
        <v>331</v>
      </c>
      <c r="T360" s="8"/>
      <c r="U360" s="8"/>
      <c r="V360" s="8"/>
      <c r="W360" s="8"/>
      <c r="X360" s="8"/>
      <c r="Y360" s="8"/>
      <c r="Z360" s="10" t="s">
        <v>1613</v>
      </c>
      <c r="AA360" s="8" t="s">
        <v>331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1093</v>
      </c>
      <c r="E361" s="8" t="s">
        <v>123</v>
      </c>
      <c r="F361" s="8" t="s">
        <v>1849</v>
      </c>
      <c r="G361" s="8" t="s">
        <v>1512</v>
      </c>
      <c r="H361" s="8" t="s">
        <v>1673</v>
      </c>
      <c r="I361" s="8" t="s">
        <v>1313</v>
      </c>
      <c r="J361" s="8" t="s">
        <v>1169</v>
      </c>
      <c r="K361" s="8" t="s">
        <v>1099</v>
      </c>
      <c r="L361" s="10" t="s">
        <v>1314</v>
      </c>
      <c r="M361" s="10" t="s">
        <v>1315</v>
      </c>
      <c r="N361" s="10" t="s">
        <v>1316</v>
      </c>
      <c r="O361" s="8" t="s">
        <v>321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331</v>
      </c>
      <c r="Z361" s="10" t="s">
        <v>1868</v>
      </c>
      <c r="AA361" s="8" t="s">
        <v>331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1093</v>
      </c>
      <c r="E362" s="8" t="s">
        <v>123</v>
      </c>
      <c r="F362" s="8" t="s">
        <v>1800</v>
      </c>
      <c r="G362" s="8" t="s">
        <v>1266</v>
      </c>
      <c r="H362" s="8" t="s">
        <v>1869</v>
      </c>
      <c r="I362" s="8" t="s">
        <v>1313</v>
      </c>
      <c r="J362" s="8" t="s">
        <v>1169</v>
      </c>
      <c r="K362" s="8" t="s">
        <v>1099</v>
      </c>
      <c r="L362" s="10" t="s">
        <v>1314</v>
      </c>
      <c r="M362" s="10" t="s">
        <v>1315</v>
      </c>
      <c r="N362" s="10" t="s">
        <v>1316</v>
      </c>
      <c r="O362" s="8" t="s">
        <v>321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331</v>
      </c>
      <c r="Z362" s="10" t="s">
        <v>1870</v>
      </c>
      <c r="AA362" s="8" t="s">
        <v>331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1093</v>
      </c>
      <c r="E363" s="8" t="s">
        <v>123</v>
      </c>
      <c r="F363" s="8" t="s">
        <v>1864</v>
      </c>
      <c r="G363" s="8" t="s">
        <v>1148</v>
      </c>
      <c r="H363" s="8" t="s">
        <v>1149</v>
      </c>
      <c r="I363" s="8" t="s">
        <v>1320</v>
      </c>
      <c r="J363" s="8" t="s">
        <v>1169</v>
      </c>
      <c r="K363" s="8" t="s">
        <v>1099</v>
      </c>
      <c r="L363" s="10" t="s">
        <v>1314</v>
      </c>
      <c r="M363" s="10" t="s">
        <v>1321</v>
      </c>
      <c r="N363" s="10" t="s">
        <v>1322</v>
      </c>
      <c r="O363" s="8" t="s">
        <v>321</v>
      </c>
      <c r="P363" s="8"/>
      <c r="Q363" s="8"/>
      <c r="R363" s="8">
        <v>162858</v>
      </c>
      <c r="S363" s="8" t="s">
        <v>331</v>
      </c>
      <c r="T363" s="8"/>
      <c r="U363" s="8"/>
      <c r="V363" s="8"/>
      <c r="W363" s="8"/>
      <c r="X363" s="8"/>
      <c r="Y363" s="8"/>
      <c r="Z363" s="10" t="s">
        <v>1613</v>
      </c>
      <c r="AA363" s="8" t="s">
        <v>331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1093</v>
      </c>
      <c r="E364" s="8" t="s">
        <v>123</v>
      </c>
      <c r="F364" s="8" t="s">
        <v>1871</v>
      </c>
      <c r="G364" s="8" t="s">
        <v>1166</v>
      </c>
      <c r="H364" s="8" t="s">
        <v>1120</v>
      </c>
      <c r="I364" s="8" t="s">
        <v>1324</v>
      </c>
      <c r="J364" s="8" t="s">
        <v>1169</v>
      </c>
      <c r="K364" s="8" t="s">
        <v>1099</v>
      </c>
      <c r="L364" s="10" t="s">
        <v>1325</v>
      </c>
      <c r="M364" s="10" t="s">
        <v>1326</v>
      </c>
      <c r="N364" s="10"/>
      <c r="O364" s="8" t="s">
        <v>321</v>
      </c>
      <c r="P364" s="8"/>
      <c r="Q364" s="8"/>
      <c r="R364" s="8">
        <v>309739</v>
      </c>
      <c r="S364" s="8" t="s">
        <v>331</v>
      </c>
      <c r="T364" s="8"/>
      <c r="U364" s="8"/>
      <c r="V364" s="8"/>
      <c r="W364" s="8"/>
      <c r="X364" s="8"/>
      <c r="Y364" s="8"/>
      <c r="Z364" s="10" t="s">
        <v>1738</v>
      </c>
      <c r="AA364" s="8" t="s">
        <v>331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1093</v>
      </c>
      <c r="E365" s="8" t="s">
        <v>123</v>
      </c>
      <c r="F365" s="8" t="s">
        <v>1871</v>
      </c>
      <c r="G365" s="8" t="s">
        <v>1302</v>
      </c>
      <c r="H365" s="8" t="s">
        <v>1342</v>
      </c>
      <c r="I365" s="8" t="s">
        <v>1324</v>
      </c>
      <c r="J365" s="8" t="s">
        <v>1169</v>
      </c>
      <c r="K365" s="8" t="s">
        <v>1099</v>
      </c>
      <c r="L365" s="10" t="s">
        <v>1325</v>
      </c>
      <c r="M365" s="10" t="s">
        <v>1326</v>
      </c>
      <c r="N365" s="10"/>
      <c r="O365" s="8" t="s">
        <v>321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331</v>
      </c>
      <c r="Z365" s="10" t="s">
        <v>1433</v>
      </c>
      <c r="AA365" s="8" t="s">
        <v>331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1093</v>
      </c>
      <c r="E366" s="8" t="s">
        <v>123</v>
      </c>
      <c r="F366" s="8" t="s">
        <v>1822</v>
      </c>
      <c r="G366" s="8" t="s">
        <v>1342</v>
      </c>
      <c r="H366" s="8" t="s">
        <v>1703</v>
      </c>
      <c r="I366" s="8" t="s">
        <v>1329</v>
      </c>
      <c r="J366" s="8" t="s">
        <v>1169</v>
      </c>
      <c r="K366" s="8" t="s">
        <v>1099</v>
      </c>
      <c r="L366" s="10" t="s">
        <v>1330</v>
      </c>
      <c r="M366" s="10" t="s">
        <v>1331</v>
      </c>
      <c r="N366" s="10"/>
      <c r="O366" s="8" t="s">
        <v>1106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1613</v>
      </c>
      <c r="AA366" s="8" t="s">
        <v>331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1093</v>
      </c>
      <c r="E367" s="8" t="s">
        <v>123</v>
      </c>
      <c r="F367" s="8" t="s">
        <v>1872</v>
      </c>
      <c r="G367" s="8" t="s">
        <v>1120</v>
      </c>
      <c r="H367" s="8" t="s">
        <v>1121</v>
      </c>
      <c r="I367" s="8" t="s">
        <v>1334</v>
      </c>
      <c r="J367" s="8" t="s">
        <v>1169</v>
      </c>
      <c r="K367" s="8" t="s">
        <v>1099</v>
      </c>
      <c r="L367" s="10" t="s">
        <v>1170</v>
      </c>
      <c r="M367" s="10" t="s">
        <v>1335</v>
      </c>
      <c r="N367" s="10" t="s">
        <v>1336</v>
      </c>
      <c r="O367" s="8" t="s">
        <v>362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1873</v>
      </c>
      <c r="AA367" s="8" t="s">
        <v>331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1093</v>
      </c>
      <c r="E368" s="8" t="s">
        <v>123</v>
      </c>
      <c r="F368" s="8" t="s">
        <v>1871</v>
      </c>
      <c r="G368" s="8" t="s">
        <v>1297</v>
      </c>
      <c r="H368" s="8" t="s">
        <v>1273</v>
      </c>
      <c r="I368" s="8" t="s">
        <v>1334</v>
      </c>
      <c r="J368" s="8" t="s">
        <v>1169</v>
      </c>
      <c r="K368" s="8" t="s">
        <v>1099</v>
      </c>
      <c r="L368" s="10" t="s">
        <v>1170</v>
      </c>
      <c r="M368" s="10" t="s">
        <v>1335</v>
      </c>
      <c r="N368" s="10" t="s">
        <v>1336</v>
      </c>
      <c r="O368" s="8" t="s">
        <v>321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331</v>
      </c>
      <c r="Z368" s="10" t="s">
        <v>1874</v>
      </c>
      <c r="AA368" s="8" t="s">
        <v>331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1093</v>
      </c>
      <c r="E369" s="8" t="s">
        <v>123</v>
      </c>
      <c r="F369" s="8" t="s">
        <v>1822</v>
      </c>
      <c r="G369" s="8" t="s">
        <v>1120</v>
      </c>
      <c r="H369" s="8" t="s">
        <v>1535</v>
      </c>
      <c r="I369" s="8" t="s">
        <v>1334</v>
      </c>
      <c r="J369" s="8" t="s">
        <v>1169</v>
      </c>
      <c r="K369" s="8" t="s">
        <v>1099</v>
      </c>
      <c r="L369" s="10" t="s">
        <v>1170</v>
      </c>
      <c r="M369" s="10" t="s">
        <v>1335</v>
      </c>
      <c r="N369" s="10" t="s">
        <v>1336</v>
      </c>
      <c r="O369" s="8" t="s">
        <v>362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1875</v>
      </c>
      <c r="AA369" s="8" t="s">
        <v>331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1093</v>
      </c>
      <c r="E370" s="8" t="s">
        <v>123</v>
      </c>
      <c r="F370" s="8" t="s">
        <v>1828</v>
      </c>
      <c r="G370" s="8" t="s">
        <v>1303</v>
      </c>
      <c r="H370" s="8" t="s">
        <v>1342</v>
      </c>
      <c r="I370" s="8" t="s">
        <v>1338</v>
      </c>
      <c r="J370" s="8" t="s">
        <v>1169</v>
      </c>
      <c r="K370" s="8" t="s">
        <v>1099</v>
      </c>
      <c r="L370" s="10" t="s">
        <v>1186</v>
      </c>
      <c r="M370" s="10" t="s">
        <v>1339</v>
      </c>
      <c r="N370" s="10" t="s">
        <v>1340</v>
      </c>
      <c r="O370" s="8" t="s">
        <v>321</v>
      </c>
      <c r="P370" s="8"/>
      <c r="Q370" s="8"/>
      <c r="R370" s="8">
        <v>39640</v>
      </c>
      <c r="S370" s="8" t="s">
        <v>331</v>
      </c>
      <c r="T370" s="8"/>
      <c r="U370" s="8"/>
      <c r="V370" s="8"/>
      <c r="W370" s="8"/>
      <c r="X370" s="8"/>
      <c r="Y370" s="8"/>
      <c r="Z370" s="10" t="s">
        <v>1613</v>
      </c>
      <c r="AA370" s="8" t="s">
        <v>331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1093</v>
      </c>
      <c r="E371" s="8" t="s">
        <v>123</v>
      </c>
      <c r="F371" s="8" t="s">
        <v>1821</v>
      </c>
      <c r="G371" s="8" t="s">
        <v>1297</v>
      </c>
      <c r="H371" s="8" t="s">
        <v>1317</v>
      </c>
      <c r="I371" s="8" t="s">
        <v>1344</v>
      </c>
      <c r="J371" s="8" t="s">
        <v>1169</v>
      </c>
      <c r="K371" s="8" t="s">
        <v>1099</v>
      </c>
      <c r="L371" s="10" t="s">
        <v>1186</v>
      </c>
      <c r="M371" s="10" t="s">
        <v>1345</v>
      </c>
      <c r="N371" s="10" t="s">
        <v>1346</v>
      </c>
      <c r="O371" s="8" t="s">
        <v>321</v>
      </c>
      <c r="P371" s="8"/>
      <c r="Q371" s="8"/>
      <c r="R371" s="8">
        <v>68670</v>
      </c>
      <c r="S371" s="8" t="s">
        <v>331</v>
      </c>
      <c r="T371" s="8"/>
      <c r="U371" s="8"/>
      <c r="V371" s="8"/>
      <c r="W371" s="8"/>
      <c r="X371" s="8"/>
      <c r="Y371" s="8"/>
      <c r="Z371" s="10" t="s">
        <v>1613</v>
      </c>
      <c r="AA371" s="8" t="s">
        <v>331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1093</v>
      </c>
      <c r="E372" s="8" t="s">
        <v>123</v>
      </c>
      <c r="F372" s="8" t="s">
        <v>1828</v>
      </c>
      <c r="G372" s="8" t="s">
        <v>1196</v>
      </c>
      <c r="H372" s="8" t="s">
        <v>1149</v>
      </c>
      <c r="I372" s="8" t="s">
        <v>1349</v>
      </c>
      <c r="J372" s="8" t="s">
        <v>1193</v>
      </c>
      <c r="K372" s="8" t="s">
        <v>1099</v>
      </c>
      <c r="L372" s="10" t="s">
        <v>1350</v>
      </c>
      <c r="M372" s="10" t="s">
        <v>1351</v>
      </c>
      <c r="N372" s="10" t="s">
        <v>1352</v>
      </c>
      <c r="O372" s="8" t="s">
        <v>321</v>
      </c>
      <c r="P372" s="8"/>
      <c r="Q372" s="8"/>
      <c r="R372" s="8">
        <v>118585</v>
      </c>
      <c r="S372" s="8"/>
      <c r="T372" s="8"/>
      <c r="U372" s="8" t="s">
        <v>331</v>
      </c>
      <c r="V372" s="8"/>
      <c r="W372" s="8"/>
      <c r="X372" s="8"/>
      <c r="Y372" s="8" t="s">
        <v>331</v>
      </c>
      <c r="Z372" s="10" t="s">
        <v>1876</v>
      </c>
      <c r="AA372" s="8" t="s">
        <v>331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1093</v>
      </c>
      <c r="E373" s="8" t="s">
        <v>123</v>
      </c>
      <c r="F373" s="8" t="s">
        <v>1828</v>
      </c>
      <c r="G373" s="8" t="s">
        <v>1561</v>
      </c>
      <c r="H373" s="8" t="s">
        <v>1672</v>
      </c>
      <c r="I373" s="8" t="s">
        <v>1349</v>
      </c>
      <c r="J373" s="8" t="s">
        <v>1193</v>
      </c>
      <c r="K373" s="8" t="s">
        <v>1099</v>
      </c>
      <c r="L373" s="10" t="s">
        <v>1350</v>
      </c>
      <c r="M373" s="10" t="s">
        <v>1351</v>
      </c>
      <c r="N373" s="10" t="s">
        <v>1352</v>
      </c>
      <c r="O373" s="8" t="s">
        <v>321</v>
      </c>
      <c r="P373" s="8"/>
      <c r="Q373" s="8"/>
      <c r="R373" s="8">
        <v>127834</v>
      </c>
      <c r="S373" s="8" t="s">
        <v>331</v>
      </c>
      <c r="T373" s="8"/>
      <c r="U373" s="8"/>
      <c r="V373" s="8"/>
      <c r="W373" s="8"/>
      <c r="X373" s="8"/>
      <c r="Y373" s="8"/>
      <c r="Z373" s="10" t="s">
        <v>1613</v>
      </c>
      <c r="AA373" s="8" t="s">
        <v>331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1093</v>
      </c>
      <c r="E374" s="8" t="s">
        <v>123</v>
      </c>
      <c r="F374" s="8" t="s">
        <v>1877</v>
      </c>
      <c r="G374" s="8" t="s">
        <v>1297</v>
      </c>
      <c r="H374" s="8" t="s">
        <v>1273</v>
      </c>
      <c r="I374" s="8" t="s">
        <v>1349</v>
      </c>
      <c r="J374" s="8" t="s">
        <v>1193</v>
      </c>
      <c r="K374" s="8" t="s">
        <v>1099</v>
      </c>
      <c r="L374" s="10" t="s">
        <v>1350</v>
      </c>
      <c r="M374" s="10" t="s">
        <v>1351</v>
      </c>
      <c r="N374" s="10" t="s">
        <v>1352</v>
      </c>
      <c r="O374" s="8" t="s">
        <v>362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1878</v>
      </c>
      <c r="AA374" s="8" t="s">
        <v>331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1093</v>
      </c>
      <c r="E375" s="8" t="s">
        <v>123</v>
      </c>
      <c r="F375" s="8" t="s">
        <v>1828</v>
      </c>
      <c r="G375" s="8" t="s">
        <v>1672</v>
      </c>
      <c r="H375" s="8" t="s">
        <v>1627</v>
      </c>
      <c r="I375" s="8" t="s">
        <v>1356</v>
      </c>
      <c r="J375" s="8" t="s">
        <v>1193</v>
      </c>
      <c r="K375" s="8" t="s">
        <v>1099</v>
      </c>
      <c r="L375" s="10" t="s">
        <v>1350</v>
      </c>
      <c r="M375" s="10" t="s">
        <v>1357</v>
      </c>
      <c r="N375" s="10" t="s">
        <v>1358</v>
      </c>
      <c r="O375" s="8" t="s">
        <v>321</v>
      </c>
      <c r="P375" s="8"/>
      <c r="Q375" s="8"/>
      <c r="R375" s="8">
        <v>111197</v>
      </c>
      <c r="S375" s="8" t="s">
        <v>331</v>
      </c>
      <c r="T375" s="8"/>
      <c r="U375" s="8"/>
      <c r="V375" s="8"/>
      <c r="W375" s="8"/>
      <c r="X375" s="8"/>
      <c r="Y375" s="8"/>
      <c r="Z375" s="10" t="s">
        <v>1613</v>
      </c>
      <c r="AA375" s="8" t="s">
        <v>331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1093</v>
      </c>
      <c r="E376" s="8" t="s">
        <v>123</v>
      </c>
      <c r="F376" s="8" t="s">
        <v>1800</v>
      </c>
      <c r="G376" s="8" t="s">
        <v>1196</v>
      </c>
      <c r="H376" s="8" t="s">
        <v>1149</v>
      </c>
      <c r="I376" s="8" t="s">
        <v>1356</v>
      </c>
      <c r="J376" s="8" t="s">
        <v>1193</v>
      </c>
      <c r="K376" s="8" t="s">
        <v>1099</v>
      </c>
      <c r="L376" s="10" t="s">
        <v>1350</v>
      </c>
      <c r="M376" s="10" t="s">
        <v>1357</v>
      </c>
      <c r="N376" s="10" t="s">
        <v>1358</v>
      </c>
      <c r="O376" s="8" t="s">
        <v>321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331</v>
      </c>
      <c r="Z376" s="10" t="s">
        <v>1879</v>
      </c>
      <c r="AA376" s="8" t="s">
        <v>331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1093</v>
      </c>
      <c r="E377" s="8" t="s">
        <v>123</v>
      </c>
      <c r="F377" s="8" t="s">
        <v>1803</v>
      </c>
      <c r="G377" s="8" t="s">
        <v>1196</v>
      </c>
      <c r="H377" s="8" t="s">
        <v>1279</v>
      </c>
      <c r="I377" s="8" t="s">
        <v>1363</v>
      </c>
      <c r="J377" s="8" t="s">
        <v>1193</v>
      </c>
      <c r="K377" s="8" t="s">
        <v>1099</v>
      </c>
      <c r="L377" s="10" t="s">
        <v>1364</v>
      </c>
      <c r="M377" s="10" t="s">
        <v>1365</v>
      </c>
      <c r="N377" s="10"/>
      <c r="O377" s="8" t="s">
        <v>321</v>
      </c>
      <c r="P377" s="8"/>
      <c r="Q377" s="8"/>
      <c r="R377" s="8">
        <v>38000</v>
      </c>
      <c r="S377" s="8" t="s">
        <v>331</v>
      </c>
      <c r="T377" s="8"/>
      <c r="U377" s="8"/>
      <c r="V377" s="8"/>
      <c r="W377" s="8"/>
      <c r="X377" s="8"/>
      <c r="Y377" s="8"/>
      <c r="Z377" s="10" t="s">
        <v>1613</v>
      </c>
      <c r="AA377" s="8" t="s">
        <v>331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1093</v>
      </c>
      <c r="E378" s="8" t="s">
        <v>123</v>
      </c>
      <c r="F378" s="8" t="s">
        <v>1800</v>
      </c>
      <c r="G378" s="8" t="s">
        <v>1166</v>
      </c>
      <c r="H378" s="8" t="s">
        <v>1120</v>
      </c>
      <c r="I378" s="8" t="s">
        <v>1373</v>
      </c>
      <c r="J378" s="8" t="s">
        <v>1193</v>
      </c>
      <c r="K378" s="8" t="s">
        <v>1099</v>
      </c>
      <c r="L378" s="10" t="s">
        <v>1293</v>
      </c>
      <c r="M378" s="10" t="s">
        <v>1374</v>
      </c>
      <c r="N378" s="10" t="s">
        <v>1375</v>
      </c>
      <c r="O378" s="8" t="s">
        <v>1106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1613</v>
      </c>
      <c r="AA378" s="8" t="s">
        <v>331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1093</v>
      </c>
      <c r="E379" s="8" t="s">
        <v>123</v>
      </c>
      <c r="F379" s="8" t="s">
        <v>1880</v>
      </c>
      <c r="G379" s="8" t="s">
        <v>1342</v>
      </c>
      <c r="H379" s="8" t="s">
        <v>1347</v>
      </c>
      <c r="I379" s="8" t="s">
        <v>1377</v>
      </c>
      <c r="J379" s="8" t="s">
        <v>1193</v>
      </c>
      <c r="K379" s="8" t="s">
        <v>1099</v>
      </c>
      <c r="L379" s="10" t="s">
        <v>1378</v>
      </c>
      <c r="M379" s="10" t="s">
        <v>1379</v>
      </c>
      <c r="N379" s="10" t="s">
        <v>1380</v>
      </c>
      <c r="O379" s="8" t="s">
        <v>321</v>
      </c>
      <c r="P379" s="8"/>
      <c r="Q379" s="8"/>
      <c r="R379" s="8">
        <v>156633</v>
      </c>
      <c r="S379" s="8"/>
      <c r="T379" s="8"/>
      <c r="U379" s="8" t="s">
        <v>331</v>
      </c>
      <c r="V379" s="8"/>
      <c r="W379" s="8"/>
      <c r="X379" s="8"/>
      <c r="Y379" s="8"/>
      <c r="Z379" s="10" t="s">
        <v>1278</v>
      </c>
      <c r="AA379" s="8" t="s">
        <v>331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1093</v>
      </c>
      <c r="E380" s="8" t="s">
        <v>123</v>
      </c>
      <c r="F380" s="8" t="s">
        <v>1880</v>
      </c>
      <c r="G380" s="8" t="s">
        <v>1347</v>
      </c>
      <c r="H380" s="8" t="s">
        <v>1348</v>
      </c>
      <c r="I380" s="8" t="s">
        <v>1630</v>
      </c>
      <c r="J380" s="8" t="s">
        <v>1193</v>
      </c>
      <c r="K380" s="8" t="s">
        <v>1099</v>
      </c>
      <c r="L380" s="10" t="s">
        <v>1378</v>
      </c>
      <c r="M380" s="10" t="s">
        <v>1631</v>
      </c>
      <c r="N380" s="10" t="s">
        <v>1632</v>
      </c>
      <c r="O380" s="8" t="s">
        <v>321</v>
      </c>
      <c r="P380" s="8"/>
      <c r="Q380" s="8"/>
      <c r="R380" s="8">
        <v>133537</v>
      </c>
      <c r="S380" s="8"/>
      <c r="T380" s="8"/>
      <c r="U380" s="8" t="s">
        <v>331</v>
      </c>
      <c r="V380" s="8"/>
      <c r="W380" s="8"/>
      <c r="X380" s="8"/>
      <c r="Y380" s="8"/>
      <c r="Z380" s="10" t="s">
        <v>1278</v>
      </c>
      <c r="AA380" s="8" t="s">
        <v>331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1093</v>
      </c>
      <c r="E381" s="8" t="s">
        <v>123</v>
      </c>
      <c r="F381" s="8" t="s">
        <v>1872</v>
      </c>
      <c r="G381" s="8" t="s">
        <v>1881</v>
      </c>
      <c r="H381" s="8" t="s">
        <v>1202</v>
      </c>
      <c r="I381" s="8" t="s">
        <v>1630</v>
      </c>
      <c r="J381" s="8" t="s">
        <v>1193</v>
      </c>
      <c r="K381" s="8" t="s">
        <v>1099</v>
      </c>
      <c r="L381" s="10" t="s">
        <v>1378</v>
      </c>
      <c r="M381" s="10" t="s">
        <v>1631</v>
      </c>
      <c r="N381" s="10" t="s">
        <v>1632</v>
      </c>
      <c r="O381" s="8" t="s">
        <v>362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1382</v>
      </c>
      <c r="AA381" s="8" t="s">
        <v>331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1093</v>
      </c>
      <c r="E382" s="8" t="s">
        <v>123</v>
      </c>
      <c r="F382" s="8" t="s">
        <v>1871</v>
      </c>
      <c r="G382" s="8" t="s">
        <v>1120</v>
      </c>
      <c r="H382" s="8" t="s">
        <v>1343</v>
      </c>
      <c r="I382" s="8" t="s">
        <v>1386</v>
      </c>
      <c r="J382" s="8" t="s">
        <v>1387</v>
      </c>
      <c r="K382" s="8" t="s">
        <v>1099</v>
      </c>
      <c r="L382" s="10" t="s">
        <v>1388</v>
      </c>
      <c r="M382" s="10" t="s">
        <v>1326</v>
      </c>
      <c r="N382" s="10" t="s">
        <v>1358</v>
      </c>
      <c r="O382" s="8" t="s">
        <v>321</v>
      </c>
      <c r="P382" s="8"/>
      <c r="Q382" s="8"/>
      <c r="R382" s="8">
        <v>71224</v>
      </c>
      <c r="S382" s="8" t="s">
        <v>331</v>
      </c>
      <c r="T382" s="8"/>
      <c r="U382" s="8"/>
      <c r="V382" s="8"/>
      <c r="W382" s="8"/>
      <c r="X382" s="8"/>
      <c r="Y382" s="8"/>
      <c r="Z382" s="10" t="s">
        <v>1738</v>
      </c>
      <c r="AA382" s="8" t="s">
        <v>331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1093</v>
      </c>
      <c r="E383" s="8" t="s">
        <v>123</v>
      </c>
      <c r="F383" s="8" t="s">
        <v>1846</v>
      </c>
      <c r="G383" s="8" t="s">
        <v>1347</v>
      </c>
      <c r="H383" s="8" t="s">
        <v>1381</v>
      </c>
      <c r="I383" s="8" t="s">
        <v>1757</v>
      </c>
      <c r="J383" s="8" t="s">
        <v>1204</v>
      </c>
      <c r="K383" s="8" t="s">
        <v>1099</v>
      </c>
      <c r="L383" s="10" t="s">
        <v>1758</v>
      </c>
      <c r="M383" s="10" t="s">
        <v>1759</v>
      </c>
      <c r="N383" s="10" t="s">
        <v>1760</v>
      </c>
      <c r="O383" s="8" t="s">
        <v>362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1882</v>
      </c>
      <c r="AA383" s="8" t="s">
        <v>331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1093</v>
      </c>
      <c r="E384" s="8" t="s">
        <v>123</v>
      </c>
      <c r="F384" s="8" t="s">
        <v>1821</v>
      </c>
      <c r="G384" s="8" t="s">
        <v>1627</v>
      </c>
      <c r="H384" s="8" t="s">
        <v>1343</v>
      </c>
      <c r="I384" s="8" t="s">
        <v>1771</v>
      </c>
      <c r="J384" s="8" t="s">
        <v>1204</v>
      </c>
      <c r="K384" s="8" t="s">
        <v>1099</v>
      </c>
      <c r="L384" s="10" t="s">
        <v>1170</v>
      </c>
      <c r="M384" s="10" t="s">
        <v>1772</v>
      </c>
      <c r="N384" s="10" t="s">
        <v>1773</v>
      </c>
      <c r="O384" s="8" t="s">
        <v>321</v>
      </c>
      <c r="P384" s="8"/>
      <c r="Q384" s="8">
        <v>1111</v>
      </c>
      <c r="R384" s="8">
        <v>46827</v>
      </c>
      <c r="S384" s="8"/>
      <c r="T384" s="8"/>
      <c r="U384" s="8" t="s">
        <v>331</v>
      </c>
      <c r="V384" s="8"/>
      <c r="W384" s="8"/>
      <c r="X384" s="8"/>
      <c r="Y384" s="8"/>
      <c r="Z384" s="10" t="s">
        <v>1278</v>
      </c>
      <c r="AA384" s="8" t="s">
        <v>331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1093</v>
      </c>
      <c r="E385" s="8" t="s">
        <v>123</v>
      </c>
      <c r="F385" s="8" t="s">
        <v>1849</v>
      </c>
      <c r="G385" s="8" t="s">
        <v>1266</v>
      </c>
      <c r="H385" s="8" t="s">
        <v>1196</v>
      </c>
      <c r="I385" s="8" t="s">
        <v>1398</v>
      </c>
      <c r="J385" s="8" t="s">
        <v>1204</v>
      </c>
      <c r="K385" s="8" t="s">
        <v>1099</v>
      </c>
      <c r="L385" s="10" t="s">
        <v>1399</v>
      </c>
      <c r="M385" s="10" t="s">
        <v>1400</v>
      </c>
      <c r="N385" s="10" t="s">
        <v>1401</v>
      </c>
      <c r="O385" s="8" t="s">
        <v>321</v>
      </c>
      <c r="P385" s="8">
        <v>1572</v>
      </c>
      <c r="Q385" s="8">
        <v>4125</v>
      </c>
      <c r="R385" s="8">
        <v>28026</v>
      </c>
      <c r="S385" s="8" t="s">
        <v>331</v>
      </c>
      <c r="T385" s="8"/>
      <c r="U385" s="8"/>
      <c r="V385" s="8"/>
      <c r="W385" s="8"/>
      <c r="X385" s="8"/>
      <c r="Y385" s="8"/>
      <c r="Z385" s="10" t="s">
        <v>1613</v>
      </c>
      <c r="AA385" s="8" t="s">
        <v>331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1093</v>
      </c>
      <c r="E386" s="8" t="s">
        <v>123</v>
      </c>
      <c r="F386" s="8" t="s">
        <v>1800</v>
      </c>
      <c r="G386" s="8" t="s">
        <v>1343</v>
      </c>
      <c r="H386" s="8" t="s">
        <v>1302</v>
      </c>
      <c r="I386" s="8" t="s">
        <v>1883</v>
      </c>
      <c r="J386" s="8" t="s">
        <v>1204</v>
      </c>
      <c r="K386" s="8" t="s">
        <v>1099</v>
      </c>
      <c r="L386" s="10" t="s">
        <v>1293</v>
      </c>
      <c r="M386" s="10" t="s">
        <v>1884</v>
      </c>
      <c r="N386" s="10" t="s">
        <v>1885</v>
      </c>
      <c r="O386" s="8" t="s">
        <v>1106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1613</v>
      </c>
      <c r="AA386" s="8" t="s">
        <v>331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1093</v>
      </c>
      <c r="E387" s="8" t="s">
        <v>123</v>
      </c>
      <c r="F387" s="8" t="s">
        <v>1822</v>
      </c>
      <c r="G387" s="8" t="s">
        <v>1297</v>
      </c>
      <c r="H387" s="8" t="s">
        <v>1317</v>
      </c>
      <c r="I387" s="8" t="s">
        <v>1403</v>
      </c>
      <c r="J387" s="8" t="s">
        <v>1204</v>
      </c>
      <c r="K387" s="8" t="s">
        <v>1099</v>
      </c>
      <c r="L387" s="10" t="s">
        <v>1404</v>
      </c>
      <c r="M387" s="10" t="s">
        <v>1405</v>
      </c>
      <c r="N387" s="10" t="s">
        <v>1406</v>
      </c>
      <c r="O387" s="8" t="s">
        <v>1106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1613</v>
      </c>
      <c r="AA387" s="8" t="s">
        <v>331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1093</v>
      </c>
      <c r="E388" s="8" t="s">
        <v>123</v>
      </c>
      <c r="F388" s="8" t="s">
        <v>1821</v>
      </c>
      <c r="G388" s="8" t="s">
        <v>1149</v>
      </c>
      <c r="H388" s="8" t="s">
        <v>1297</v>
      </c>
      <c r="I388" s="8" t="s">
        <v>1411</v>
      </c>
      <c r="J388" s="8" t="s">
        <v>1214</v>
      </c>
      <c r="K388" s="8" t="s">
        <v>1099</v>
      </c>
      <c r="L388" s="10" t="s">
        <v>1186</v>
      </c>
      <c r="M388" s="10" t="s">
        <v>1412</v>
      </c>
      <c r="N388" s="10" t="s">
        <v>1413</v>
      </c>
      <c r="O388" s="8" t="s">
        <v>1106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1613</v>
      </c>
      <c r="AA388" s="8" t="s">
        <v>331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1093</v>
      </c>
      <c r="E389" s="8" t="s">
        <v>123</v>
      </c>
      <c r="F389" s="8" t="s">
        <v>1800</v>
      </c>
      <c r="G389" s="8" t="s">
        <v>1317</v>
      </c>
      <c r="H389" s="8" t="s">
        <v>1886</v>
      </c>
      <c r="I389" s="8" t="s">
        <v>1411</v>
      </c>
      <c r="J389" s="8" t="s">
        <v>1214</v>
      </c>
      <c r="K389" s="8" t="s">
        <v>1099</v>
      </c>
      <c r="L389" s="10" t="s">
        <v>1186</v>
      </c>
      <c r="M389" s="10" t="s">
        <v>1412</v>
      </c>
      <c r="N389" s="10" t="s">
        <v>1413</v>
      </c>
      <c r="O389" s="8" t="s">
        <v>362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1887</v>
      </c>
      <c r="AA389" s="8" t="s">
        <v>331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1093</v>
      </c>
      <c r="E390" s="8" t="s">
        <v>123</v>
      </c>
      <c r="F390" s="8" t="s">
        <v>1836</v>
      </c>
      <c r="G390" s="8" t="s">
        <v>1196</v>
      </c>
      <c r="H390" s="8" t="s">
        <v>1258</v>
      </c>
      <c r="I390" s="8" t="s">
        <v>1411</v>
      </c>
      <c r="J390" s="8" t="s">
        <v>1214</v>
      </c>
      <c r="K390" s="8" t="s">
        <v>1099</v>
      </c>
      <c r="L390" s="10" t="s">
        <v>1186</v>
      </c>
      <c r="M390" s="10" t="s">
        <v>1412</v>
      </c>
      <c r="N390" s="10" t="s">
        <v>1413</v>
      </c>
      <c r="O390" s="8" t="s">
        <v>321</v>
      </c>
      <c r="P390" s="8"/>
      <c r="Q390" s="8"/>
      <c r="R390" s="8">
        <v>28444</v>
      </c>
      <c r="S390" s="8"/>
      <c r="T390" s="8" t="s">
        <v>331</v>
      </c>
      <c r="U390" s="8"/>
      <c r="V390" s="8"/>
      <c r="W390" s="8"/>
      <c r="X390" s="8"/>
      <c r="Y390" s="8"/>
      <c r="Z390" s="10" t="s">
        <v>1888</v>
      </c>
      <c r="AA390" s="8" t="s">
        <v>331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1093</v>
      </c>
      <c r="E391" s="8" t="s">
        <v>123</v>
      </c>
      <c r="F391" s="8" t="s">
        <v>1889</v>
      </c>
      <c r="G391" s="8" t="s">
        <v>1342</v>
      </c>
      <c r="H391" s="8" t="s">
        <v>1578</v>
      </c>
      <c r="I391" s="8" t="s">
        <v>1418</v>
      </c>
      <c r="J391" s="8" t="s">
        <v>1214</v>
      </c>
      <c r="K391" s="8" t="s">
        <v>1099</v>
      </c>
      <c r="L391" s="10" t="s">
        <v>1419</v>
      </c>
      <c r="M391" s="10" t="s">
        <v>1420</v>
      </c>
      <c r="N391" s="10" t="s">
        <v>216</v>
      </c>
      <c r="O391" s="8" t="s">
        <v>362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1874</v>
      </c>
      <c r="AA391" s="8" t="s">
        <v>331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1093</v>
      </c>
      <c r="E392" s="8" t="s">
        <v>123</v>
      </c>
      <c r="F392" s="8" t="s">
        <v>1864</v>
      </c>
      <c r="G392" s="8" t="s">
        <v>1837</v>
      </c>
      <c r="H392" s="8" t="s">
        <v>1890</v>
      </c>
      <c r="I392" s="8" t="s">
        <v>1426</v>
      </c>
      <c r="J392" s="8" t="s">
        <v>1214</v>
      </c>
      <c r="K392" s="8" t="s">
        <v>1099</v>
      </c>
      <c r="L392" s="10" t="s">
        <v>1314</v>
      </c>
      <c r="M392" s="10" t="s">
        <v>1427</v>
      </c>
      <c r="N392" s="10" t="s">
        <v>1428</v>
      </c>
      <c r="O392" s="8" t="s">
        <v>321</v>
      </c>
      <c r="P392" s="8"/>
      <c r="Q392" s="8"/>
      <c r="R392" s="8">
        <v>10962</v>
      </c>
      <c r="S392" s="8" t="s">
        <v>331</v>
      </c>
      <c r="T392" s="8"/>
      <c r="U392" s="8"/>
      <c r="V392" s="8"/>
      <c r="W392" s="8"/>
      <c r="X392" s="8"/>
      <c r="Y392" s="8"/>
      <c r="Z392" s="10" t="s">
        <v>1613</v>
      </c>
      <c r="AA392" s="8" t="s">
        <v>331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1093</v>
      </c>
      <c r="E393" s="8" t="s">
        <v>123</v>
      </c>
      <c r="F393" s="8" t="s">
        <v>1864</v>
      </c>
      <c r="G393" s="8" t="s">
        <v>1867</v>
      </c>
      <c r="H393" s="8" t="s">
        <v>1679</v>
      </c>
      <c r="I393" s="8" t="s">
        <v>1429</v>
      </c>
      <c r="J393" s="8" t="s">
        <v>1214</v>
      </c>
      <c r="K393" s="8" t="s">
        <v>1099</v>
      </c>
      <c r="L393" s="10" t="s">
        <v>1314</v>
      </c>
      <c r="M393" s="10" t="s">
        <v>1430</v>
      </c>
      <c r="N393" s="10" t="s">
        <v>1295</v>
      </c>
      <c r="O393" s="8" t="s">
        <v>321</v>
      </c>
      <c r="P393" s="8"/>
      <c r="Q393" s="8"/>
      <c r="R393" s="8">
        <v>136188</v>
      </c>
      <c r="S393" s="8" t="s">
        <v>331</v>
      </c>
      <c r="T393" s="8"/>
      <c r="U393" s="8"/>
      <c r="V393" s="8"/>
      <c r="W393" s="8"/>
      <c r="X393" s="8"/>
      <c r="Y393" s="8"/>
      <c r="Z393" s="10" t="s">
        <v>1613</v>
      </c>
      <c r="AA393" s="8" t="s">
        <v>331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1093</v>
      </c>
      <c r="E394" s="8" t="s">
        <v>123</v>
      </c>
      <c r="F394" s="8" t="s">
        <v>1864</v>
      </c>
      <c r="G394" s="8" t="s">
        <v>1279</v>
      </c>
      <c r="H394" s="8" t="s">
        <v>1148</v>
      </c>
      <c r="I394" s="8" t="s">
        <v>1434</v>
      </c>
      <c r="J394" s="8" t="s">
        <v>1214</v>
      </c>
      <c r="K394" s="8" t="s">
        <v>1099</v>
      </c>
      <c r="L394" s="10" t="s">
        <v>1314</v>
      </c>
      <c r="M394" s="10" t="s">
        <v>1435</v>
      </c>
      <c r="N394" s="10" t="s">
        <v>1436</v>
      </c>
      <c r="O394" s="8" t="s">
        <v>321</v>
      </c>
      <c r="P394" s="8"/>
      <c r="Q394" s="8"/>
      <c r="R394" s="8">
        <v>230580</v>
      </c>
      <c r="S394" s="8" t="s">
        <v>331</v>
      </c>
      <c r="T394" s="8"/>
      <c r="U394" s="8"/>
      <c r="V394" s="8"/>
      <c r="W394" s="8"/>
      <c r="X394" s="8"/>
      <c r="Y394" s="8"/>
      <c r="Z394" s="10" t="s">
        <v>1613</v>
      </c>
      <c r="AA394" s="8" t="s">
        <v>331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1093</v>
      </c>
      <c r="E395" s="8" t="s">
        <v>123</v>
      </c>
      <c r="F395" s="8" t="s">
        <v>1864</v>
      </c>
      <c r="G395" s="8" t="s">
        <v>1258</v>
      </c>
      <c r="H395" s="8" t="s">
        <v>1837</v>
      </c>
      <c r="I395" s="8" t="s">
        <v>1437</v>
      </c>
      <c r="J395" s="8" t="s">
        <v>1214</v>
      </c>
      <c r="K395" s="8" t="s">
        <v>1099</v>
      </c>
      <c r="L395" s="10" t="s">
        <v>1314</v>
      </c>
      <c r="M395" s="10" t="s">
        <v>1438</v>
      </c>
      <c r="N395" s="10" t="s">
        <v>1439</v>
      </c>
      <c r="O395" s="8" t="s">
        <v>321</v>
      </c>
      <c r="P395" s="8"/>
      <c r="Q395" s="8"/>
      <c r="R395" s="8">
        <v>109838</v>
      </c>
      <c r="S395" s="8" t="s">
        <v>331</v>
      </c>
      <c r="T395" s="8"/>
      <c r="U395" s="8"/>
      <c r="V395" s="8"/>
      <c r="W395" s="8"/>
      <c r="X395" s="8"/>
      <c r="Y395" s="8"/>
      <c r="Z395" s="10" t="s">
        <v>1613</v>
      </c>
      <c r="AA395" s="8" t="s">
        <v>331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1093</v>
      </c>
      <c r="E396" s="8" t="s">
        <v>123</v>
      </c>
      <c r="F396" s="8" t="s">
        <v>1877</v>
      </c>
      <c r="G396" s="8" t="s">
        <v>1347</v>
      </c>
      <c r="H396" s="8" t="s">
        <v>1891</v>
      </c>
      <c r="I396" s="8" t="s">
        <v>1441</v>
      </c>
      <c r="J396" s="8" t="s">
        <v>1214</v>
      </c>
      <c r="K396" s="8" t="s">
        <v>1099</v>
      </c>
      <c r="L396" s="10" t="s">
        <v>1378</v>
      </c>
      <c r="M396" s="10" t="s">
        <v>1442</v>
      </c>
      <c r="N396" s="10" t="s">
        <v>1424</v>
      </c>
      <c r="O396" s="8" t="s">
        <v>362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1892</v>
      </c>
      <c r="AA396" s="8" t="s">
        <v>331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1093</v>
      </c>
      <c r="E397" s="8" t="s">
        <v>123</v>
      </c>
      <c r="F397" s="8" t="s">
        <v>1821</v>
      </c>
      <c r="G397" s="8" t="s">
        <v>1174</v>
      </c>
      <c r="H397" s="8" t="s">
        <v>1765</v>
      </c>
      <c r="I397" s="8" t="s">
        <v>1446</v>
      </c>
      <c r="J397" s="8" t="s">
        <v>1214</v>
      </c>
      <c r="K397" s="8" t="s">
        <v>1099</v>
      </c>
      <c r="L397" s="10" t="s">
        <v>1378</v>
      </c>
      <c r="M397" s="10" t="s">
        <v>1447</v>
      </c>
      <c r="N397" s="10" t="s">
        <v>1448</v>
      </c>
      <c r="O397" s="8" t="s">
        <v>321</v>
      </c>
      <c r="P397" s="8"/>
      <c r="Q397" s="8"/>
      <c r="R397" s="8">
        <v>302594</v>
      </c>
      <c r="S397" s="8"/>
      <c r="T397" s="8"/>
      <c r="U397" s="8" t="s">
        <v>331</v>
      </c>
      <c r="V397" s="8"/>
      <c r="W397" s="8"/>
      <c r="X397" s="8"/>
      <c r="Y397" s="8" t="s">
        <v>331</v>
      </c>
      <c r="Z397" s="10" t="s">
        <v>1893</v>
      </c>
      <c r="AA397" s="8" t="s">
        <v>331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1093</v>
      </c>
      <c r="E398" s="8" t="s">
        <v>123</v>
      </c>
      <c r="F398" s="8" t="s">
        <v>1872</v>
      </c>
      <c r="G398" s="8" t="s">
        <v>1196</v>
      </c>
      <c r="H398" s="8" t="s">
        <v>1687</v>
      </c>
      <c r="I398" s="8" t="s">
        <v>1446</v>
      </c>
      <c r="J398" s="8" t="s">
        <v>1214</v>
      </c>
      <c r="K398" s="8" t="s">
        <v>1099</v>
      </c>
      <c r="L398" s="10" t="s">
        <v>1378</v>
      </c>
      <c r="M398" s="10" t="s">
        <v>1447</v>
      </c>
      <c r="N398" s="10" t="s">
        <v>1448</v>
      </c>
      <c r="O398" s="8" t="s">
        <v>362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1894</v>
      </c>
      <c r="AA398" s="8" t="s">
        <v>331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1093</v>
      </c>
      <c r="E399" s="8" t="s">
        <v>123</v>
      </c>
      <c r="F399" s="8" t="s">
        <v>1864</v>
      </c>
      <c r="G399" s="8" t="s">
        <v>1679</v>
      </c>
      <c r="H399" s="8" t="s">
        <v>1279</v>
      </c>
      <c r="I399" s="8" t="s">
        <v>1450</v>
      </c>
      <c r="J399" s="8" t="s">
        <v>1214</v>
      </c>
      <c r="K399" s="8" t="s">
        <v>1099</v>
      </c>
      <c r="L399" s="10" t="s">
        <v>1314</v>
      </c>
      <c r="M399" s="10" t="s">
        <v>1451</v>
      </c>
      <c r="N399" s="10" t="s">
        <v>1410</v>
      </c>
      <c r="O399" s="8" t="s">
        <v>321</v>
      </c>
      <c r="P399" s="8"/>
      <c r="Q399" s="8"/>
      <c r="R399" s="8">
        <v>178665</v>
      </c>
      <c r="S399" s="8" t="s">
        <v>331</v>
      </c>
      <c r="T399" s="8"/>
      <c r="U399" s="8"/>
      <c r="V399" s="8"/>
      <c r="W399" s="8"/>
      <c r="X399" s="8"/>
      <c r="Y399" s="8"/>
      <c r="Z399" s="10" t="s">
        <v>1613</v>
      </c>
      <c r="AA399" s="8" t="s">
        <v>331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1093</v>
      </c>
      <c r="E400" s="8" t="s">
        <v>123</v>
      </c>
      <c r="F400" s="8" t="s">
        <v>1821</v>
      </c>
      <c r="G400" s="8" t="s">
        <v>1341</v>
      </c>
      <c r="H400" s="8" t="s">
        <v>1512</v>
      </c>
      <c r="I400" s="8" t="s">
        <v>1452</v>
      </c>
      <c r="J400" s="8" t="s">
        <v>1214</v>
      </c>
      <c r="K400" s="8" t="s">
        <v>1099</v>
      </c>
      <c r="L400" s="10" t="s">
        <v>1453</v>
      </c>
      <c r="M400" s="10" t="s">
        <v>1454</v>
      </c>
      <c r="N400" s="10"/>
      <c r="O400" s="8" t="s">
        <v>321</v>
      </c>
      <c r="P400" s="8"/>
      <c r="Q400" s="8"/>
      <c r="R400" s="8">
        <v>113516</v>
      </c>
      <c r="S400" s="8"/>
      <c r="T400" s="8"/>
      <c r="U400" s="8" t="s">
        <v>331</v>
      </c>
      <c r="V400" s="8"/>
      <c r="W400" s="8"/>
      <c r="X400" s="8"/>
      <c r="Y400" s="8"/>
      <c r="Z400" s="10" t="s">
        <v>1278</v>
      </c>
      <c r="AA400" s="8" t="s">
        <v>331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1093</v>
      </c>
      <c r="E401" s="8" t="s">
        <v>123</v>
      </c>
      <c r="F401" s="8" t="s">
        <v>1828</v>
      </c>
      <c r="G401" s="8" t="s">
        <v>1627</v>
      </c>
      <c r="H401" s="8" t="s">
        <v>1174</v>
      </c>
      <c r="I401" s="8" t="s">
        <v>1452</v>
      </c>
      <c r="J401" s="8" t="s">
        <v>1214</v>
      </c>
      <c r="K401" s="8" t="s">
        <v>1099</v>
      </c>
      <c r="L401" s="10" t="s">
        <v>1453</v>
      </c>
      <c r="M401" s="10" t="s">
        <v>1454</v>
      </c>
      <c r="N401" s="10"/>
      <c r="O401" s="8" t="s">
        <v>321</v>
      </c>
      <c r="P401" s="8"/>
      <c r="Q401" s="8"/>
      <c r="R401" s="8">
        <v>117570</v>
      </c>
      <c r="S401" s="8" t="s">
        <v>331</v>
      </c>
      <c r="T401" s="8"/>
      <c r="U401" s="8"/>
      <c r="V401" s="8"/>
      <c r="W401" s="8"/>
      <c r="X401" s="8"/>
      <c r="Y401" s="8"/>
      <c r="Z401" s="10" t="s">
        <v>1613</v>
      </c>
      <c r="AA401" s="8" t="s">
        <v>331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1093</v>
      </c>
      <c r="E402" s="8" t="s">
        <v>123</v>
      </c>
      <c r="F402" s="8" t="s">
        <v>1849</v>
      </c>
      <c r="G402" s="8" t="s">
        <v>1196</v>
      </c>
      <c r="H402" s="8" t="s">
        <v>1279</v>
      </c>
      <c r="I402" s="8" t="s">
        <v>1455</v>
      </c>
      <c r="J402" s="8" t="s">
        <v>1214</v>
      </c>
      <c r="K402" s="8" t="s">
        <v>1099</v>
      </c>
      <c r="L402" s="10" t="s">
        <v>1456</v>
      </c>
      <c r="M402" s="10" t="s">
        <v>1457</v>
      </c>
      <c r="N402" s="10"/>
      <c r="O402" s="8" t="s">
        <v>321</v>
      </c>
      <c r="P402" s="8"/>
      <c r="Q402" s="8"/>
      <c r="R402" s="8">
        <v>68203</v>
      </c>
      <c r="S402" s="8" t="s">
        <v>331</v>
      </c>
      <c r="T402" s="8"/>
      <c r="U402" s="8"/>
      <c r="V402" s="8"/>
      <c r="W402" s="8"/>
      <c r="X402" s="8"/>
      <c r="Y402" s="8"/>
      <c r="Z402" s="10" t="s">
        <v>1613</v>
      </c>
      <c r="AA402" s="8" t="s">
        <v>331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1093</v>
      </c>
      <c r="E403" s="8" t="s">
        <v>123</v>
      </c>
      <c r="F403" s="8" t="s">
        <v>1851</v>
      </c>
      <c r="G403" s="8" t="s">
        <v>1166</v>
      </c>
      <c r="H403" s="8" t="s">
        <v>1343</v>
      </c>
      <c r="I403" s="8" t="s">
        <v>1895</v>
      </c>
      <c r="J403" s="8" t="s">
        <v>1217</v>
      </c>
      <c r="K403" s="8" t="s">
        <v>1099</v>
      </c>
      <c r="L403" s="10" t="s">
        <v>1896</v>
      </c>
      <c r="M403" s="10" t="s">
        <v>1897</v>
      </c>
      <c r="N403" s="10" t="s">
        <v>1413</v>
      </c>
      <c r="O403" s="8" t="s">
        <v>321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331</v>
      </c>
      <c r="Z403" s="10" t="s">
        <v>1898</v>
      </c>
      <c r="AA403" s="8" t="s">
        <v>331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1093</v>
      </c>
      <c r="E404" s="8" t="s">
        <v>123</v>
      </c>
      <c r="F404" s="8" t="s">
        <v>1864</v>
      </c>
      <c r="G404" s="8" t="s">
        <v>1120</v>
      </c>
      <c r="H404" s="8" t="s">
        <v>1245</v>
      </c>
      <c r="I404" s="8" t="s">
        <v>1649</v>
      </c>
      <c r="J404" s="8" t="s">
        <v>1650</v>
      </c>
      <c r="K404" s="8" t="s">
        <v>1099</v>
      </c>
      <c r="L404" s="10" t="s">
        <v>1170</v>
      </c>
      <c r="M404" s="10" t="s">
        <v>1651</v>
      </c>
      <c r="N404" s="10" t="s">
        <v>1652</v>
      </c>
      <c r="O404" s="8" t="s">
        <v>321</v>
      </c>
      <c r="P404" s="8"/>
      <c r="Q404" s="8">
        <v>1744</v>
      </c>
      <c r="R404" s="8">
        <v>114280</v>
      </c>
      <c r="S404" s="8"/>
      <c r="T404" s="8"/>
      <c r="U404" s="8" t="s">
        <v>331</v>
      </c>
      <c r="V404" s="8"/>
      <c r="W404" s="8"/>
      <c r="X404" s="8"/>
      <c r="Y404" s="8"/>
      <c r="Z404" s="10" t="s">
        <v>1278</v>
      </c>
      <c r="AA404" s="8" t="s">
        <v>331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1093</v>
      </c>
      <c r="E405" s="8" t="s">
        <v>123</v>
      </c>
      <c r="F405" s="8" t="s">
        <v>1851</v>
      </c>
      <c r="G405" s="8" t="s">
        <v>1266</v>
      </c>
      <c r="H405" s="8" t="s">
        <v>1899</v>
      </c>
      <c r="I405" s="8" t="s">
        <v>1654</v>
      </c>
      <c r="J405" s="8" t="s">
        <v>1650</v>
      </c>
      <c r="K405" s="8" t="s">
        <v>1099</v>
      </c>
      <c r="L405" s="10" t="s">
        <v>1655</v>
      </c>
      <c r="M405" s="10" t="s">
        <v>1900</v>
      </c>
      <c r="N405" s="10" t="s">
        <v>1413</v>
      </c>
      <c r="O405" s="8" t="s">
        <v>362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1901</v>
      </c>
      <c r="AA405" s="8" t="s">
        <v>331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1093</v>
      </c>
      <c r="E406" s="8" t="s">
        <v>123</v>
      </c>
      <c r="F406" s="8" t="s">
        <v>1864</v>
      </c>
      <c r="G406" s="8" t="s">
        <v>1343</v>
      </c>
      <c r="H406" s="8" t="s">
        <v>1302</v>
      </c>
      <c r="I406" s="8" t="s">
        <v>1663</v>
      </c>
      <c r="J406" s="8" t="s">
        <v>1459</v>
      </c>
      <c r="K406" s="8" t="s">
        <v>1099</v>
      </c>
      <c r="L406" s="10" t="s">
        <v>1170</v>
      </c>
      <c r="M406" s="10" t="s">
        <v>1463</v>
      </c>
      <c r="N406" s="10" t="s">
        <v>1664</v>
      </c>
      <c r="O406" s="8" t="s">
        <v>321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331</v>
      </c>
      <c r="Z406" s="10" t="s">
        <v>1382</v>
      </c>
      <c r="AA406" s="8" t="s">
        <v>331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1093</v>
      </c>
      <c r="E407" s="8" t="s">
        <v>123</v>
      </c>
      <c r="F407" s="8" t="s">
        <v>1851</v>
      </c>
      <c r="G407" s="8" t="s">
        <v>1347</v>
      </c>
      <c r="H407" s="8" t="s">
        <v>1902</v>
      </c>
      <c r="I407" s="8" t="s">
        <v>1663</v>
      </c>
      <c r="J407" s="8" t="s">
        <v>1459</v>
      </c>
      <c r="K407" s="8" t="s">
        <v>1099</v>
      </c>
      <c r="L407" s="10" t="s">
        <v>1170</v>
      </c>
      <c r="M407" s="10" t="s">
        <v>1463</v>
      </c>
      <c r="N407" s="10" t="s">
        <v>1664</v>
      </c>
      <c r="O407" s="8" t="s">
        <v>362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1382</v>
      </c>
      <c r="AA407" s="8" t="s">
        <v>331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1093</v>
      </c>
      <c r="E408" s="8" t="s">
        <v>123</v>
      </c>
      <c r="F408" s="8" t="s">
        <v>1803</v>
      </c>
      <c r="G408" s="8" t="s">
        <v>1166</v>
      </c>
      <c r="H408" s="8" t="s">
        <v>1120</v>
      </c>
      <c r="I408" s="8" t="s">
        <v>1473</v>
      </c>
      <c r="J408" s="8" t="s">
        <v>1244</v>
      </c>
      <c r="K408" s="8" t="s">
        <v>1099</v>
      </c>
      <c r="L408" s="10" t="s">
        <v>1474</v>
      </c>
      <c r="M408" s="10" t="s">
        <v>1475</v>
      </c>
      <c r="N408" s="10" t="s">
        <v>1424</v>
      </c>
      <c r="O408" s="8" t="s">
        <v>321</v>
      </c>
      <c r="P408" s="8"/>
      <c r="Q408" s="8">
        <v>2358</v>
      </c>
      <c r="R408" s="8">
        <v>949</v>
      </c>
      <c r="S408" s="8" t="s">
        <v>331</v>
      </c>
      <c r="T408" s="8"/>
      <c r="U408" s="8"/>
      <c r="V408" s="8"/>
      <c r="W408" s="8"/>
      <c r="X408" s="8"/>
      <c r="Y408" s="8"/>
      <c r="Z408" s="10" t="s">
        <v>1613</v>
      </c>
      <c r="AA408" s="8" t="s">
        <v>331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1093</v>
      </c>
      <c r="E409" s="8" t="s">
        <v>123</v>
      </c>
      <c r="F409" s="8" t="s">
        <v>1822</v>
      </c>
      <c r="G409" s="8" t="s">
        <v>1284</v>
      </c>
      <c r="H409" s="8" t="s">
        <v>1120</v>
      </c>
      <c r="I409" s="8" t="s">
        <v>1473</v>
      </c>
      <c r="J409" s="8" t="s">
        <v>1244</v>
      </c>
      <c r="K409" s="8" t="s">
        <v>1099</v>
      </c>
      <c r="L409" s="10" t="s">
        <v>1474</v>
      </c>
      <c r="M409" s="10" t="s">
        <v>1475</v>
      </c>
      <c r="N409" s="10" t="s">
        <v>1424</v>
      </c>
      <c r="O409" s="8" t="s">
        <v>321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331</v>
      </c>
      <c r="Z409" s="10" t="s">
        <v>1903</v>
      </c>
      <c r="AA409" s="8" t="s">
        <v>331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1093</v>
      </c>
      <c r="E410" s="8" t="s">
        <v>123</v>
      </c>
      <c r="F410" s="8" t="s">
        <v>1801</v>
      </c>
      <c r="G410" s="8" t="s">
        <v>1899</v>
      </c>
      <c r="H410" s="8" t="s">
        <v>1904</v>
      </c>
      <c r="I410" s="8" t="s">
        <v>1484</v>
      </c>
      <c r="J410" s="8" t="s">
        <v>1479</v>
      </c>
      <c r="K410" s="8" t="s">
        <v>1099</v>
      </c>
      <c r="L410" s="10" t="s">
        <v>1170</v>
      </c>
      <c r="M410" s="10" t="s">
        <v>1463</v>
      </c>
      <c r="N410" s="10" t="s">
        <v>1485</v>
      </c>
      <c r="O410" s="8" t="s">
        <v>321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331</v>
      </c>
      <c r="Z410" s="10" t="s">
        <v>1433</v>
      </c>
      <c r="AA410" s="8" t="s">
        <v>331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1093</v>
      </c>
      <c r="E411" s="8" t="s">
        <v>123</v>
      </c>
      <c r="F411" s="8" t="s">
        <v>1872</v>
      </c>
      <c r="G411" s="8" t="s">
        <v>1710</v>
      </c>
      <c r="H411" s="8" t="s">
        <v>1537</v>
      </c>
      <c r="I411" s="8" t="s">
        <v>1487</v>
      </c>
      <c r="J411" s="8" t="s">
        <v>1479</v>
      </c>
      <c r="K411" s="8" t="s">
        <v>1099</v>
      </c>
      <c r="L411" s="10" t="s">
        <v>1170</v>
      </c>
      <c r="M411" s="10" t="s">
        <v>1463</v>
      </c>
      <c r="N411" s="10" t="s">
        <v>1488</v>
      </c>
      <c r="O411" s="8" t="s">
        <v>362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1905</v>
      </c>
      <c r="AA411" s="8" t="s">
        <v>331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1093</v>
      </c>
      <c r="E412" s="8" t="s">
        <v>123</v>
      </c>
      <c r="F412" s="8" t="s">
        <v>1871</v>
      </c>
      <c r="G412" s="8" t="s">
        <v>1266</v>
      </c>
      <c r="H412" s="8" t="s">
        <v>1279</v>
      </c>
      <c r="I412" s="8" t="s">
        <v>1487</v>
      </c>
      <c r="J412" s="8" t="s">
        <v>1479</v>
      </c>
      <c r="K412" s="8" t="s">
        <v>1099</v>
      </c>
      <c r="L412" s="10" t="s">
        <v>1170</v>
      </c>
      <c r="M412" s="10" t="s">
        <v>1463</v>
      </c>
      <c r="N412" s="10" t="s">
        <v>1488</v>
      </c>
      <c r="O412" s="8" t="s">
        <v>321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331</v>
      </c>
      <c r="Z412" s="10" t="s">
        <v>1906</v>
      </c>
      <c r="AA412" s="8" t="s">
        <v>331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1093</v>
      </c>
      <c r="E413" s="8" t="s">
        <v>123</v>
      </c>
      <c r="F413" s="8" t="s">
        <v>1871</v>
      </c>
      <c r="G413" s="8" t="s">
        <v>1343</v>
      </c>
      <c r="H413" s="8" t="s">
        <v>1302</v>
      </c>
      <c r="I413" s="8" t="s">
        <v>1489</v>
      </c>
      <c r="J413" s="8" t="s">
        <v>1479</v>
      </c>
      <c r="K413" s="8" t="s">
        <v>1099</v>
      </c>
      <c r="L413" s="10" t="s">
        <v>1388</v>
      </c>
      <c r="M413" s="10" t="s">
        <v>1326</v>
      </c>
      <c r="N413" s="10" t="s">
        <v>1358</v>
      </c>
      <c r="O413" s="8" t="s">
        <v>321</v>
      </c>
      <c r="P413" s="8"/>
      <c r="Q413" s="8"/>
      <c r="R413" s="8">
        <v>50314</v>
      </c>
      <c r="S413" s="8" t="s">
        <v>331</v>
      </c>
      <c r="T413" s="8"/>
      <c r="U413" s="8"/>
      <c r="V413" s="8"/>
      <c r="W413" s="8"/>
      <c r="X413" s="8"/>
      <c r="Y413" s="8"/>
      <c r="Z413" s="10" t="s">
        <v>1738</v>
      </c>
      <c r="AA413" s="8" t="s">
        <v>331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1093</v>
      </c>
      <c r="E414" s="8" t="s">
        <v>123</v>
      </c>
      <c r="F414" s="8" t="s">
        <v>1877</v>
      </c>
      <c r="G414" s="8" t="s">
        <v>1284</v>
      </c>
      <c r="H414" s="8" t="s">
        <v>1907</v>
      </c>
      <c r="I414" s="8" t="s">
        <v>1674</v>
      </c>
      <c r="J414" s="8" t="s">
        <v>1675</v>
      </c>
      <c r="K414" s="8" t="s">
        <v>1099</v>
      </c>
      <c r="L414" s="10" t="s">
        <v>1676</v>
      </c>
      <c r="M414" s="10" t="s">
        <v>1677</v>
      </c>
      <c r="N414" s="10" t="s">
        <v>1678</v>
      </c>
      <c r="O414" s="8" t="s">
        <v>321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331</v>
      </c>
      <c r="Z414" s="10" t="s">
        <v>1908</v>
      </c>
      <c r="AA414" s="8" t="s">
        <v>331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1093</v>
      </c>
      <c r="E415" s="8" t="s">
        <v>123</v>
      </c>
      <c r="F415" s="8" t="s">
        <v>1864</v>
      </c>
      <c r="G415" s="8" t="s">
        <v>1890</v>
      </c>
      <c r="H415" s="8" t="s">
        <v>1284</v>
      </c>
      <c r="I415" s="8" t="s">
        <v>1490</v>
      </c>
      <c r="J415" s="8" t="s">
        <v>1491</v>
      </c>
      <c r="K415" s="8" t="s">
        <v>1099</v>
      </c>
      <c r="L415" s="10" t="s">
        <v>1314</v>
      </c>
      <c r="M415" s="10" t="s">
        <v>1492</v>
      </c>
      <c r="N415" s="10" t="s">
        <v>1493</v>
      </c>
      <c r="O415" s="8" t="s">
        <v>321</v>
      </c>
      <c r="P415" s="8"/>
      <c r="Q415" s="8"/>
      <c r="R415" s="8">
        <v>23764</v>
      </c>
      <c r="S415" s="8" t="s">
        <v>331</v>
      </c>
      <c r="T415" s="8"/>
      <c r="U415" s="8"/>
      <c r="V415" s="8"/>
      <c r="W415" s="8"/>
      <c r="X415" s="8"/>
      <c r="Y415" s="8"/>
      <c r="Z415" s="10" t="s">
        <v>1613</v>
      </c>
      <c r="AA415" s="8" t="s">
        <v>331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1093</v>
      </c>
      <c r="E416" s="8" t="s">
        <v>139</v>
      </c>
      <c r="F416" s="8" t="s">
        <v>1864</v>
      </c>
      <c r="G416" s="8" t="s">
        <v>1706</v>
      </c>
      <c r="H416" s="8" t="s">
        <v>1228</v>
      </c>
      <c r="I416" s="8" t="s">
        <v>1502</v>
      </c>
      <c r="J416" s="8" t="s">
        <v>1217</v>
      </c>
      <c r="K416" s="8" t="s">
        <v>1099</v>
      </c>
      <c r="L416" s="10" t="s">
        <v>1503</v>
      </c>
      <c r="M416" s="10" t="s">
        <v>1504</v>
      </c>
      <c r="N416" s="10" t="s">
        <v>1346</v>
      </c>
      <c r="O416" s="8" t="s">
        <v>1106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331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1093</v>
      </c>
      <c r="E417" s="8" t="s">
        <v>139</v>
      </c>
      <c r="F417" s="8" t="s">
        <v>1822</v>
      </c>
      <c r="G417" s="8" t="s">
        <v>1909</v>
      </c>
      <c r="H417" s="8" t="s">
        <v>1910</v>
      </c>
      <c r="I417" s="8" t="s">
        <v>1502</v>
      </c>
      <c r="J417" s="8" t="s">
        <v>1217</v>
      </c>
      <c r="K417" s="8" t="s">
        <v>1099</v>
      </c>
      <c r="L417" s="10" t="s">
        <v>1503</v>
      </c>
      <c r="M417" s="10" t="s">
        <v>1504</v>
      </c>
      <c r="N417" s="10" t="s">
        <v>1346</v>
      </c>
      <c r="O417" s="8" t="s">
        <v>321</v>
      </c>
      <c r="P417" s="8"/>
      <c r="Q417" s="8">
        <v>2971</v>
      </c>
      <c r="R417" s="8">
        <v>38614</v>
      </c>
      <c r="S417" s="8" t="s">
        <v>331</v>
      </c>
      <c r="T417" s="8"/>
      <c r="U417" s="8" t="s">
        <v>331</v>
      </c>
      <c r="V417" s="8"/>
      <c r="W417" s="8"/>
      <c r="X417" s="8"/>
      <c r="Y417" s="8"/>
      <c r="Z417" s="10" t="s">
        <v>1911</v>
      </c>
      <c r="AA417" s="8" t="s">
        <v>331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1093</v>
      </c>
      <c r="E418" s="8" t="s">
        <v>139</v>
      </c>
      <c r="F418" s="8" t="s">
        <v>1864</v>
      </c>
      <c r="G418" s="8" t="s">
        <v>1912</v>
      </c>
      <c r="H418" s="8" t="s">
        <v>1913</v>
      </c>
      <c r="I418" s="8" t="s">
        <v>1509</v>
      </c>
      <c r="J418" s="8" t="s">
        <v>1217</v>
      </c>
      <c r="K418" s="8" t="s">
        <v>1099</v>
      </c>
      <c r="L418" s="10" t="s">
        <v>1503</v>
      </c>
      <c r="M418" s="10" t="s">
        <v>1504</v>
      </c>
      <c r="N418" s="10" t="s">
        <v>1346</v>
      </c>
      <c r="O418" s="8" t="s">
        <v>1106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331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1093</v>
      </c>
      <c r="E419" s="8" t="s">
        <v>139</v>
      </c>
      <c r="F419" s="8" t="s">
        <v>1803</v>
      </c>
      <c r="G419" s="8" t="s">
        <v>1552</v>
      </c>
      <c r="H419" s="8" t="s">
        <v>1914</v>
      </c>
      <c r="I419" s="8" t="s">
        <v>1509</v>
      </c>
      <c r="J419" s="8" t="s">
        <v>1217</v>
      </c>
      <c r="K419" s="8" t="s">
        <v>1099</v>
      </c>
      <c r="L419" s="10" t="s">
        <v>1503</v>
      </c>
      <c r="M419" s="10" t="s">
        <v>1504</v>
      </c>
      <c r="N419" s="10" t="s">
        <v>1346</v>
      </c>
      <c r="O419" s="8" t="s">
        <v>1106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331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1093</v>
      </c>
      <c r="E420" s="8" t="s">
        <v>139</v>
      </c>
      <c r="F420" s="8" t="s">
        <v>1889</v>
      </c>
      <c r="G420" s="8" t="s">
        <v>1241</v>
      </c>
      <c r="H420" s="8" t="s">
        <v>1318</v>
      </c>
      <c r="I420" s="8" t="s">
        <v>1797</v>
      </c>
      <c r="J420" s="8" t="s">
        <v>1514</v>
      </c>
      <c r="K420" s="8" t="s">
        <v>1496</v>
      </c>
      <c r="L420" s="10" t="s">
        <v>1515</v>
      </c>
      <c r="M420" s="10" t="s">
        <v>1516</v>
      </c>
      <c r="N420" s="10" t="s">
        <v>1798</v>
      </c>
      <c r="O420" s="8" t="s">
        <v>362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1915</v>
      </c>
      <c r="AA420" s="8" t="s">
        <v>331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1093</v>
      </c>
      <c r="E421" s="8" t="s">
        <v>139</v>
      </c>
      <c r="F421" s="8" t="s">
        <v>1846</v>
      </c>
      <c r="G421" s="8" t="s">
        <v>1258</v>
      </c>
      <c r="H421" s="8" t="s">
        <v>1166</v>
      </c>
      <c r="I421" s="8" t="s">
        <v>1916</v>
      </c>
      <c r="J421" s="8" t="s">
        <v>1514</v>
      </c>
      <c r="K421" s="8" t="s">
        <v>1496</v>
      </c>
      <c r="L421" s="10" t="s">
        <v>1515</v>
      </c>
      <c r="M421" s="10" t="s">
        <v>1516</v>
      </c>
      <c r="N421" s="10" t="s">
        <v>1798</v>
      </c>
      <c r="O421" s="8" t="s">
        <v>362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1917</v>
      </c>
      <c r="AA421" s="8" t="s">
        <v>331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1093</v>
      </c>
      <c r="E422" s="8" t="s">
        <v>139</v>
      </c>
      <c r="F422" s="8" t="s">
        <v>1846</v>
      </c>
      <c r="G422" s="8" t="s">
        <v>1120</v>
      </c>
      <c r="H422" s="8" t="s">
        <v>1342</v>
      </c>
      <c r="I422" s="8" t="s">
        <v>1795</v>
      </c>
      <c r="J422" s="8" t="s">
        <v>1788</v>
      </c>
      <c r="K422" s="8" t="s">
        <v>1496</v>
      </c>
      <c r="L422" s="10" t="s">
        <v>1497</v>
      </c>
      <c r="M422" s="10" t="s">
        <v>1498</v>
      </c>
      <c r="N422" s="10" t="s">
        <v>1499</v>
      </c>
      <c r="O422" s="8" t="s">
        <v>362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1918</v>
      </c>
      <c r="AA422" s="8" t="s">
        <v>331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1093</v>
      </c>
      <c r="E423" s="8" t="s">
        <v>128</v>
      </c>
      <c r="F423" s="8" t="s">
        <v>1919</v>
      </c>
      <c r="G423" s="8" t="s">
        <v>1297</v>
      </c>
      <c r="H423" s="8" t="s">
        <v>1920</v>
      </c>
      <c r="I423" s="8" t="s">
        <v>1097</v>
      </c>
      <c r="J423" s="8" t="s">
        <v>1098</v>
      </c>
      <c r="K423" s="8" t="s">
        <v>1099</v>
      </c>
      <c r="L423" s="10" t="s">
        <v>1100</v>
      </c>
      <c r="M423" s="10" t="s">
        <v>1101</v>
      </c>
      <c r="N423" s="10" t="s">
        <v>128</v>
      </c>
      <c r="O423" s="8" t="s">
        <v>321</v>
      </c>
      <c r="P423" s="8"/>
      <c r="Q423" s="8">
        <v>4570</v>
      </c>
      <c r="R423" s="8">
        <v>31311</v>
      </c>
      <c r="S423" s="8" t="s">
        <v>331</v>
      </c>
      <c r="T423" s="8"/>
      <c r="U423" s="8"/>
      <c r="V423" s="8"/>
      <c r="W423" s="8"/>
      <c r="X423" s="8"/>
      <c r="Y423" s="8"/>
      <c r="Z423" s="10" t="s">
        <v>1102</v>
      </c>
      <c r="AA423" s="8" t="s">
        <v>331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1093</v>
      </c>
      <c r="E424" s="8" t="s">
        <v>128</v>
      </c>
      <c r="F424" s="8" t="s">
        <v>1919</v>
      </c>
      <c r="G424" s="8" t="s">
        <v>1786</v>
      </c>
      <c r="H424" s="8" t="s">
        <v>1745</v>
      </c>
      <c r="I424" s="8" t="s">
        <v>1110</v>
      </c>
      <c r="J424" s="8" t="s">
        <v>1111</v>
      </c>
      <c r="K424" s="8" t="s">
        <v>1099</v>
      </c>
      <c r="L424" s="10" t="s">
        <v>1112</v>
      </c>
      <c r="M424" s="10" t="s">
        <v>1113</v>
      </c>
      <c r="N424" s="10" t="s">
        <v>128</v>
      </c>
      <c r="O424" s="8" t="s">
        <v>321</v>
      </c>
      <c r="P424" s="8"/>
      <c r="Q424" s="8">
        <v>81</v>
      </c>
      <c r="R424" s="8">
        <v>3163</v>
      </c>
      <c r="S424" s="8" t="s">
        <v>331</v>
      </c>
      <c r="T424" s="8"/>
      <c r="U424" s="8"/>
      <c r="V424" s="8"/>
      <c r="W424" s="8"/>
      <c r="X424" s="8"/>
      <c r="Y424" s="8"/>
      <c r="Z424" s="10" t="s">
        <v>1102</v>
      </c>
      <c r="AA424" s="8" t="s">
        <v>331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1093</v>
      </c>
      <c r="E425" s="8" t="s">
        <v>128</v>
      </c>
      <c r="F425" s="8" t="s">
        <v>1919</v>
      </c>
      <c r="G425" s="8" t="s">
        <v>1228</v>
      </c>
      <c r="H425" s="8" t="s">
        <v>1372</v>
      </c>
      <c r="I425" s="8" t="s">
        <v>1116</v>
      </c>
      <c r="J425" s="8" t="s">
        <v>1111</v>
      </c>
      <c r="K425" s="8" t="s">
        <v>1099</v>
      </c>
      <c r="L425" s="10" t="s">
        <v>1117</v>
      </c>
      <c r="M425" s="10" t="s">
        <v>1118</v>
      </c>
      <c r="N425" s="10" t="s">
        <v>1802</v>
      </c>
      <c r="O425" s="8" t="s">
        <v>321</v>
      </c>
      <c r="P425" s="8"/>
      <c r="Q425" s="8">
        <v>2141</v>
      </c>
      <c r="R425" s="8">
        <v>16745</v>
      </c>
      <c r="S425" s="8" t="s">
        <v>331</v>
      </c>
      <c r="T425" s="8"/>
      <c r="U425" s="8"/>
      <c r="V425" s="8"/>
      <c r="W425" s="8"/>
      <c r="X425" s="8"/>
      <c r="Y425" s="8"/>
      <c r="Z425" s="10" t="s">
        <v>1102</v>
      </c>
      <c r="AA425" s="8" t="s">
        <v>331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1093</v>
      </c>
      <c r="E426" s="8" t="s">
        <v>128</v>
      </c>
      <c r="F426" s="8" t="s">
        <v>1921</v>
      </c>
      <c r="G426" s="8" t="s">
        <v>1646</v>
      </c>
      <c r="H426" s="8" t="s">
        <v>1922</v>
      </c>
      <c r="I426" s="8" t="s">
        <v>1122</v>
      </c>
      <c r="J426" s="8" t="s">
        <v>1111</v>
      </c>
      <c r="K426" s="8" t="s">
        <v>1099</v>
      </c>
      <c r="L426" s="10" t="s">
        <v>1123</v>
      </c>
      <c r="M426" s="10" t="s">
        <v>1124</v>
      </c>
      <c r="N426" s="10" t="s">
        <v>1125</v>
      </c>
      <c r="O426" s="8" t="s">
        <v>321</v>
      </c>
      <c r="P426" s="8"/>
      <c r="Q426" s="8">
        <v>28365</v>
      </c>
      <c r="R426" s="8">
        <v>62239</v>
      </c>
      <c r="S426" s="8" t="s">
        <v>331</v>
      </c>
      <c r="T426" s="8"/>
      <c r="U426" s="8"/>
      <c r="V426" s="8"/>
      <c r="W426" s="8"/>
      <c r="X426" s="8"/>
      <c r="Y426" s="8"/>
      <c r="Z426" s="10" t="s">
        <v>1102</v>
      </c>
      <c r="AA426" s="8" t="s">
        <v>331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1093</v>
      </c>
      <c r="E427" s="8" t="s">
        <v>128</v>
      </c>
      <c r="F427" s="8" t="s">
        <v>1923</v>
      </c>
      <c r="G427" s="8" t="s">
        <v>1924</v>
      </c>
      <c r="H427" s="8" t="s">
        <v>1925</v>
      </c>
      <c r="I427" s="8" t="s">
        <v>1128</v>
      </c>
      <c r="J427" s="8" t="s">
        <v>1111</v>
      </c>
      <c r="K427" s="8" t="s">
        <v>1099</v>
      </c>
      <c r="L427" s="10" t="s">
        <v>1129</v>
      </c>
      <c r="M427" s="10" t="s">
        <v>1130</v>
      </c>
      <c r="N427" s="10" t="s">
        <v>1131</v>
      </c>
      <c r="O427" s="8" t="s">
        <v>321</v>
      </c>
      <c r="P427" s="8"/>
      <c r="Q427" s="8">
        <v>128</v>
      </c>
      <c r="R427" s="8">
        <v>793</v>
      </c>
      <c r="S427" s="8" t="s">
        <v>331</v>
      </c>
      <c r="T427" s="8"/>
      <c r="U427" s="8"/>
      <c r="V427" s="8"/>
      <c r="W427" s="8"/>
      <c r="X427" s="8"/>
      <c r="Y427" s="8"/>
      <c r="Z427" s="10" t="s">
        <v>1102</v>
      </c>
      <c r="AA427" s="8" t="s">
        <v>331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1093</v>
      </c>
      <c r="E428" s="8" t="s">
        <v>128</v>
      </c>
      <c r="F428" s="8" t="s">
        <v>1919</v>
      </c>
      <c r="G428" s="8" t="s">
        <v>1109</v>
      </c>
      <c r="H428" s="8" t="s">
        <v>1819</v>
      </c>
      <c r="I428" s="8" t="s">
        <v>1134</v>
      </c>
      <c r="J428" s="8" t="s">
        <v>1111</v>
      </c>
      <c r="K428" s="8" t="s">
        <v>1099</v>
      </c>
      <c r="L428" s="10" t="s">
        <v>1135</v>
      </c>
      <c r="M428" s="10" t="s">
        <v>1136</v>
      </c>
      <c r="N428" s="10"/>
      <c r="O428" s="8" t="s">
        <v>321</v>
      </c>
      <c r="P428" s="8"/>
      <c r="Q428" s="8">
        <v>145</v>
      </c>
      <c r="R428" s="8">
        <v>6275</v>
      </c>
      <c r="S428" s="8" t="s">
        <v>331</v>
      </c>
      <c r="T428" s="8"/>
      <c r="U428" s="8"/>
      <c r="V428" s="8"/>
      <c r="W428" s="8"/>
      <c r="X428" s="8"/>
      <c r="Y428" s="8"/>
      <c r="Z428" s="10" t="s">
        <v>1102</v>
      </c>
      <c r="AA428" s="8" t="s">
        <v>331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1093</v>
      </c>
      <c r="E429" s="8" t="s">
        <v>128</v>
      </c>
      <c r="F429" s="8" t="s">
        <v>1919</v>
      </c>
      <c r="G429" s="8" t="s">
        <v>1820</v>
      </c>
      <c r="H429" s="8" t="s">
        <v>1544</v>
      </c>
      <c r="I429" s="8" t="s">
        <v>1139</v>
      </c>
      <c r="J429" s="8" t="s">
        <v>1140</v>
      </c>
      <c r="K429" s="8" t="s">
        <v>1099</v>
      </c>
      <c r="L429" s="10" t="s">
        <v>1141</v>
      </c>
      <c r="M429" s="10" t="s">
        <v>1142</v>
      </c>
      <c r="N429" s="10" t="s">
        <v>1143</v>
      </c>
      <c r="O429" s="8" t="s">
        <v>321</v>
      </c>
      <c r="P429" s="8"/>
      <c r="Q429" s="8">
        <v>330</v>
      </c>
      <c r="R429" s="8">
        <v>1548</v>
      </c>
      <c r="S429" s="8" t="s">
        <v>331</v>
      </c>
      <c r="T429" s="8"/>
      <c r="U429" s="8"/>
      <c r="V429" s="8"/>
      <c r="W429" s="8"/>
      <c r="X429" s="8"/>
      <c r="Y429" s="8"/>
      <c r="Z429" s="10" t="s">
        <v>1102</v>
      </c>
      <c r="AA429" s="8" t="s">
        <v>331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1093</v>
      </c>
      <c r="E430" s="8" t="s">
        <v>128</v>
      </c>
      <c r="F430" s="8" t="s">
        <v>1919</v>
      </c>
      <c r="G430" s="8" t="s">
        <v>1926</v>
      </c>
      <c r="H430" s="8" t="s">
        <v>1144</v>
      </c>
      <c r="I430" s="8" t="s">
        <v>1145</v>
      </c>
      <c r="J430" s="8" t="s">
        <v>1140</v>
      </c>
      <c r="K430" s="8" t="s">
        <v>1099</v>
      </c>
      <c r="L430" s="10" t="s">
        <v>1146</v>
      </c>
      <c r="M430" s="10" t="s">
        <v>1147</v>
      </c>
      <c r="N430" s="10" t="s">
        <v>1131</v>
      </c>
      <c r="O430" s="8" t="s">
        <v>321</v>
      </c>
      <c r="P430" s="8"/>
      <c r="Q430" s="8">
        <v>2875</v>
      </c>
      <c r="R430" s="8">
        <v>2911</v>
      </c>
      <c r="S430" s="8" t="s">
        <v>331</v>
      </c>
      <c r="T430" s="8"/>
      <c r="U430" s="8"/>
      <c r="V430" s="8"/>
      <c r="W430" s="8"/>
      <c r="X430" s="8"/>
      <c r="Y430" s="8"/>
      <c r="Z430" s="10" t="s">
        <v>1102</v>
      </c>
      <c r="AA430" s="8" t="s">
        <v>331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1093</v>
      </c>
      <c r="E431" s="8" t="s">
        <v>128</v>
      </c>
      <c r="F431" s="8" t="s">
        <v>1919</v>
      </c>
      <c r="G431" s="8" t="s">
        <v>1526</v>
      </c>
      <c r="H431" s="8" t="s">
        <v>1927</v>
      </c>
      <c r="I431" s="8" t="s">
        <v>1150</v>
      </c>
      <c r="J431" s="8" t="s">
        <v>1140</v>
      </c>
      <c r="K431" s="8" t="s">
        <v>1099</v>
      </c>
      <c r="L431" s="10" t="s">
        <v>1151</v>
      </c>
      <c r="M431" s="10" t="s">
        <v>1152</v>
      </c>
      <c r="N431" s="10" t="s">
        <v>1153</v>
      </c>
      <c r="O431" s="8" t="s">
        <v>321</v>
      </c>
      <c r="P431" s="8"/>
      <c r="Q431" s="8">
        <v>1112</v>
      </c>
      <c r="R431" s="8">
        <v>54166</v>
      </c>
      <c r="S431" s="8" t="s">
        <v>331</v>
      </c>
      <c r="T431" s="8"/>
      <c r="U431" s="8"/>
      <c r="V431" s="8"/>
      <c r="W431" s="8"/>
      <c r="X431" s="8"/>
      <c r="Y431" s="8"/>
      <c r="Z431" s="10" t="s">
        <v>1102</v>
      </c>
      <c r="AA431" s="8" t="s">
        <v>331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1093</v>
      </c>
      <c r="E432" s="8" t="s">
        <v>128</v>
      </c>
      <c r="F432" s="8" t="s">
        <v>1919</v>
      </c>
      <c r="G432" s="8" t="s">
        <v>1928</v>
      </c>
      <c r="H432" s="8" t="s">
        <v>1817</v>
      </c>
      <c r="I432" s="8" t="s">
        <v>1156</v>
      </c>
      <c r="J432" s="8" t="s">
        <v>1140</v>
      </c>
      <c r="K432" s="8" t="s">
        <v>1099</v>
      </c>
      <c r="L432" s="10" t="s">
        <v>1157</v>
      </c>
      <c r="M432" s="10" t="s">
        <v>1158</v>
      </c>
      <c r="N432" s="10"/>
      <c r="O432" s="8" t="s">
        <v>1106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1102</v>
      </c>
      <c r="AA432" s="8" t="s">
        <v>331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1093</v>
      </c>
      <c r="E433" s="8" t="s">
        <v>128</v>
      </c>
      <c r="F433" s="8" t="s">
        <v>1923</v>
      </c>
      <c r="G433" s="8" t="s">
        <v>1929</v>
      </c>
      <c r="H433" s="8" t="s">
        <v>1829</v>
      </c>
      <c r="I433" s="8" t="s">
        <v>1162</v>
      </c>
      <c r="J433" s="8" t="s">
        <v>1140</v>
      </c>
      <c r="K433" s="8" t="s">
        <v>1099</v>
      </c>
      <c r="L433" s="10" t="s">
        <v>1163</v>
      </c>
      <c r="M433" s="10" t="s">
        <v>1164</v>
      </c>
      <c r="N433" s="10" t="s">
        <v>1131</v>
      </c>
      <c r="O433" s="8" t="s">
        <v>321</v>
      </c>
      <c r="P433" s="8"/>
      <c r="Q433" s="8">
        <v>499</v>
      </c>
      <c r="R433" s="8">
        <v>1486</v>
      </c>
      <c r="S433" s="8" t="s">
        <v>331</v>
      </c>
      <c r="T433" s="8"/>
      <c r="U433" s="8"/>
      <c r="V433" s="8"/>
      <c r="W433" s="8"/>
      <c r="X433" s="8"/>
      <c r="Y433" s="8"/>
      <c r="Z433" s="10" t="s">
        <v>1102</v>
      </c>
      <c r="AA433" s="8" t="s">
        <v>331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1093</v>
      </c>
      <c r="E434" s="8" t="s">
        <v>128</v>
      </c>
      <c r="F434" s="8" t="s">
        <v>1921</v>
      </c>
      <c r="G434" s="8" t="s">
        <v>1805</v>
      </c>
      <c r="H434" s="8" t="s">
        <v>1930</v>
      </c>
      <c r="I434" s="8" t="s">
        <v>1175</v>
      </c>
      <c r="J434" s="8" t="s">
        <v>1169</v>
      </c>
      <c r="K434" s="8" t="s">
        <v>1099</v>
      </c>
      <c r="L434" s="10" t="s">
        <v>1123</v>
      </c>
      <c r="M434" s="10" t="s">
        <v>1124</v>
      </c>
      <c r="N434" s="10" t="s">
        <v>1176</v>
      </c>
      <c r="O434" s="8" t="s">
        <v>321</v>
      </c>
      <c r="P434" s="8"/>
      <c r="Q434" s="8"/>
      <c r="R434" s="8">
        <v>81688</v>
      </c>
      <c r="S434" s="8" t="s">
        <v>331</v>
      </c>
      <c r="T434" s="8"/>
      <c r="U434" s="8"/>
      <c r="V434" s="8"/>
      <c r="W434" s="8"/>
      <c r="X434" s="8"/>
      <c r="Y434" s="8"/>
      <c r="Z434" s="10" t="s">
        <v>1102</v>
      </c>
      <c r="AA434" s="8" t="s">
        <v>331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1093</v>
      </c>
      <c r="E435" s="8" t="s">
        <v>128</v>
      </c>
      <c r="F435" s="8" t="s">
        <v>1931</v>
      </c>
      <c r="G435" s="8" t="s">
        <v>1166</v>
      </c>
      <c r="H435" s="8" t="s">
        <v>1343</v>
      </c>
      <c r="I435" s="8" t="s">
        <v>1545</v>
      </c>
      <c r="J435" s="8" t="s">
        <v>1169</v>
      </c>
      <c r="K435" s="8" t="s">
        <v>1099</v>
      </c>
      <c r="L435" s="10" t="s">
        <v>1546</v>
      </c>
      <c r="M435" s="10" t="s">
        <v>1547</v>
      </c>
      <c r="N435" s="10" t="s">
        <v>128</v>
      </c>
      <c r="O435" s="8" t="s">
        <v>362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1932</v>
      </c>
      <c r="AA435" s="8" t="s">
        <v>331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1093</v>
      </c>
      <c r="E436" s="8" t="s">
        <v>128</v>
      </c>
      <c r="F436" s="8" t="s">
        <v>1923</v>
      </c>
      <c r="G436" s="8" t="s">
        <v>1933</v>
      </c>
      <c r="H436" s="8" t="s">
        <v>1776</v>
      </c>
      <c r="I436" s="8" t="s">
        <v>1179</v>
      </c>
      <c r="J436" s="8" t="s">
        <v>1169</v>
      </c>
      <c r="K436" s="8" t="s">
        <v>1099</v>
      </c>
      <c r="L436" s="10" t="s">
        <v>1180</v>
      </c>
      <c r="M436" s="10" t="s">
        <v>1181</v>
      </c>
      <c r="N436" s="10" t="s">
        <v>128</v>
      </c>
      <c r="O436" s="8" t="s">
        <v>321</v>
      </c>
      <c r="P436" s="8"/>
      <c r="Q436" s="8"/>
      <c r="R436" s="8">
        <v>47930</v>
      </c>
      <c r="S436" s="8" t="s">
        <v>331</v>
      </c>
      <c r="T436" s="8"/>
      <c r="U436" s="8"/>
      <c r="V436" s="8"/>
      <c r="W436" s="8"/>
      <c r="X436" s="8"/>
      <c r="Y436" s="8"/>
      <c r="Z436" s="10" t="s">
        <v>1102</v>
      </c>
      <c r="AA436" s="8" t="s">
        <v>331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1093</v>
      </c>
      <c r="E437" s="8" t="s">
        <v>128</v>
      </c>
      <c r="F437" s="8" t="s">
        <v>1934</v>
      </c>
      <c r="G437" s="8" t="s">
        <v>1570</v>
      </c>
      <c r="H437" s="8" t="s">
        <v>1844</v>
      </c>
      <c r="I437" s="8" t="s">
        <v>1935</v>
      </c>
      <c r="J437" s="8" t="s">
        <v>1169</v>
      </c>
      <c r="K437" s="8" t="s">
        <v>1099</v>
      </c>
      <c r="L437" s="10" t="s">
        <v>1546</v>
      </c>
      <c r="M437" s="10" t="s">
        <v>566</v>
      </c>
      <c r="N437" s="10"/>
      <c r="O437" s="8" t="s">
        <v>1106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1102</v>
      </c>
      <c r="AA437" s="8" t="s">
        <v>331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1093</v>
      </c>
      <c r="E438" s="8" t="s">
        <v>128</v>
      </c>
      <c r="F438" s="8" t="s">
        <v>1936</v>
      </c>
      <c r="G438" s="8" t="s">
        <v>1696</v>
      </c>
      <c r="H438" s="8" t="s">
        <v>1697</v>
      </c>
      <c r="I438" s="8" t="s">
        <v>1185</v>
      </c>
      <c r="J438" s="8" t="s">
        <v>1169</v>
      </c>
      <c r="K438" s="8" t="s">
        <v>1099</v>
      </c>
      <c r="L438" s="10" t="s">
        <v>1186</v>
      </c>
      <c r="M438" s="10" t="s">
        <v>1187</v>
      </c>
      <c r="N438" s="10" t="s">
        <v>1188</v>
      </c>
      <c r="O438" s="8" t="s">
        <v>321</v>
      </c>
      <c r="P438" s="8"/>
      <c r="Q438" s="8"/>
      <c r="R438" s="8">
        <v>22962</v>
      </c>
      <c r="S438" s="8" t="s">
        <v>331</v>
      </c>
      <c r="T438" s="8"/>
      <c r="U438" s="8"/>
      <c r="V438" s="8"/>
      <c r="W438" s="8"/>
      <c r="X438" s="8"/>
      <c r="Y438" s="8"/>
      <c r="Z438" s="10" t="s">
        <v>1102</v>
      </c>
      <c r="AA438" s="8" t="s">
        <v>331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1093</v>
      </c>
      <c r="E439" s="8" t="s">
        <v>128</v>
      </c>
      <c r="F439" s="8" t="s">
        <v>1937</v>
      </c>
      <c r="G439" s="8" t="s">
        <v>1273</v>
      </c>
      <c r="H439" s="8" t="s">
        <v>1318</v>
      </c>
      <c r="I439" s="8" t="s">
        <v>1825</v>
      </c>
      <c r="J439" s="8" t="s">
        <v>1169</v>
      </c>
      <c r="K439" s="8" t="s">
        <v>1099</v>
      </c>
      <c r="L439" s="10" t="s">
        <v>1546</v>
      </c>
      <c r="M439" s="10" t="s">
        <v>1826</v>
      </c>
      <c r="N439" s="10" t="s">
        <v>128</v>
      </c>
      <c r="O439" s="8" t="s">
        <v>321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331</v>
      </c>
      <c r="Z439" s="10" t="s">
        <v>1938</v>
      </c>
      <c r="AA439" s="8" t="s">
        <v>331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1093</v>
      </c>
      <c r="E440" s="8" t="s">
        <v>128</v>
      </c>
      <c r="F440" s="8" t="s">
        <v>1936</v>
      </c>
      <c r="G440" s="8" t="s">
        <v>1939</v>
      </c>
      <c r="H440" s="8" t="s">
        <v>1507</v>
      </c>
      <c r="I440" s="8" t="s">
        <v>1192</v>
      </c>
      <c r="J440" s="8" t="s">
        <v>1193</v>
      </c>
      <c r="K440" s="8" t="s">
        <v>1099</v>
      </c>
      <c r="L440" s="10" t="s">
        <v>1194</v>
      </c>
      <c r="M440" s="10" t="s">
        <v>1195</v>
      </c>
      <c r="N440" s="10" t="s">
        <v>128</v>
      </c>
      <c r="O440" s="8" t="s">
        <v>321</v>
      </c>
      <c r="P440" s="8"/>
      <c r="Q440" s="8"/>
      <c r="R440" s="8">
        <v>56604</v>
      </c>
      <c r="S440" s="8" t="s">
        <v>331</v>
      </c>
      <c r="T440" s="8"/>
      <c r="U440" s="8"/>
      <c r="V440" s="8"/>
      <c r="W440" s="8"/>
      <c r="X440" s="8"/>
      <c r="Y440" s="8"/>
      <c r="Z440" s="10" t="s">
        <v>1102</v>
      </c>
      <c r="AA440" s="8" t="s">
        <v>331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1093</v>
      </c>
      <c r="E441" s="8" t="s">
        <v>128</v>
      </c>
      <c r="F441" s="8" t="s">
        <v>1936</v>
      </c>
      <c r="G441" s="8" t="s">
        <v>1715</v>
      </c>
      <c r="H441" s="8" t="s">
        <v>1940</v>
      </c>
      <c r="I441" s="8" t="s">
        <v>1198</v>
      </c>
      <c r="J441" s="8" t="s">
        <v>1193</v>
      </c>
      <c r="K441" s="8" t="s">
        <v>1099</v>
      </c>
      <c r="L441" s="10" t="s">
        <v>1199</v>
      </c>
      <c r="M441" s="10" t="s">
        <v>1200</v>
      </c>
      <c r="N441" s="10"/>
      <c r="O441" s="8" t="s">
        <v>321</v>
      </c>
      <c r="P441" s="8"/>
      <c r="Q441" s="8"/>
      <c r="R441" s="8">
        <v>23400</v>
      </c>
      <c r="S441" s="8" t="s">
        <v>331</v>
      </c>
      <c r="T441" s="8"/>
      <c r="U441" s="8"/>
      <c r="V441" s="8"/>
      <c r="W441" s="8"/>
      <c r="X441" s="8"/>
      <c r="Y441" s="8"/>
      <c r="Z441" s="10" t="s">
        <v>1102</v>
      </c>
      <c r="AA441" s="8" t="s">
        <v>331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1093</v>
      </c>
      <c r="E442" s="8" t="s">
        <v>128</v>
      </c>
      <c r="F442" s="8" t="s">
        <v>1941</v>
      </c>
      <c r="G442" s="8" t="s">
        <v>1942</v>
      </c>
      <c r="H442" s="8" t="s">
        <v>1912</v>
      </c>
      <c r="I442" s="8" t="s">
        <v>1198</v>
      </c>
      <c r="J442" s="8" t="s">
        <v>1193</v>
      </c>
      <c r="K442" s="8" t="s">
        <v>1099</v>
      </c>
      <c r="L442" s="10" t="s">
        <v>1199</v>
      </c>
      <c r="M442" s="10" t="s">
        <v>1200</v>
      </c>
      <c r="N442" s="10"/>
      <c r="O442" s="8" t="s">
        <v>362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1943</v>
      </c>
      <c r="AA442" s="8" t="s">
        <v>331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1093</v>
      </c>
      <c r="E443" s="8" t="s">
        <v>128</v>
      </c>
      <c r="F443" s="8" t="s">
        <v>1919</v>
      </c>
      <c r="G443" s="8" t="s">
        <v>1845</v>
      </c>
      <c r="H443" s="8" t="s">
        <v>1944</v>
      </c>
      <c r="I443" s="8" t="s">
        <v>1203</v>
      </c>
      <c r="J443" s="8" t="s">
        <v>1204</v>
      </c>
      <c r="K443" s="8" t="s">
        <v>1099</v>
      </c>
      <c r="L443" s="10" t="s">
        <v>1205</v>
      </c>
      <c r="M443" s="10" t="s">
        <v>1206</v>
      </c>
      <c r="N443" s="10" t="s">
        <v>128</v>
      </c>
      <c r="O443" s="8" t="s">
        <v>321</v>
      </c>
      <c r="P443" s="8"/>
      <c r="Q443" s="8">
        <v>11616</v>
      </c>
      <c r="R443" s="8">
        <v>153092</v>
      </c>
      <c r="S443" s="8" t="s">
        <v>331</v>
      </c>
      <c r="T443" s="8"/>
      <c r="U443" s="8"/>
      <c r="V443" s="8"/>
      <c r="W443" s="8"/>
      <c r="X443" s="8"/>
      <c r="Y443" s="8"/>
      <c r="Z443" s="10" t="s">
        <v>1102</v>
      </c>
      <c r="AA443" s="8" t="s">
        <v>331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1093</v>
      </c>
      <c r="E444" s="8" t="s">
        <v>128</v>
      </c>
      <c r="F444" s="8" t="s">
        <v>1936</v>
      </c>
      <c r="G444" s="8" t="s">
        <v>1174</v>
      </c>
      <c r="H444" s="8" t="s">
        <v>1302</v>
      </c>
      <c r="I444" s="8" t="s">
        <v>1209</v>
      </c>
      <c r="J444" s="8" t="s">
        <v>1204</v>
      </c>
      <c r="K444" s="8" t="s">
        <v>1099</v>
      </c>
      <c r="L444" s="10" t="s">
        <v>1210</v>
      </c>
      <c r="M444" s="10" t="s">
        <v>1211</v>
      </c>
      <c r="N444" s="10" t="s">
        <v>1188</v>
      </c>
      <c r="O444" s="8" t="s">
        <v>321</v>
      </c>
      <c r="P444" s="8"/>
      <c r="Q444" s="8">
        <v>1871</v>
      </c>
      <c r="R444" s="8">
        <v>262709</v>
      </c>
      <c r="S444" s="8" t="s">
        <v>331</v>
      </c>
      <c r="T444" s="8"/>
      <c r="U444" s="8"/>
      <c r="V444" s="8"/>
      <c r="W444" s="8"/>
      <c r="X444" s="8"/>
      <c r="Y444" s="8"/>
      <c r="Z444" s="10" t="s">
        <v>1102</v>
      </c>
      <c r="AA444" s="8" t="s">
        <v>331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1093</v>
      </c>
      <c r="E445" s="8" t="s">
        <v>128</v>
      </c>
      <c r="F445" s="8" t="s">
        <v>1921</v>
      </c>
      <c r="G445" s="8" t="s">
        <v>1207</v>
      </c>
      <c r="H445" s="8" t="s">
        <v>1945</v>
      </c>
      <c r="I445" s="8" t="s">
        <v>1213</v>
      </c>
      <c r="J445" s="8" t="s">
        <v>1214</v>
      </c>
      <c r="K445" s="8" t="s">
        <v>1099</v>
      </c>
      <c r="L445" s="10" t="s">
        <v>1123</v>
      </c>
      <c r="M445" s="10" t="s">
        <v>1124</v>
      </c>
      <c r="N445" s="10" t="s">
        <v>1215</v>
      </c>
      <c r="O445" s="8" t="s">
        <v>321</v>
      </c>
      <c r="P445" s="8"/>
      <c r="Q445" s="8"/>
      <c r="R445" s="8">
        <v>115199</v>
      </c>
      <c r="S445" s="8" t="s">
        <v>331</v>
      </c>
      <c r="T445" s="8"/>
      <c r="U445" s="8"/>
      <c r="V445" s="8"/>
      <c r="W445" s="8"/>
      <c r="X445" s="8"/>
      <c r="Y445" s="8"/>
      <c r="Z445" s="10" t="s">
        <v>1102</v>
      </c>
      <c r="AA445" s="8" t="s">
        <v>331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1093</v>
      </c>
      <c r="E446" s="8" t="s">
        <v>128</v>
      </c>
      <c r="F446" s="8" t="s">
        <v>1931</v>
      </c>
      <c r="G446" s="8" t="s">
        <v>1174</v>
      </c>
      <c r="H446" s="8" t="s">
        <v>1716</v>
      </c>
      <c r="I446" s="8" t="s">
        <v>1213</v>
      </c>
      <c r="J446" s="8" t="s">
        <v>1214</v>
      </c>
      <c r="K446" s="8" t="s">
        <v>1099</v>
      </c>
      <c r="L446" s="10" t="s">
        <v>1123</v>
      </c>
      <c r="M446" s="10" t="s">
        <v>1124</v>
      </c>
      <c r="N446" s="10" t="s">
        <v>1215</v>
      </c>
      <c r="O446" s="8" t="s">
        <v>362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1946</v>
      </c>
      <c r="AA446" s="8" t="s">
        <v>331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1093</v>
      </c>
      <c r="E447" s="8" t="s">
        <v>128</v>
      </c>
      <c r="F447" s="8" t="s">
        <v>1923</v>
      </c>
      <c r="G447" s="8" t="s">
        <v>1913</v>
      </c>
      <c r="H447" s="8" t="s">
        <v>1947</v>
      </c>
      <c r="I447" s="8" t="s">
        <v>1216</v>
      </c>
      <c r="J447" s="8" t="s">
        <v>1217</v>
      </c>
      <c r="K447" s="8" t="s">
        <v>1099</v>
      </c>
      <c r="L447" s="10" t="s">
        <v>1218</v>
      </c>
      <c r="M447" s="10" t="s">
        <v>1219</v>
      </c>
      <c r="N447" s="10" t="s">
        <v>1220</v>
      </c>
      <c r="O447" s="8" t="s">
        <v>321</v>
      </c>
      <c r="P447" s="8"/>
      <c r="Q447" s="8">
        <v>32581</v>
      </c>
      <c r="R447" s="8">
        <v>32461</v>
      </c>
      <c r="S447" s="8" t="s">
        <v>331</v>
      </c>
      <c r="T447" s="8"/>
      <c r="U447" s="8"/>
      <c r="V447" s="8"/>
      <c r="W447" s="8"/>
      <c r="X447" s="8"/>
      <c r="Y447" s="8"/>
      <c r="Z447" s="10" t="s">
        <v>1102</v>
      </c>
      <c r="AA447" s="8" t="s">
        <v>331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1093</v>
      </c>
      <c r="E448" s="8" t="s">
        <v>128</v>
      </c>
      <c r="F448" s="8" t="s">
        <v>1923</v>
      </c>
      <c r="G448" s="8" t="s">
        <v>1948</v>
      </c>
      <c r="H448" s="8" t="s">
        <v>1949</v>
      </c>
      <c r="I448" s="8" t="s">
        <v>1223</v>
      </c>
      <c r="J448" s="8" t="s">
        <v>1217</v>
      </c>
      <c r="K448" s="8" t="s">
        <v>1099</v>
      </c>
      <c r="L448" s="10" t="s">
        <v>1224</v>
      </c>
      <c r="M448" s="10" t="s">
        <v>1225</v>
      </c>
      <c r="N448" s="10" t="s">
        <v>1226</v>
      </c>
      <c r="O448" s="8" t="s">
        <v>321</v>
      </c>
      <c r="P448" s="8"/>
      <c r="Q448" s="8">
        <v>4841</v>
      </c>
      <c r="R448" s="8">
        <v>38838</v>
      </c>
      <c r="S448" s="8" t="s">
        <v>331</v>
      </c>
      <c r="T448" s="8"/>
      <c r="U448" s="8"/>
      <c r="V448" s="8"/>
      <c r="W448" s="8"/>
      <c r="X448" s="8"/>
      <c r="Y448" s="8"/>
      <c r="Z448" s="10" t="s">
        <v>1102</v>
      </c>
      <c r="AA448" s="8" t="s">
        <v>331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1093</v>
      </c>
      <c r="E449" s="8" t="s">
        <v>128</v>
      </c>
      <c r="F449" s="8" t="s">
        <v>1950</v>
      </c>
      <c r="G449" s="8" t="s">
        <v>1645</v>
      </c>
      <c r="H449" s="8" t="s">
        <v>1951</v>
      </c>
      <c r="I449" s="8" t="s">
        <v>1223</v>
      </c>
      <c r="J449" s="8" t="s">
        <v>1217</v>
      </c>
      <c r="K449" s="8" t="s">
        <v>1099</v>
      </c>
      <c r="L449" s="10" t="s">
        <v>1224</v>
      </c>
      <c r="M449" s="10" t="s">
        <v>1225</v>
      </c>
      <c r="N449" s="10" t="s">
        <v>1226</v>
      </c>
      <c r="O449" s="8" t="s">
        <v>1106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1102</v>
      </c>
      <c r="AA449" s="8" t="s">
        <v>331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1093</v>
      </c>
      <c r="E450" s="8" t="s">
        <v>128</v>
      </c>
      <c r="F450" s="8" t="s">
        <v>1952</v>
      </c>
      <c r="G450" s="8" t="s">
        <v>1953</v>
      </c>
      <c r="H450" s="8" t="s">
        <v>1691</v>
      </c>
      <c r="I450" s="8" t="s">
        <v>1229</v>
      </c>
      <c r="J450" s="8" t="s">
        <v>1217</v>
      </c>
      <c r="K450" s="8" t="s">
        <v>1099</v>
      </c>
      <c r="L450" s="10" t="s">
        <v>1230</v>
      </c>
      <c r="M450" s="10" t="s">
        <v>1231</v>
      </c>
      <c r="N450" s="10" t="s">
        <v>128</v>
      </c>
      <c r="O450" s="8" t="s">
        <v>362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1954</v>
      </c>
      <c r="AA450" s="8" t="s">
        <v>331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1093</v>
      </c>
      <c r="E451" s="8" t="s">
        <v>128</v>
      </c>
      <c r="F451" s="8" t="s">
        <v>1919</v>
      </c>
      <c r="G451" s="8" t="s">
        <v>1955</v>
      </c>
      <c r="H451" s="8" t="s">
        <v>1956</v>
      </c>
      <c r="I451" s="8" t="s">
        <v>1229</v>
      </c>
      <c r="J451" s="8" t="s">
        <v>1217</v>
      </c>
      <c r="K451" s="8" t="s">
        <v>1099</v>
      </c>
      <c r="L451" s="10" t="s">
        <v>1230</v>
      </c>
      <c r="M451" s="10" t="s">
        <v>1231</v>
      </c>
      <c r="N451" s="10" t="s">
        <v>128</v>
      </c>
      <c r="O451" s="8" t="s">
        <v>321</v>
      </c>
      <c r="P451" s="8"/>
      <c r="Q451" s="8">
        <v>16130</v>
      </c>
      <c r="R451" s="8">
        <v>22457</v>
      </c>
      <c r="S451" s="8" t="s">
        <v>331</v>
      </c>
      <c r="T451" s="8"/>
      <c r="U451" s="8"/>
      <c r="V451" s="8"/>
      <c r="W451" s="8"/>
      <c r="X451" s="8"/>
      <c r="Y451" s="8"/>
      <c r="Z451" s="10" t="s">
        <v>1102</v>
      </c>
      <c r="AA451" s="8" t="s">
        <v>331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1093</v>
      </c>
      <c r="E452" s="8" t="s">
        <v>128</v>
      </c>
      <c r="F452" s="8" t="s">
        <v>1957</v>
      </c>
      <c r="G452" s="8" t="s">
        <v>1534</v>
      </c>
      <c r="H452" s="8" t="s">
        <v>1765</v>
      </c>
      <c r="I452" s="8" t="s">
        <v>1243</v>
      </c>
      <c r="J452" s="8" t="s">
        <v>1244</v>
      </c>
      <c r="K452" s="8" t="s">
        <v>1099</v>
      </c>
      <c r="L452" s="10" t="s">
        <v>1236</v>
      </c>
      <c r="M452" s="10" t="s">
        <v>1237</v>
      </c>
      <c r="N452" s="10" t="s">
        <v>1238</v>
      </c>
      <c r="O452" s="8" t="s">
        <v>321</v>
      </c>
      <c r="P452" s="8"/>
      <c r="Q452" s="8">
        <v>338</v>
      </c>
      <c r="R452" s="8">
        <v>13199</v>
      </c>
      <c r="S452" s="8" t="s">
        <v>331</v>
      </c>
      <c r="T452" s="8"/>
      <c r="U452" s="8"/>
      <c r="V452" s="8"/>
      <c r="W452" s="8"/>
      <c r="X452" s="8"/>
      <c r="Y452" s="8"/>
      <c r="Z452" s="10" t="s">
        <v>1102</v>
      </c>
      <c r="AA452" s="8" t="s">
        <v>331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1093</v>
      </c>
      <c r="E453" s="8" t="s">
        <v>128</v>
      </c>
      <c r="F453" s="8" t="s">
        <v>1923</v>
      </c>
      <c r="G453" s="8" t="s">
        <v>1804</v>
      </c>
      <c r="H453" s="8" t="s">
        <v>1763</v>
      </c>
      <c r="I453" s="8" t="s">
        <v>1724</v>
      </c>
      <c r="J453" s="8" t="s">
        <v>1725</v>
      </c>
      <c r="K453" s="8" t="s">
        <v>1099</v>
      </c>
      <c r="L453" s="10" t="s">
        <v>1249</v>
      </c>
      <c r="M453" s="10" t="s">
        <v>1250</v>
      </c>
      <c r="N453" s="10"/>
      <c r="O453" s="8" t="s">
        <v>321</v>
      </c>
      <c r="P453" s="8"/>
      <c r="Q453" s="8"/>
      <c r="R453" s="8">
        <v>15986</v>
      </c>
      <c r="S453" s="8" t="s">
        <v>331</v>
      </c>
      <c r="T453" s="8"/>
      <c r="U453" s="8"/>
      <c r="V453" s="8"/>
      <c r="W453" s="8"/>
      <c r="X453" s="8"/>
      <c r="Y453" s="8"/>
      <c r="Z453" s="10" t="s">
        <v>1102</v>
      </c>
      <c r="AA453" s="8" t="s">
        <v>331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1093</v>
      </c>
      <c r="E454" s="8" t="s">
        <v>128</v>
      </c>
      <c r="F454" s="8" t="s">
        <v>1957</v>
      </c>
      <c r="G454" s="8" t="s">
        <v>1958</v>
      </c>
      <c r="H454" s="8" t="s">
        <v>1414</v>
      </c>
      <c r="I454" s="8" t="s">
        <v>1251</v>
      </c>
      <c r="J454" s="8" t="s">
        <v>1252</v>
      </c>
      <c r="K454" s="8" t="s">
        <v>1099</v>
      </c>
      <c r="L454" s="10" t="s">
        <v>1236</v>
      </c>
      <c r="M454" s="10" t="s">
        <v>1237</v>
      </c>
      <c r="N454" s="10" t="s">
        <v>1253</v>
      </c>
      <c r="O454" s="8" t="s">
        <v>321</v>
      </c>
      <c r="P454" s="8"/>
      <c r="Q454" s="8"/>
      <c r="R454" s="8">
        <v>107176</v>
      </c>
      <c r="S454" s="8" t="s">
        <v>331</v>
      </c>
      <c r="T454" s="8"/>
      <c r="U454" s="8" t="s">
        <v>331</v>
      </c>
      <c r="V454" s="8"/>
      <c r="W454" s="8"/>
      <c r="X454" s="8"/>
      <c r="Y454" s="8"/>
      <c r="Z454" s="10" t="s">
        <v>1959</v>
      </c>
      <c r="AA454" s="8" t="s">
        <v>331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1093</v>
      </c>
      <c r="E455" s="8" t="s">
        <v>128</v>
      </c>
      <c r="F455" s="8" t="s">
        <v>1957</v>
      </c>
      <c r="G455" s="8" t="s">
        <v>1572</v>
      </c>
      <c r="H455" s="8" t="s">
        <v>1167</v>
      </c>
      <c r="I455" s="8" t="s">
        <v>1256</v>
      </c>
      <c r="J455" s="8" t="s">
        <v>1252</v>
      </c>
      <c r="K455" s="8" t="s">
        <v>1099</v>
      </c>
      <c r="L455" s="10" t="s">
        <v>1236</v>
      </c>
      <c r="M455" s="10" t="s">
        <v>1237</v>
      </c>
      <c r="N455" s="10" t="s">
        <v>1257</v>
      </c>
      <c r="O455" s="8" t="s">
        <v>321</v>
      </c>
      <c r="P455" s="8"/>
      <c r="Q455" s="8"/>
      <c r="R455" s="8">
        <v>50509</v>
      </c>
      <c r="S455" s="8" t="s">
        <v>331</v>
      </c>
      <c r="T455" s="8"/>
      <c r="U455" s="8"/>
      <c r="V455" s="8"/>
      <c r="W455" s="8"/>
      <c r="X455" s="8"/>
      <c r="Y455" s="8"/>
      <c r="Z455" s="10" t="s">
        <v>1102</v>
      </c>
      <c r="AA455" s="8" t="s">
        <v>331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1093</v>
      </c>
      <c r="E456" s="8" t="s">
        <v>128</v>
      </c>
      <c r="F456" s="8" t="s">
        <v>1960</v>
      </c>
      <c r="G456" s="8" t="s">
        <v>1149</v>
      </c>
      <c r="H456" s="8" t="s">
        <v>1961</v>
      </c>
      <c r="I456" s="8" t="s">
        <v>1962</v>
      </c>
      <c r="J456" s="8" t="s">
        <v>1963</v>
      </c>
      <c r="K456" s="8" t="s">
        <v>1496</v>
      </c>
      <c r="L456" s="10" t="s">
        <v>1515</v>
      </c>
      <c r="M456" s="10" t="s">
        <v>1964</v>
      </c>
      <c r="N456" s="10" t="s">
        <v>1965</v>
      </c>
      <c r="O456" s="8" t="s">
        <v>321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331</v>
      </c>
      <c r="Z456" s="10" t="s">
        <v>1966</v>
      </c>
      <c r="AA456" s="8" t="s">
        <v>331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1093</v>
      </c>
      <c r="E457" s="8" t="s">
        <v>123</v>
      </c>
      <c r="F457" s="8" t="s">
        <v>1936</v>
      </c>
      <c r="G457" s="8" t="s">
        <v>1284</v>
      </c>
      <c r="H457" s="8" t="s">
        <v>1166</v>
      </c>
      <c r="I457" s="8" t="s">
        <v>1267</v>
      </c>
      <c r="J457" s="8" t="s">
        <v>1111</v>
      </c>
      <c r="K457" s="8" t="s">
        <v>1099</v>
      </c>
      <c r="L457" s="10" t="s">
        <v>1268</v>
      </c>
      <c r="M457" s="10" t="s">
        <v>1269</v>
      </c>
      <c r="N457" s="10" t="s">
        <v>1584</v>
      </c>
      <c r="O457" s="8" t="s">
        <v>321</v>
      </c>
      <c r="P457" s="8"/>
      <c r="Q457" s="8">
        <v>10968</v>
      </c>
      <c r="R457" s="8">
        <v>61890</v>
      </c>
      <c r="S457" s="8" t="s">
        <v>331</v>
      </c>
      <c r="T457" s="8"/>
      <c r="U457" s="8"/>
      <c r="V457" s="8"/>
      <c r="W457" s="8"/>
      <c r="X457" s="8"/>
      <c r="Y457" s="8"/>
      <c r="Z457" s="10" t="s">
        <v>1738</v>
      </c>
      <c r="AA457" s="8" t="s">
        <v>331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1093</v>
      </c>
      <c r="E458" s="8" t="s">
        <v>123</v>
      </c>
      <c r="F458" s="8" t="s">
        <v>1967</v>
      </c>
      <c r="G458" s="8" t="s">
        <v>1279</v>
      </c>
      <c r="H458" s="8" t="s">
        <v>1160</v>
      </c>
      <c r="I458" s="8" t="s">
        <v>1267</v>
      </c>
      <c r="J458" s="8" t="s">
        <v>1111</v>
      </c>
      <c r="K458" s="8" t="s">
        <v>1099</v>
      </c>
      <c r="L458" s="10" t="s">
        <v>1268</v>
      </c>
      <c r="M458" s="10" t="s">
        <v>1269</v>
      </c>
      <c r="N458" s="10" t="s">
        <v>1584</v>
      </c>
      <c r="O458" s="8" t="s">
        <v>321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331</v>
      </c>
      <c r="Z458" s="10" t="s">
        <v>1968</v>
      </c>
      <c r="AA458" s="8" t="s">
        <v>331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1093</v>
      </c>
      <c r="E459" s="8" t="s">
        <v>123</v>
      </c>
      <c r="F459" s="8" t="s">
        <v>1921</v>
      </c>
      <c r="G459" s="8" t="s">
        <v>1969</v>
      </c>
      <c r="H459" s="8" t="s">
        <v>1970</v>
      </c>
      <c r="I459" s="8" t="s">
        <v>1267</v>
      </c>
      <c r="J459" s="8" t="s">
        <v>1111</v>
      </c>
      <c r="K459" s="8" t="s">
        <v>1099</v>
      </c>
      <c r="L459" s="10" t="s">
        <v>1268</v>
      </c>
      <c r="M459" s="10" t="s">
        <v>1269</v>
      </c>
      <c r="N459" s="10" t="s">
        <v>1584</v>
      </c>
      <c r="O459" s="8" t="s">
        <v>321</v>
      </c>
      <c r="P459" s="8"/>
      <c r="Q459" s="8">
        <v>8968</v>
      </c>
      <c r="R459" s="8">
        <v>63890</v>
      </c>
      <c r="S459" s="8" t="s">
        <v>331</v>
      </c>
      <c r="T459" s="8"/>
      <c r="U459" s="8"/>
      <c r="V459" s="8"/>
      <c r="W459" s="8"/>
      <c r="X459" s="8"/>
      <c r="Y459" s="8"/>
      <c r="Z459" s="10" t="s">
        <v>1738</v>
      </c>
      <c r="AA459" s="8" t="s">
        <v>331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1093</v>
      </c>
      <c r="E460" s="8" t="s">
        <v>123</v>
      </c>
      <c r="F460" s="8" t="s">
        <v>1934</v>
      </c>
      <c r="G460" s="8" t="s">
        <v>1196</v>
      </c>
      <c r="H460" s="8" t="s">
        <v>1971</v>
      </c>
      <c r="I460" s="8" t="s">
        <v>1274</v>
      </c>
      <c r="J460" s="8" t="s">
        <v>1111</v>
      </c>
      <c r="K460" s="8" t="s">
        <v>1099</v>
      </c>
      <c r="L460" s="10" t="s">
        <v>1275</v>
      </c>
      <c r="M460" s="10" t="s">
        <v>1276</v>
      </c>
      <c r="N460" s="10" t="s">
        <v>1277</v>
      </c>
      <c r="O460" s="8" t="s">
        <v>321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331</v>
      </c>
      <c r="Z460" s="10" t="s">
        <v>1972</v>
      </c>
      <c r="AA460" s="8" t="s">
        <v>331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1093</v>
      </c>
      <c r="E461" s="8" t="s">
        <v>123</v>
      </c>
      <c r="F461" s="8" t="s">
        <v>1931</v>
      </c>
      <c r="G461" s="8" t="s">
        <v>1196</v>
      </c>
      <c r="H461" s="8" t="s">
        <v>1279</v>
      </c>
      <c r="I461" s="8" t="s">
        <v>1286</v>
      </c>
      <c r="J461" s="8" t="s">
        <v>1111</v>
      </c>
      <c r="K461" s="8" t="s">
        <v>1099</v>
      </c>
      <c r="L461" s="10" t="s">
        <v>1287</v>
      </c>
      <c r="M461" s="10" t="s">
        <v>1288</v>
      </c>
      <c r="N461" s="10" t="s">
        <v>1289</v>
      </c>
      <c r="O461" s="8" t="s">
        <v>321</v>
      </c>
      <c r="P461" s="8"/>
      <c r="Q461" s="8">
        <v>14198</v>
      </c>
      <c r="R461" s="8">
        <v>128153</v>
      </c>
      <c r="S461" s="8" t="s">
        <v>331</v>
      </c>
      <c r="T461" s="8"/>
      <c r="U461" s="8"/>
      <c r="V461" s="8"/>
      <c r="W461" s="8"/>
      <c r="X461" s="8"/>
      <c r="Y461" s="8"/>
      <c r="Z461" s="10" t="s">
        <v>1738</v>
      </c>
      <c r="AA461" s="8" t="s">
        <v>331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1093</v>
      </c>
      <c r="E462" s="8" t="s">
        <v>123</v>
      </c>
      <c r="F462" s="8" t="s">
        <v>1973</v>
      </c>
      <c r="G462" s="8" t="s">
        <v>1279</v>
      </c>
      <c r="H462" s="8" t="s">
        <v>1149</v>
      </c>
      <c r="I462" s="8" t="s">
        <v>1298</v>
      </c>
      <c r="J462" s="8" t="s">
        <v>1140</v>
      </c>
      <c r="K462" s="8" t="s">
        <v>1099</v>
      </c>
      <c r="L462" s="10" t="s">
        <v>1299</v>
      </c>
      <c r="M462" s="10" t="s">
        <v>1300</v>
      </c>
      <c r="N462" s="10" t="s">
        <v>1301</v>
      </c>
      <c r="O462" s="8" t="s">
        <v>1106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1738</v>
      </c>
      <c r="AA462" s="8" t="s">
        <v>331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1093</v>
      </c>
      <c r="E463" s="8" t="s">
        <v>123</v>
      </c>
      <c r="F463" s="8" t="s">
        <v>1973</v>
      </c>
      <c r="G463" s="8" t="s">
        <v>1196</v>
      </c>
      <c r="H463" s="8" t="s">
        <v>1279</v>
      </c>
      <c r="I463" s="8" t="s">
        <v>1600</v>
      </c>
      <c r="J463" s="8" t="s">
        <v>1140</v>
      </c>
      <c r="K463" s="8" t="s">
        <v>1099</v>
      </c>
      <c r="L463" s="10" t="s">
        <v>1299</v>
      </c>
      <c r="M463" s="10" t="s">
        <v>1601</v>
      </c>
      <c r="N463" s="10" t="s">
        <v>1602</v>
      </c>
      <c r="O463" s="8" t="s">
        <v>1106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1738</v>
      </c>
      <c r="AA463" s="8" t="s">
        <v>331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1093</v>
      </c>
      <c r="E464" s="8" t="s">
        <v>123</v>
      </c>
      <c r="F464" s="8" t="s">
        <v>1952</v>
      </c>
      <c r="G464" s="8" t="s">
        <v>1149</v>
      </c>
      <c r="H464" s="8" t="s">
        <v>1297</v>
      </c>
      <c r="I464" s="8" t="s">
        <v>1606</v>
      </c>
      <c r="J464" s="8" t="s">
        <v>1140</v>
      </c>
      <c r="K464" s="8" t="s">
        <v>1099</v>
      </c>
      <c r="L464" s="10" t="s">
        <v>1260</v>
      </c>
      <c r="M464" s="10" t="s">
        <v>1261</v>
      </c>
      <c r="N464" s="10" t="s">
        <v>1413</v>
      </c>
      <c r="O464" s="8" t="s">
        <v>321</v>
      </c>
      <c r="P464" s="8"/>
      <c r="Q464" s="8">
        <v>400</v>
      </c>
      <c r="R464" s="8">
        <v>6000</v>
      </c>
      <c r="S464" s="8" t="s">
        <v>331</v>
      </c>
      <c r="T464" s="8"/>
      <c r="U464" s="8"/>
      <c r="V464" s="8"/>
      <c r="W464" s="8"/>
      <c r="X464" s="8"/>
      <c r="Y464" s="8"/>
      <c r="Z464" s="10" t="s">
        <v>1738</v>
      </c>
      <c r="AA464" s="8" t="s">
        <v>331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1093</v>
      </c>
      <c r="E465" s="8" t="s">
        <v>123</v>
      </c>
      <c r="F465" s="8" t="s">
        <v>1937</v>
      </c>
      <c r="G465" s="8" t="s">
        <v>1679</v>
      </c>
      <c r="H465" s="8" t="s">
        <v>1974</v>
      </c>
      <c r="I465" s="8" t="s">
        <v>1606</v>
      </c>
      <c r="J465" s="8" t="s">
        <v>1140</v>
      </c>
      <c r="K465" s="8" t="s">
        <v>1099</v>
      </c>
      <c r="L465" s="10" t="s">
        <v>1260</v>
      </c>
      <c r="M465" s="10" t="s">
        <v>1261</v>
      </c>
      <c r="N465" s="10" t="s">
        <v>1413</v>
      </c>
      <c r="O465" s="8" t="s">
        <v>321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331</v>
      </c>
      <c r="Z465" s="10" t="s">
        <v>1975</v>
      </c>
      <c r="AA465" s="8" t="s">
        <v>331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1093</v>
      </c>
      <c r="E466" s="8" t="s">
        <v>123</v>
      </c>
      <c r="F466" s="8" t="s">
        <v>1973</v>
      </c>
      <c r="G466" s="8" t="s">
        <v>1149</v>
      </c>
      <c r="H466" s="8" t="s">
        <v>1297</v>
      </c>
      <c r="I466" s="8" t="s">
        <v>1857</v>
      </c>
      <c r="J466" s="8" t="s">
        <v>1140</v>
      </c>
      <c r="K466" s="8" t="s">
        <v>1099</v>
      </c>
      <c r="L466" s="10" t="s">
        <v>1299</v>
      </c>
      <c r="M466" s="10" t="s">
        <v>1858</v>
      </c>
      <c r="N466" s="10" t="s">
        <v>1859</v>
      </c>
      <c r="O466" s="8" t="s">
        <v>1106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1738</v>
      </c>
      <c r="AA466" s="8" t="s">
        <v>331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1093</v>
      </c>
      <c r="E467" s="8" t="s">
        <v>123</v>
      </c>
      <c r="F467" s="8" t="s">
        <v>1957</v>
      </c>
      <c r="G467" s="8" t="s">
        <v>1196</v>
      </c>
      <c r="H467" s="8" t="s">
        <v>1682</v>
      </c>
      <c r="I467" s="8" t="s">
        <v>1857</v>
      </c>
      <c r="J467" s="8" t="s">
        <v>1140</v>
      </c>
      <c r="K467" s="8" t="s">
        <v>1099</v>
      </c>
      <c r="L467" s="10" t="s">
        <v>1299</v>
      </c>
      <c r="M467" s="10" t="s">
        <v>1858</v>
      </c>
      <c r="N467" s="10" t="s">
        <v>1859</v>
      </c>
      <c r="O467" s="8" t="s">
        <v>321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331</v>
      </c>
      <c r="Z467" s="10" t="s">
        <v>1407</v>
      </c>
      <c r="AA467" s="8" t="s">
        <v>331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1093</v>
      </c>
      <c r="E468" s="8" t="s">
        <v>123</v>
      </c>
      <c r="F468" s="8" t="s">
        <v>1976</v>
      </c>
      <c r="G468" s="8" t="s">
        <v>1196</v>
      </c>
      <c r="H468" s="8" t="s">
        <v>1197</v>
      </c>
      <c r="I468" s="8" t="s">
        <v>1313</v>
      </c>
      <c r="J468" s="8" t="s">
        <v>1169</v>
      </c>
      <c r="K468" s="8" t="s">
        <v>1099</v>
      </c>
      <c r="L468" s="10" t="s">
        <v>1314</v>
      </c>
      <c r="M468" s="10" t="s">
        <v>1315</v>
      </c>
      <c r="N468" s="10" t="s">
        <v>1316</v>
      </c>
      <c r="O468" s="8" t="s">
        <v>321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331</v>
      </c>
      <c r="Z468" s="10" t="s">
        <v>1613</v>
      </c>
      <c r="AA468" s="8" t="s">
        <v>331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1093</v>
      </c>
      <c r="E469" s="8" t="s">
        <v>123</v>
      </c>
      <c r="F469" s="8" t="s">
        <v>1919</v>
      </c>
      <c r="G469" s="8" t="s">
        <v>1303</v>
      </c>
      <c r="H469" s="8" t="s">
        <v>1977</v>
      </c>
      <c r="I469" s="8" t="s">
        <v>1313</v>
      </c>
      <c r="J469" s="8" t="s">
        <v>1169</v>
      </c>
      <c r="K469" s="8" t="s">
        <v>1099</v>
      </c>
      <c r="L469" s="10" t="s">
        <v>1314</v>
      </c>
      <c r="M469" s="10" t="s">
        <v>1315</v>
      </c>
      <c r="N469" s="10" t="s">
        <v>1316</v>
      </c>
      <c r="O469" s="8" t="s">
        <v>321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331</v>
      </c>
      <c r="Z469" s="10" t="s">
        <v>1978</v>
      </c>
      <c r="AA469" s="8" t="s">
        <v>331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1093</v>
      </c>
      <c r="E470" s="8" t="s">
        <v>123</v>
      </c>
      <c r="F470" s="8" t="s">
        <v>1976</v>
      </c>
      <c r="G470" s="8" t="s">
        <v>1149</v>
      </c>
      <c r="H470" s="8" t="s">
        <v>1425</v>
      </c>
      <c r="I470" s="8" t="s">
        <v>1320</v>
      </c>
      <c r="J470" s="8" t="s">
        <v>1169</v>
      </c>
      <c r="K470" s="8" t="s">
        <v>1099</v>
      </c>
      <c r="L470" s="10" t="s">
        <v>1314</v>
      </c>
      <c r="M470" s="10" t="s">
        <v>1321</v>
      </c>
      <c r="N470" s="10" t="s">
        <v>1322</v>
      </c>
      <c r="O470" s="8" t="s">
        <v>321</v>
      </c>
      <c r="P470" s="8"/>
      <c r="Q470" s="8"/>
      <c r="R470" s="8">
        <v>163214</v>
      </c>
      <c r="S470" s="8" t="s">
        <v>331</v>
      </c>
      <c r="T470" s="8"/>
      <c r="U470" s="8"/>
      <c r="V470" s="8"/>
      <c r="W470" s="8"/>
      <c r="X470" s="8"/>
      <c r="Y470" s="8"/>
      <c r="Z470" s="10" t="s">
        <v>1613</v>
      </c>
      <c r="AA470" s="8" t="s">
        <v>331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1093</v>
      </c>
      <c r="E471" s="8" t="s">
        <v>123</v>
      </c>
      <c r="F471" s="8" t="s">
        <v>1931</v>
      </c>
      <c r="G471" s="8" t="s">
        <v>1284</v>
      </c>
      <c r="H471" s="8" t="s">
        <v>1542</v>
      </c>
      <c r="I471" s="8" t="s">
        <v>1545</v>
      </c>
      <c r="J471" s="8" t="s">
        <v>1169</v>
      </c>
      <c r="K471" s="8" t="s">
        <v>1099</v>
      </c>
      <c r="L471" s="10" t="s">
        <v>1546</v>
      </c>
      <c r="M471" s="10" t="s">
        <v>1547</v>
      </c>
      <c r="N471" s="10" t="s">
        <v>128</v>
      </c>
      <c r="O471" s="8" t="s">
        <v>321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331</v>
      </c>
      <c r="Z471" s="10" t="s">
        <v>1979</v>
      </c>
      <c r="AA471" s="8" t="s">
        <v>331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1093</v>
      </c>
      <c r="E472" s="8" t="s">
        <v>123</v>
      </c>
      <c r="F472" s="8" t="s">
        <v>1934</v>
      </c>
      <c r="G472" s="8" t="s">
        <v>1284</v>
      </c>
      <c r="H472" s="8" t="s">
        <v>1166</v>
      </c>
      <c r="I472" s="8" t="s">
        <v>1324</v>
      </c>
      <c r="J472" s="8" t="s">
        <v>1169</v>
      </c>
      <c r="K472" s="8" t="s">
        <v>1099</v>
      </c>
      <c r="L472" s="10" t="s">
        <v>1325</v>
      </c>
      <c r="M472" s="10" t="s">
        <v>1326</v>
      </c>
      <c r="N472" s="10"/>
      <c r="O472" s="8" t="s">
        <v>321</v>
      </c>
      <c r="P472" s="8"/>
      <c r="Q472" s="8"/>
      <c r="R472" s="8">
        <v>314547</v>
      </c>
      <c r="S472" s="8" t="s">
        <v>331</v>
      </c>
      <c r="T472" s="8"/>
      <c r="U472" s="8"/>
      <c r="V472" s="8"/>
      <c r="W472" s="8"/>
      <c r="X472" s="8"/>
      <c r="Y472" s="8"/>
      <c r="Z472" s="10" t="s">
        <v>1613</v>
      </c>
      <c r="AA472" s="8" t="s">
        <v>331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1093</v>
      </c>
      <c r="E473" s="8" t="s">
        <v>123</v>
      </c>
      <c r="F473" s="8" t="s">
        <v>1941</v>
      </c>
      <c r="G473" s="8" t="s">
        <v>1980</v>
      </c>
      <c r="H473" s="8" t="s">
        <v>1981</v>
      </c>
      <c r="I473" s="8" t="s">
        <v>1616</v>
      </c>
      <c r="J473" s="8" t="s">
        <v>1169</v>
      </c>
      <c r="K473" s="8" t="s">
        <v>1099</v>
      </c>
      <c r="L473" s="10" t="s">
        <v>1466</v>
      </c>
      <c r="M473" s="10" t="s">
        <v>1617</v>
      </c>
      <c r="N473" s="10" t="s">
        <v>1618</v>
      </c>
      <c r="O473" s="8" t="s">
        <v>362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1982</v>
      </c>
      <c r="AA473" s="8" t="s">
        <v>331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1093</v>
      </c>
      <c r="E474" s="8" t="s">
        <v>123</v>
      </c>
      <c r="F474" s="8" t="s">
        <v>1967</v>
      </c>
      <c r="G474" s="8" t="s">
        <v>1983</v>
      </c>
      <c r="H474" s="8" t="s">
        <v>1984</v>
      </c>
      <c r="I474" s="8" t="s">
        <v>1616</v>
      </c>
      <c r="J474" s="8" t="s">
        <v>1169</v>
      </c>
      <c r="K474" s="8" t="s">
        <v>1099</v>
      </c>
      <c r="L474" s="10" t="s">
        <v>1466</v>
      </c>
      <c r="M474" s="10" t="s">
        <v>1617</v>
      </c>
      <c r="N474" s="10" t="s">
        <v>1618</v>
      </c>
      <c r="O474" s="8" t="s">
        <v>321</v>
      </c>
      <c r="P474" s="8"/>
      <c r="Q474" s="8"/>
      <c r="R474" s="8">
        <v>515170</v>
      </c>
      <c r="S474" s="8"/>
      <c r="T474" s="8"/>
      <c r="U474" s="8" t="s">
        <v>331</v>
      </c>
      <c r="V474" s="8"/>
      <c r="W474" s="8"/>
      <c r="X474" s="8"/>
      <c r="Y474" s="8" t="s">
        <v>331</v>
      </c>
      <c r="Z474" s="10" t="s">
        <v>1985</v>
      </c>
      <c r="AA474" s="8" t="s">
        <v>331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1093</v>
      </c>
      <c r="E475" s="8" t="s">
        <v>123</v>
      </c>
      <c r="F475" s="8" t="s">
        <v>1986</v>
      </c>
      <c r="G475" s="8" t="s">
        <v>1120</v>
      </c>
      <c r="H475" s="8" t="s">
        <v>1343</v>
      </c>
      <c r="I475" s="8" t="s">
        <v>1329</v>
      </c>
      <c r="J475" s="8" t="s">
        <v>1169</v>
      </c>
      <c r="K475" s="8" t="s">
        <v>1099</v>
      </c>
      <c r="L475" s="10" t="s">
        <v>1330</v>
      </c>
      <c r="M475" s="10" t="s">
        <v>1331</v>
      </c>
      <c r="N475" s="10"/>
      <c r="O475" s="8" t="s">
        <v>321</v>
      </c>
      <c r="P475" s="8"/>
      <c r="Q475" s="8"/>
      <c r="R475" s="8">
        <v>88200</v>
      </c>
      <c r="S475" s="8" t="s">
        <v>331</v>
      </c>
      <c r="T475" s="8"/>
      <c r="U475" s="8"/>
      <c r="V475" s="8"/>
      <c r="W475" s="8"/>
      <c r="X475" s="8"/>
      <c r="Y475" s="8"/>
      <c r="Z475" s="10" t="s">
        <v>1738</v>
      </c>
      <c r="AA475" s="8" t="s">
        <v>331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1093</v>
      </c>
      <c r="E476" s="8" t="s">
        <v>123</v>
      </c>
      <c r="F476" s="8" t="s">
        <v>1923</v>
      </c>
      <c r="G476" s="8" t="s">
        <v>1571</v>
      </c>
      <c r="H476" s="8" t="s">
        <v>1987</v>
      </c>
      <c r="I476" s="8" t="s">
        <v>1623</v>
      </c>
      <c r="J476" s="8" t="s">
        <v>1169</v>
      </c>
      <c r="K476" s="8" t="s">
        <v>1099</v>
      </c>
      <c r="L476" s="10" t="s">
        <v>1624</v>
      </c>
      <c r="M476" s="10" t="s">
        <v>1625</v>
      </c>
      <c r="N476" s="10" t="s">
        <v>1340</v>
      </c>
      <c r="O476" s="8" t="s">
        <v>321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331</v>
      </c>
      <c r="Z476" s="10" t="s">
        <v>1362</v>
      </c>
      <c r="AA476" s="8" t="s">
        <v>331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1093</v>
      </c>
      <c r="E477" s="8" t="s">
        <v>123</v>
      </c>
      <c r="F477" s="8" t="s">
        <v>1986</v>
      </c>
      <c r="G477" s="8" t="s">
        <v>1197</v>
      </c>
      <c r="H477" s="8" t="s">
        <v>1104</v>
      </c>
      <c r="I477" s="8" t="s">
        <v>1623</v>
      </c>
      <c r="J477" s="8" t="s">
        <v>1169</v>
      </c>
      <c r="K477" s="8" t="s">
        <v>1099</v>
      </c>
      <c r="L477" s="10" t="s">
        <v>1624</v>
      </c>
      <c r="M477" s="10" t="s">
        <v>1625</v>
      </c>
      <c r="N477" s="10" t="s">
        <v>1340</v>
      </c>
      <c r="O477" s="8" t="s">
        <v>321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331</v>
      </c>
      <c r="Z477" s="10" t="s">
        <v>1988</v>
      </c>
      <c r="AA477" s="8" t="s">
        <v>331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1093</v>
      </c>
      <c r="E478" s="8" t="s">
        <v>123</v>
      </c>
      <c r="F478" s="8" t="s">
        <v>1936</v>
      </c>
      <c r="G478" s="8" t="s">
        <v>1303</v>
      </c>
      <c r="H478" s="8" t="s">
        <v>1348</v>
      </c>
      <c r="I478" s="8" t="s">
        <v>1334</v>
      </c>
      <c r="J478" s="8" t="s">
        <v>1169</v>
      </c>
      <c r="K478" s="8" t="s">
        <v>1099</v>
      </c>
      <c r="L478" s="10" t="s">
        <v>1170</v>
      </c>
      <c r="M478" s="10" t="s">
        <v>1335</v>
      </c>
      <c r="N478" s="10" t="s">
        <v>1336</v>
      </c>
      <c r="O478" s="8" t="s">
        <v>362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1989</v>
      </c>
      <c r="AA478" s="8" t="s">
        <v>331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1093</v>
      </c>
      <c r="E479" s="8" t="s">
        <v>123</v>
      </c>
      <c r="F479" s="8" t="s">
        <v>1967</v>
      </c>
      <c r="G479" s="8" t="s">
        <v>1343</v>
      </c>
      <c r="H479" s="8" t="s">
        <v>1302</v>
      </c>
      <c r="I479" s="8" t="s">
        <v>1338</v>
      </c>
      <c r="J479" s="8" t="s">
        <v>1169</v>
      </c>
      <c r="K479" s="8" t="s">
        <v>1099</v>
      </c>
      <c r="L479" s="10" t="s">
        <v>1186</v>
      </c>
      <c r="M479" s="10" t="s">
        <v>1339</v>
      </c>
      <c r="N479" s="10" t="s">
        <v>1340</v>
      </c>
      <c r="O479" s="8" t="s">
        <v>321</v>
      </c>
      <c r="P479" s="8"/>
      <c r="Q479" s="8"/>
      <c r="R479" s="8">
        <v>43386</v>
      </c>
      <c r="S479" s="8" t="s">
        <v>331</v>
      </c>
      <c r="T479" s="8"/>
      <c r="U479" s="8"/>
      <c r="V479" s="8"/>
      <c r="W479" s="8"/>
      <c r="X479" s="8"/>
      <c r="Y479" s="8"/>
      <c r="Z479" s="10" t="s">
        <v>1738</v>
      </c>
      <c r="AA479" s="8" t="s">
        <v>331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1093</v>
      </c>
      <c r="E480" s="8" t="s">
        <v>123</v>
      </c>
      <c r="F480" s="8" t="s">
        <v>1990</v>
      </c>
      <c r="G480" s="8" t="s">
        <v>1284</v>
      </c>
      <c r="H480" s="8" t="s">
        <v>1541</v>
      </c>
      <c r="I480" s="8" t="s">
        <v>1338</v>
      </c>
      <c r="J480" s="8" t="s">
        <v>1169</v>
      </c>
      <c r="K480" s="8" t="s">
        <v>1099</v>
      </c>
      <c r="L480" s="10" t="s">
        <v>1186</v>
      </c>
      <c r="M480" s="10" t="s">
        <v>1339</v>
      </c>
      <c r="N480" s="10" t="s">
        <v>1340</v>
      </c>
      <c r="O480" s="8" t="s">
        <v>321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331</v>
      </c>
      <c r="Z480" s="10" t="s">
        <v>1991</v>
      </c>
      <c r="AA480" s="8" t="s">
        <v>331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1093</v>
      </c>
      <c r="E481" s="8" t="s">
        <v>123</v>
      </c>
      <c r="F481" s="8" t="s">
        <v>1967</v>
      </c>
      <c r="G481" s="8" t="s">
        <v>1120</v>
      </c>
      <c r="H481" s="8" t="s">
        <v>1343</v>
      </c>
      <c r="I481" s="8" t="s">
        <v>1344</v>
      </c>
      <c r="J481" s="8" t="s">
        <v>1169</v>
      </c>
      <c r="K481" s="8" t="s">
        <v>1099</v>
      </c>
      <c r="L481" s="10" t="s">
        <v>1186</v>
      </c>
      <c r="M481" s="10" t="s">
        <v>1345</v>
      </c>
      <c r="N481" s="10" t="s">
        <v>1346</v>
      </c>
      <c r="O481" s="8" t="s">
        <v>321</v>
      </c>
      <c r="P481" s="8"/>
      <c r="Q481" s="8"/>
      <c r="R481" s="8">
        <v>73215</v>
      </c>
      <c r="S481" s="8" t="s">
        <v>331</v>
      </c>
      <c r="T481" s="8"/>
      <c r="U481" s="8"/>
      <c r="V481" s="8"/>
      <c r="W481" s="8"/>
      <c r="X481" s="8"/>
      <c r="Y481" s="8"/>
      <c r="Z481" s="10" t="s">
        <v>1738</v>
      </c>
      <c r="AA481" s="8" t="s">
        <v>331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1093</v>
      </c>
      <c r="E482" s="8" t="s">
        <v>123</v>
      </c>
      <c r="F482" s="8" t="s">
        <v>1952</v>
      </c>
      <c r="G482" s="8" t="s">
        <v>1196</v>
      </c>
      <c r="H482" s="8" t="s">
        <v>1279</v>
      </c>
      <c r="I482" s="8" t="s">
        <v>1349</v>
      </c>
      <c r="J482" s="8" t="s">
        <v>1193</v>
      </c>
      <c r="K482" s="8" t="s">
        <v>1099</v>
      </c>
      <c r="L482" s="10" t="s">
        <v>1350</v>
      </c>
      <c r="M482" s="10" t="s">
        <v>1351</v>
      </c>
      <c r="N482" s="10" t="s">
        <v>1352</v>
      </c>
      <c r="O482" s="8" t="s">
        <v>321</v>
      </c>
      <c r="P482" s="8"/>
      <c r="Q482" s="8"/>
      <c r="R482" s="8">
        <v>132646</v>
      </c>
      <c r="S482" s="8" t="s">
        <v>331</v>
      </c>
      <c r="T482" s="8"/>
      <c r="U482" s="8"/>
      <c r="V482" s="8"/>
      <c r="W482" s="8"/>
      <c r="X482" s="8"/>
      <c r="Y482" s="8"/>
      <c r="Z482" s="10" t="s">
        <v>1738</v>
      </c>
      <c r="AA482" s="8" t="s">
        <v>331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1093</v>
      </c>
      <c r="E483" s="8" t="s">
        <v>123</v>
      </c>
      <c r="F483" s="8" t="s">
        <v>1952</v>
      </c>
      <c r="G483" s="8" t="s">
        <v>1279</v>
      </c>
      <c r="H483" s="8" t="s">
        <v>1971</v>
      </c>
      <c r="I483" s="8" t="s">
        <v>1356</v>
      </c>
      <c r="J483" s="8" t="s">
        <v>1193</v>
      </c>
      <c r="K483" s="8" t="s">
        <v>1099</v>
      </c>
      <c r="L483" s="10" t="s">
        <v>1350</v>
      </c>
      <c r="M483" s="10" t="s">
        <v>1357</v>
      </c>
      <c r="N483" s="10" t="s">
        <v>1358</v>
      </c>
      <c r="O483" s="8" t="s">
        <v>321</v>
      </c>
      <c r="P483" s="8"/>
      <c r="Q483" s="8"/>
      <c r="R483" s="8">
        <v>115633</v>
      </c>
      <c r="S483" s="8" t="s">
        <v>331</v>
      </c>
      <c r="T483" s="8"/>
      <c r="U483" s="8"/>
      <c r="V483" s="8"/>
      <c r="W483" s="8"/>
      <c r="X483" s="8"/>
      <c r="Y483" s="8"/>
      <c r="Z483" s="10" t="s">
        <v>1738</v>
      </c>
      <c r="AA483" s="8" t="s">
        <v>331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1093</v>
      </c>
      <c r="E484" s="8" t="s">
        <v>123</v>
      </c>
      <c r="F484" s="8" t="s">
        <v>1990</v>
      </c>
      <c r="G484" s="8" t="s">
        <v>1120</v>
      </c>
      <c r="H484" s="8" t="s">
        <v>1765</v>
      </c>
      <c r="I484" s="8" t="s">
        <v>1356</v>
      </c>
      <c r="J484" s="8" t="s">
        <v>1193</v>
      </c>
      <c r="K484" s="8" t="s">
        <v>1099</v>
      </c>
      <c r="L484" s="10" t="s">
        <v>1350</v>
      </c>
      <c r="M484" s="10" t="s">
        <v>1357</v>
      </c>
      <c r="N484" s="10" t="s">
        <v>1358</v>
      </c>
      <c r="O484" s="8" t="s">
        <v>362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1619</v>
      </c>
      <c r="AA484" s="8" t="s">
        <v>331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1093</v>
      </c>
      <c r="E485" s="8" t="s">
        <v>123</v>
      </c>
      <c r="F485" s="8" t="s">
        <v>1986</v>
      </c>
      <c r="G485" s="8" t="s">
        <v>1765</v>
      </c>
      <c r="H485" s="8" t="s">
        <v>1353</v>
      </c>
      <c r="I485" s="8" t="s">
        <v>1356</v>
      </c>
      <c r="J485" s="8" t="s">
        <v>1193</v>
      </c>
      <c r="K485" s="8" t="s">
        <v>1099</v>
      </c>
      <c r="L485" s="10" t="s">
        <v>1350</v>
      </c>
      <c r="M485" s="10" t="s">
        <v>1357</v>
      </c>
      <c r="N485" s="10" t="s">
        <v>1358</v>
      </c>
      <c r="O485" s="8" t="s">
        <v>362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1992</v>
      </c>
      <c r="AA485" s="8" t="s">
        <v>331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1093</v>
      </c>
      <c r="E486" s="8" t="s">
        <v>123</v>
      </c>
      <c r="F486" s="8" t="s">
        <v>1952</v>
      </c>
      <c r="G486" s="8" t="s">
        <v>1297</v>
      </c>
      <c r="H486" s="8" t="s">
        <v>1317</v>
      </c>
      <c r="I486" s="8" t="s">
        <v>1363</v>
      </c>
      <c r="J486" s="8" t="s">
        <v>1193</v>
      </c>
      <c r="K486" s="8" t="s">
        <v>1099</v>
      </c>
      <c r="L486" s="10" t="s">
        <v>1364</v>
      </c>
      <c r="M486" s="10" t="s">
        <v>1365</v>
      </c>
      <c r="N486" s="10"/>
      <c r="O486" s="8" t="s">
        <v>321</v>
      </c>
      <c r="P486" s="8"/>
      <c r="Q486" s="8"/>
      <c r="R486" s="8">
        <v>40000</v>
      </c>
      <c r="S486" s="8" t="s">
        <v>331</v>
      </c>
      <c r="T486" s="8"/>
      <c r="U486" s="8"/>
      <c r="V486" s="8"/>
      <c r="W486" s="8"/>
      <c r="X486" s="8"/>
      <c r="Y486" s="8"/>
      <c r="Z486" s="10" t="s">
        <v>1738</v>
      </c>
      <c r="AA486" s="8" t="s">
        <v>331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1093</v>
      </c>
      <c r="E487" s="8" t="s">
        <v>123</v>
      </c>
      <c r="F487" s="8" t="s">
        <v>1937</v>
      </c>
      <c r="G487" s="8" t="s">
        <v>1297</v>
      </c>
      <c r="H487" s="8" t="s">
        <v>1522</v>
      </c>
      <c r="I487" s="8" t="s">
        <v>1363</v>
      </c>
      <c r="J487" s="8" t="s">
        <v>1193</v>
      </c>
      <c r="K487" s="8" t="s">
        <v>1099</v>
      </c>
      <c r="L487" s="10" t="s">
        <v>1364</v>
      </c>
      <c r="M487" s="10" t="s">
        <v>1365</v>
      </c>
      <c r="N487" s="10"/>
      <c r="O487" s="8" t="s">
        <v>321</v>
      </c>
      <c r="P487" s="8"/>
      <c r="Q487" s="8"/>
      <c r="R487" s="8">
        <v>40000</v>
      </c>
      <c r="S487" s="8"/>
      <c r="T487" s="8"/>
      <c r="U487" s="8"/>
      <c r="V487" s="8"/>
      <c r="W487" s="8" t="s">
        <v>331</v>
      </c>
      <c r="X487" s="8"/>
      <c r="Y487" s="8"/>
      <c r="Z487" s="10" t="s">
        <v>1993</v>
      </c>
      <c r="AA487" s="8" t="s">
        <v>331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1093</v>
      </c>
      <c r="E488" s="8" t="s">
        <v>123</v>
      </c>
      <c r="F488" s="8" t="s">
        <v>1967</v>
      </c>
      <c r="G488" s="8" t="s">
        <v>1342</v>
      </c>
      <c r="H488" s="8" t="s">
        <v>1716</v>
      </c>
      <c r="I488" s="8" t="s">
        <v>1377</v>
      </c>
      <c r="J488" s="8" t="s">
        <v>1193</v>
      </c>
      <c r="K488" s="8" t="s">
        <v>1099</v>
      </c>
      <c r="L488" s="10" t="s">
        <v>1378</v>
      </c>
      <c r="M488" s="10" t="s">
        <v>1379</v>
      </c>
      <c r="N488" s="10" t="s">
        <v>1380</v>
      </c>
      <c r="O488" s="8" t="s">
        <v>321</v>
      </c>
      <c r="P488" s="8"/>
      <c r="Q488" s="8"/>
      <c r="R488" s="8">
        <v>183748</v>
      </c>
      <c r="S488" s="8"/>
      <c r="T488" s="8"/>
      <c r="U488" s="8" t="s">
        <v>331</v>
      </c>
      <c r="V488" s="8"/>
      <c r="W488" s="8"/>
      <c r="X488" s="8"/>
      <c r="Y488" s="8"/>
      <c r="Z488" s="10" t="s">
        <v>1278</v>
      </c>
      <c r="AA488" s="8" t="s">
        <v>331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1093</v>
      </c>
      <c r="E489" s="8" t="s">
        <v>123</v>
      </c>
      <c r="F489" s="8" t="s">
        <v>1967</v>
      </c>
      <c r="G489" s="8" t="s">
        <v>1716</v>
      </c>
      <c r="H489" s="8" t="s">
        <v>1994</v>
      </c>
      <c r="I489" s="8" t="s">
        <v>1630</v>
      </c>
      <c r="J489" s="8" t="s">
        <v>1193</v>
      </c>
      <c r="K489" s="8" t="s">
        <v>1099</v>
      </c>
      <c r="L489" s="10" t="s">
        <v>1378</v>
      </c>
      <c r="M489" s="10" t="s">
        <v>1631</v>
      </c>
      <c r="N489" s="10" t="s">
        <v>1632</v>
      </c>
      <c r="O489" s="8" t="s">
        <v>321</v>
      </c>
      <c r="P489" s="8"/>
      <c r="Q489" s="8"/>
      <c r="R489" s="8">
        <v>151990</v>
      </c>
      <c r="S489" s="8"/>
      <c r="T489" s="8"/>
      <c r="U489" s="8" t="s">
        <v>331</v>
      </c>
      <c r="V489" s="8"/>
      <c r="W489" s="8"/>
      <c r="X489" s="8"/>
      <c r="Y489" s="8"/>
      <c r="Z489" s="10" t="s">
        <v>1278</v>
      </c>
      <c r="AA489" s="8" t="s">
        <v>331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1093</v>
      </c>
      <c r="E490" s="8" t="s">
        <v>123</v>
      </c>
      <c r="F490" s="8" t="s">
        <v>1934</v>
      </c>
      <c r="G490" s="8" t="s">
        <v>1166</v>
      </c>
      <c r="H490" s="8" t="s">
        <v>1120</v>
      </c>
      <c r="I490" s="8" t="s">
        <v>1386</v>
      </c>
      <c r="J490" s="8" t="s">
        <v>1387</v>
      </c>
      <c r="K490" s="8" t="s">
        <v>1099</v>
      </c>
      <c r="L490" s="10" t="s">
        <v>1388</v>
      </c>
      <c r="M490" s="10" t="s">
        <v>1326</v>
      </c>
      <c r="N490" s="10" t="s">
        <v>1358</v>
      </c>
      <c r="O490" s="8" t="s">
        <v>321</v>
      </c>
      <c r="P490" s="8"/>
      <c r="Q490" s="8"/>
      <c r="R490" s="8">
        <v>71955</v>
      </c>
      <c r="S490" s="8" t="s">
        <v>331</v>
      </c>
      <c r="T490" s="8"/>
      <c r="U490" s="8"/>
      <c r="V490" s="8"/>
      <c r="W490" s="8"/>
      <c r="X490" s="8"/>
      <c r="Y490" s="8"/>
      <c r="Z490" s="10" t="s">
        <v>1613</v>
      </c>
      <c r="AA490" s="8" t="s">
        <v>331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1093</v>
      </c>
      <c r="E491" s="8" t="s">
        <v>123</v>
      </c>
      <c r="F491" s="8" t="s">
        <v>1937</v>
      </c>
      <c r="G491" s="8" t="s">
        <v>1166</v>
      </c>
      <c r="H491" s="8" t="s">
        <v>1933</v>
      </c>
      <c r="I491" s="8" t="s">
        <v>1418</v>
      </c>
      <c r="J491" s="8" t="s">
        <v>1214</v>
      </c>
      <c r="K491" s="8" t="s">
        <v>1099</v>
      </c>
      <c r="L491" s="10" t="s">
        <v>1419</v>
      </c>
      <c r="M491" s="10" t="s">
        <v>1420</v>
      </c>
      <c r="N491" s="10" t="s">
        <v>216</v>
      </c>
      <c r="O491" s="8" t="s">
        <v>362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1995</v>
      </c>
      <c r="AA491" s="8" t="s">
        <v>331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1093</v>
      </c>
      <c r="E492" s="8" t="s">
        <v>123</v>
      </c>
      <c r="F492" s="8" t="s">
        <v>1973</v>
      </c>
      <c r="G492" s="8" t="s">
        <v>1343</v>
      </c>
      <c r="H492" s="8" t="s">
        <v>1302</v>
      </c>
      <c r="I492" s="8" t="s">
        <v>1996</v>
      </c>
      <c r="J492" s="8" t="s">
        <v>1214</v>
      </c>
      <c r="K492" s="8" t="s">
        <v>1099</v>
      </c>
      <c r="L492" s="10" t="s">
        <v>1997</v>
      </c>
      <c r="M492" s="10" t="s">
        <v>1998</v>
      </c>
      <c r="N492" s="10" t="s">
        <v>1999</v>
      </c>
      <c r="O492" s="8" t="s">
        <v>1106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1738</v>
      </c>
      <c r="AA492" s="8" t="s">
        <v>331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1093</v>
      </c>
      <c r="E493" s="8" t="s">
        <v>123</v>
      </c>
      <c r="F493" s="8" t="s">
        <v>1952</v>
      </c>
      <c r="G493" s="8" t="s">
        <v>1347</v>
      </c>
      <c r="H493" s="8" t="s">
        <v>1348</v>
      </c>
      <c r="I493" s="8" t="s">
        <v>1996</v>
      </c>
      <c r="J493" s="8" t="s">
        <v>1214</v>
      </c>
      <c r="K493" s="8" t="s">
        <v>1099</v>
      </c>
      <c r="L493" s="10" t="s">
        <v>1997</v>
      </c>
      <c r="M493" s="10" t="s">
        <v>1998</v>
      </c>
      <c r="N493" s="10" t="s">
        <v>1999</v>
      </c>
      <c r="O493" s="8" t="s">
        <v>321</v>
      </c>
      <c r="P493" s="8"/>
      <c r="Q493" s="8"/>
      <c r="R493" s="8">
        <v>108750</v>
      </c>
      <c r="S493" s="8"/>
      <c r="T493" s="8" t="s">
        <v>331</v>
      </c>
      <c r="U493" s="8"/>
      <c r="V493" s="8"/>
      <c r="W493" s="8"/>
      <c r="X493" s="8"/>
      <c r="Y493" s="8"/>
      <c r="Z493" s="10" t="s">
        <v>1278</v>
      </c>
      <c r="AA493" s="8" t="s">
        <v>331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1093</v>
      </c>
      <c r="E494" s="8" t="s">
        <v>123</v>
      </c>
      <c r="F494" s="8" t="s">
        <v>1976</v>
      </c>
      <c r="G494" s="8" t="s">
        <v>1297</v>
      </c>
      <c r="H494" s="8" t="s">
        <v>1270</v>
      </c>
      <c r="I494" s="8" t="s">
        <v>1426</v>
      </c>
      <c r="J494" s="8" t="s">
        <v>1214</v>
      </c>
      <c r="K494" s="8" t="s">
        <v>1099</v>
      </c>
      <c r="L494" s="10" t="s">
        <v>1314</v>
      </c>
      <c r="M494" s="10" t="s">
        <v>1427</v>
      </c>
      <c r="N494" s="10" t="s">
        <v>1428</v>
      </c>
      <c r="O494" s="8" t="s">
        <v>321</v>
      </c>
      <c r="P494" s="8"/>
      <c r="Q494" s="8"/>
      <c r="R494" s="8">
        <v>11043</v>
      </c>
      <c r="S494" s="8" t="s">
        <v>331</v>
      </c>
      <c r="T494" s="8"/>
      <c r="U494" s="8"/>
      <c r="V494" s="8"/>
      <c r="W494" s="8"/>
      <c r="X494" s="8"/>
      <c r="Y494" s="8"/>
      <c r="Z494" s="10" t="s">
        <v>1613</v>
      </c>
      <c r="AA494" s="8" t="s">
        <v>331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1093</v>
      </c>
      <c r="E495" s="8" t="s">
        <v>123</v>
      </c>
      <c r="F495" s="8" t="s">
        <v>1923</v>
      </c>
      <c r="G495" s="8" t="s">
        <v>1196</v>
      </c>
      <c r="H495" s="8" t="s">
        <v>1904</v>
      </c>
      <c r="I495" s="8" t="s">
        <v>1426</v>
      </c>
      <c r="J495" s="8" t="s">
        <v>1214</v>
      </c>
      <c r="K495" s="8" t="s">
        <v>1099</v>
      </c>
      <c r="L495" s="10" t="s">
        <v>1314</v>
      </c>
      <c r="M495" s="10" t="s">
        <v>1427</v>
      </c>
      <c r="N495" s="10" t="s">
        <v>1428</v>
      </c>
      <c r="O495" s="8" t="s">
        <v>362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2000</v>
      </c>
      <c r="AA495" s="8" t="s">
        <v>331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1093</v>
      </c>
      <c r="E496" s="8" t="s">
        <v>123</v>
      </c>
      <c r="F496" s="8" t="s">
        <v>1976</v>
      </c>
      <c r="G496" s="8" t="s">
        <v>1197</v>
      </c>
      <c r="H496" s="8" t="s">
        <v>1279</v>
      </c>
      <c r="I496" s="8" t="s">
        <v>1429</v>
      </c>
      <c r="J496" s="8" t="s">
        <v>1214</v>
      </c>
      <c r="K496" s="8" t="s">
        <v>1099</v>
      </c>
      <c r="L496" s="10" t="s">
        <v>1314</v>
      </c>
      <c r="M496" s="10" t="s">
        <v>1430</v>
      </c>
      <c r="N496" s="10" t="s">
        <v>1295</v>
      </c>
      <c r="O496" s="8" t="s">
        <v>321</v>
      </c>
      <c r="P496" s="8"/>
      <c r="Q496" s="8"/>
      <c r="R496" s="8">
        <v>139233</v>
      </c>
      <c r="S496" s="8" t="s">
        <v>331</v>
      </c>
      <c r="T496" s="8"/>
      <c r="U496" s="8"/>
      <c r="V496" s="8"/>
      <c r="W496" s="8"/>
      <c r="X496" s="8"/>
      <c r="Y496" s="8"/>
      <c r="Z496" s="10" t="s">
        <v>1613</v>
      </c>
      <c r="AA496" s="8" t="s">
        <v>331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1093</v>
      </c>
      <c r="E497" s="8" t="s">
        <v>123</v>
      </c>
      <c r="F497" s="8" t="s">
        <v>1976</v>
      </c>
      <c r="G497" s="8" t="s">
        <v>1148</v>
      </c>
      <c r="H497" s="8" t="s">
        <v>1149</v>
      </c>
      <c r="I497" s="8" t="s">
        <v>1434</v>
      </c>
      <c r="J497" s="8" t="s">
        <v>1214</v>
      </c>
      <c r="K497" s="8" t="s">
        <v>1099</v>
      </c>
      <c r="L497" s="10" t="s">
        <v>1314</v>
      </c>
      <c r="M497" s="10" t="s">
        <v>1435</v>
      </c>
      <c r="N497" s="10" t="s">
        <v>1436</v>
      </c>
      <c r="O497" s="8" t="s">
        <v>321</v>
      </c>
      <c r="P497" s="8"/>
      <c r="Q497" s="8"/>
      <c r="R497" s="8">
        <v>236206</v>
      </c>
      <c r="S497" s="8" t="s">
        <v>331</v>
      </c>
      <c r="T497" s="8"/>
      <c r="U497" s="8"/>
      <c r="V497" s="8"/>
      <c r="W497" s="8"/>
      <c r="X497" s="8"/>
      <c r="Y497" s="8"/>
      <c r="Z497" s="10" t="s">
        <v>1613</v>
      </c>
      <c r="AA497" s="8" t="s">
        <v>331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1093</v>
      </c>
      <c r="E498" s="8" t="s">
        <v>123</v>
      </c>
      <c r="F498" s="8" t="s">
        <v>1976</v>
      </c>
      <c r="G498" s="8" t="s">
        <v>1425</v>
      </c>
      <c r="H498" s="8" t="s">
        <v>1297</v>
      </c>
      <c r="I498" s="8" t="s">
        <v>1437</v>
      </c>
      <c r="J498" s="8" t="s">
        <v>1214</v>
      </c>
      <c r="K498" s="8" t="s">
        <v>1099</v>
      </c>
      <c r="L498" s="10" t="s">
        <v>1314</v>
      </c>
      <c r="M498" s="10" t="s">
        <v>1438</v>
      </c>
      <c r="N498" s="10" t="s">
        <v>1439</v>
      </c>
      <c r="O498" s="8" t="s">
        <v>321</v>
      </c>
      <c r="P498" s="8"/>
      <c r="Q498" s="8"/>
      <c r="R498" s="8">
        <v>114169</v>
      </c>
      <c r="S498" s="8" t="s">
        <v>331</v>
      </c>
      <c r="T498" s="8"/>
      <c r="U498" s="8"/>
      <c r="V498" s="8"/>
      <c r="W498" s="8"/>
      <c r="X498" s="8"/>
      <c r="Y498" s="8"/>
      <c r="Z498" s="10" t="s">
        <v>1613</v>
      </c>
      <c r="AA498" s="8" t="s">
        <v>331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1093</v>
      </c>
      <c r="E499" s="8" t="s">
        <v>123</v>
      </c>
      <c r="F499" s="8" t="s">
        <v>2001</v>
      </c>
      <c r="G499" s="8" t="s">
        <v>1302</v>
      </c>
      <c r="H499" s="8" t="s">
        <v>1177</v>
      </c>
      <c r="I499" s="8" t="s">
        <v>1437</v>
      </c>
      <c r="J499" s="8" t="s">
        <v>1214</v>
      </c>
      <c r="K499" s="8" t="s">
        <v>1099</v>
      </c>
      <c r="L499" s="10" t="s">
        <v>1314</v>
      </c>
      <c r="M499" s="10" t="s">
        <v>1438</v>
      </c>
      <c r="N499" s="10" t="s">
        <v>1439</v>
      </c>
      <c r="O499" s="8" t="s">
        <v>362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2002</v>
      </c>
      <c r="AA499" s="8" t="s">
        <v>331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1093</v>
      </c>
      <c r="E500" s="8" t="s">
        <v>123</v>
      </c>
      <c r="F500" s="8" t="s">
        <v>1960</v>
      </c>
      <c r="G500" s="8" t="s">
        <v>1572</v>
      </c>
      <c r="H500" s="8" t="s">
        <v>2003</v>
      </c>
      <c r="I500" s="8" t="s">
        <v>1437</v>
      </c>
      <c r="J500" s="8" t="s">
        <v>1214</v>
      </c>
      <c r="K500" s="8" t="s">
        <v>1099</v>
      </c>
      <c r="L500" s="10" t="s">
        <v>1314</v>
      </c>
      <c r="M500" s="10" t="s">
        <v>1438</v>
      </c>
      <c r="N500" s="10" t="s">
        <v>1439</v>
      </c>
      <c r="O500" s="8" t="s">
        <v>321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331</v>
      </c>
      <c r="Z500" s="10" t="s">
        <v>2004</v>
      </c>
      <c r="AA500" s="8" t="s">
        <v>331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1093</v>
      </c>
      <c r="E501" s="8" t="s">
        <v>123</v>
      </c>
      <c r="F501" s="8" t="s">
        <v>1931</v>
      </c>
      <c r="G501" s="8" t="s">
        <v>1343</v>
      </c>
      <c r="H501" s="8" t="s">
        <v>1716</v>
      </c>
      <c r="I501" s="8" t="s">
        <v>1213</v>
      </c>
      <c r="J501" s="8" t="s">
        <v>1214</v>
      </c>
      <c r="K501" s="8" t="s">
        <v>1099</v>
      </c>
      <c r="L501" s="10" t="s">
        <v>1123</v>
      </c>
      <c r="M501" s="10" t="s">
        <v>1124</v>
      </c>
      <c r="N501" s="10" t="s">
        <v>1215</v>
      </c>
      <c r="O501" s="8" t="s">
        <v>321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331</v>
      </c>
      <c r="Z501" s="10" t="s">
        <v>2005</v>
      </c>
      <c r="AA501" s="8" t="s">
        <v>331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1093</v>
      </c>
      <c r="E502" s="8" t="s">
        <v>123</v>
      </c>
      <c r="F502" s="8" t="s">
        <v>1976</v>
      </c>
      <c r="G502" s="8" t="s">
        <v>1303</v>
      </c>
      <c r="H502" s="8" t="s">
        <v>2006</v>
      </c>
      <c r="I502" s="8" t="s">
        <v>1446</v>
      </c>
      <c r="J502" s="8" t="s">
        <v>1214</v>
      </c>
      <c r="K502" s="8" t="s">
        <v>1099</v>
      </c>
      <c r="L502" s="10" t="s">
        <v>1378</v>
      </c>
      <c r="M502" s="10" t="s">
        <v>1447</v>
      </c>
      <c r="N502" s="10" t="s">
        <v>1448</v>
      </c>
      <c r="O502" s="8" t="s">
        <v>362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2007</v>
      </c>
      <c r="AA502" s="8" t="s">
        <v>331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1093</v>
      </c>
      <c r="E503" s="8" t="s">
        <v>123</v>
      </c>
      <c r="F503" s="8" t="s">
        <v>1976</v>
      </c>
      <c r="G503" s="8" t="s">
        <v>1279</v>
      </c>
      <c r="H503" s="8" t="s">
        <v>1148</v>
      </c>
      <c r="I503" s="8" t="s">
        <v>1450</v>
      </c>
      <c r="J503" s="8" t="s">
        <v>1214</v>
      </c>
      <c r="K503" s="8" t="s">
        <v>1099</v>
      </c>
      <c r="L503" s="10" t="s">
        <v>1314</v>
      </c>
      <c r="M503" s="10" t="s">
        <v>1451</v>
      </c>
      <c r="N503" s="10" t="s">
        <v>1410</v>
      </c>
      <c r="O503" s="8" t="s">
        <v>321</v>
      </c>
      <c r="P503" s="8"/>
      <c r="Q503" s="8"/>
      <c r="R503" s="8">
        <v>182971</v>
      </c>
      <c r="S503" s="8" t="s">
        <v>331</v>
      </c>
      <c r="T503" s="8"/>
      <c r="U503" s="8"/>
      <c r="V503" s="8"/>
      <c r="W503" s="8"/>
      <c r="X503" s="8"/>
      <c r="Y503" s="8"/>
      <c r="Z503" s="10" t="s">
        <v>1613</v>
      </c>
      <c r="AA503" s="8" t="s">
        <v>331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1093</v>
      </c>
      <c r="E504" s="8" t="s">
        <v>123</v>
      </c>
      <c r="F504" s="8" t="s">
        <v>1973</v>
      </c>
      <c r="G504" s="8" t="s">
        <v>1297</v>
      </c>
      <c r="H504" s="8" t="s">
        <v>1317</v>
      </c>
      <c r="I504" s="8" t="s">
        <v>1452</v>
      </c>
      <c r="J504" s="8" t="s">
        <v>1214</v>
      </c>
      <c r="K504" s="8" t="s">
        <v>1099</v>
      </c>
      <c r="L504" s="10" t="s">
        <v>1453</v>
      </c>
      <c r="M504" s="10" t="s">
        <v>1454</v>
      </c>
      <c r="N504" s="10"/>
      <c r="O504" s="8" t="s">
        <v>1106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1738</v>
      </c>
      <c r="AA504" s="8" t="s">
        <v>331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1093</v>
      </c>
      <c r="E505" s="8" t="s">
        <v>123</v>
      </c>
      <c r="F505" s="8" t="s">
        <v>1934</v>
      </c>
      <c r="G505" s="8" t="s">
        <v>1302</v>
      </c>
      <c r="H505" s="8" t="s">
        <v>1178</v>
      </c>
      <c r="I505" s="8" t="s">
        <v>1452</v>
      </c>
      <c r="J505" s="8" t="s">
        <v>1214</v>
      </c>
      <c r="K505" s="8" t="s">
        <v>1099</v>
      </c>
      <c r="L505" s="10" t="s">
        <v>1453</v>
      </c>
      <c r="M505" s="10" t="s">
        <v>1454</v>
      </c>
      <c r="N505" s="10"/>
      <c r="O505" s="8" t="s">
        <v>321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331</v>
      </c>
      <c r="Z505" s="10" t="s">
        <v>2008</v>
      </c>
      <c r="AA505" s="8" t="s">
        <v>331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1093</v>
      </c>
      <c r="E506" s="8" t="s">
        <v>123</v>
      </c>
      <c r="F506" s="8" t="s">
        <v>1937</v>
      </c>
      <c r="G506" s="8" t="s">
        <v>1303</v>
      </c>
      <c r="H506" s="8" t="s">
        <v>1342</v>
      </c>
      <c r="I506" s="8" t="s">
        <v>1452</v>
      </c>
      <c r="J506" s="8" t="s">
        <v>1214</v>
      </c>
      <c r="K506" s="8" t="s">
        <v>1099</v>
      </c>
      <c r="L506" s="10" t="s">
        <v>1453</v>
      </c>
      <c r="M506" s="10" t="s">
        <v>1454</v>
      </c>
      <c r="N506" s="10"/>
      <c r="O506" s="8" t="s">
        <v>321</v>
      </c>
      <c r="P506" s="8"/>
      <c r="Q506" s="8"/>
      <c r="R506" s="8">
        <v>122103</v>
      </c>
      <c r="S506" s="8"/>
      <c r="T506" s="8"/>
      <c r="U506" s="8" t="s">
        <v>331</v>
      </c>
      <c r="V506" s="8"/>
      <c r="W506" s="8"/>
      <c r="X506" s="8"/>
      <c r="Y506" s="8"/>
      <c r="Z506" s="10" t="s">
        <v>1278</v>
      </c>
      <c r="AA506" s="8" t="s">
        <v>331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1093</v>
      </c>
      <c r="E507" s="8" t="s">
        <v>123</v>
      </c>
      <c r="F507" s="8" t="s">
        <v>1960</v>
      </c>
      <c r="G507" s="8" t="s">
        <v>1279</v>
      </c>
      <c r="H507" s="8" t="s">
        <v>1974</v>
      </c>
      <c r="I507" s="8" t="s">
        <v>1455</v>
      </c>
      <c r="J507" s="8" t="s">
        <v>1214</v>
      </c>
      <c r="K507" s="8" t="s">
        <v>1099</v>
      </c>
      <c r="L507" s="10" t="s">
        <v>1456</v>
      </c>
      <c r="M507" s="10" t="s">
        <v>1457</v>
      </c>
      <c r="N507" s="10"/>
      <c r="O507" s="8" t="s">
        <v>321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331</v>
      </c>
      <c r="Z507" s="10" t="s">
        <v>1271</v>
      </c>
      <c r="AA507" s="8" t="s">
        <v>331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1093</v>
      </c>
      <c r="E508" s="8" t="s">
        <v>123</v>
      </c>
      <c r="F508" s="8" t="s">
        <v>1936</v>
      </c>
      <c r="G508" s="8" t="s">
        <v>1196</v>
      </c>
      <c r="H508" s="8" t="s">
        <v>1279</v>
      </c>
      <c r="I508" s="8" t="s">
        <v>1895</v>
      </c>
      <c r="J508" s="8" t="s">
        <v>1217</v>
      </c>
      <c r="K508" s="8" t="s">
        <v>1099</v>
      </c>
      <c r="L508" s="10" t="s">
        <v>1896</v>
      </c>
      <c r="M508" s="10" t="s">
        <v>1897</v>
      </c>
      <c r="N508" s="10" t="s">
        <v>1413</v>
      </c>
      <c r="O508" s="8" t="s">
        <v>321</v>
      </c>
      <c r="P508" s="8"/>
      <c r="Q508" s="8">
        <v>2</v>
      </c>
      <c r="R508" s="8">
        <v>12</v>
      </c>
      <c r="S508" s="8" t="s">
        <v>331</v>
      </c>
      <c r="T508" s="8"/>
      <c r="U508" s="8"/>
      <c r="V508" s="8"/>
      <c r="W508" s="8"/>
      <c r="X508" s="8"/>
      <c r="Y508" s="8"/>
      <c r="Z508" s="10" t="s">
        <v>1738</v>
      </c>
      <c r="AA508" s="8" t="s">
        <v>331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1093</v>
      </c>
      <c r="E509" s="8" t="s">
        <v>123</v>
      </c>
      <c r="F509" s="8" t="s">
        <v>1986</v>
      </c>
      <c r="G509" s="8" t="s">
        <v>1166</v>
      </c>
      <c r="H509" s="8" t="s">
        <v>1120</v>
      </c>
      <c r="I509" s="8" t="s">
        <v>1895</v>
      </c>
      <c r="J509" s="8" t="s">
        <v>1217</v>
      </c>
      <c r="K509" s="8" t="s">
        <v>1099</v>
      </c>
      <c r="L509" s="10" t="s">
        <v>1896</v>
      </c>
      <c r="M509" s="10" t="s">
        <v>1897</v>
      </c>
      <c r="N509" s="10" t="s">
        <v>1413</v>
      </c>
      <c r="O509" s="8" t="s">
        <v>362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2009</v>
      </c>
      <c r="AA509" s="8" t="s">
        <v>331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1093</v>
      </c>
      <c r="E510" s="8" t="s">
        <v>123</v>
      </c>
      <c r="F510" s="8" t="s">
        <v>1952</v>
      </c>
      <c r="G510" s="8" t="s">
        <v>1342</v>
      </c>
      <c r="H510" s="8" t="s">
        <v>1347</v>
      </c>
      <c r="I510" s="8" t="s">
        <v>2010</v>
      </c>
      <c r="J510" s="8" t="s">
        <v>1459</v>
      </c>
      <c r="K510" s="8" t="s">
        <v>1099</v>
      </c>
      <c r="L510" s="10" t="s">
        <v>2011</v>
      </c>
      <c r="M510" s="10" t="s">
        <v>2012</v>
      </c>
      <c r="N510" s="10" t="s">
        <v>1340</v>
      </c>
      <c r="O510" s="8" t="s">
        <v>321</v>
      </c>
      <c r="P510" s="8"/>
      <c r="Q510" s="8"/>
      <c r="R510" s="8">
        <v>36440</v>
      </c>
      <c r="S510" s="8"/>
      <c r="T510" s="8" t="s">
        <v>331</v>
      </c>
      <c r="U510" s="8"/>
      <c r="V510" s="8"/>
      <c r="W510" s="8"/>
      <c r="X510" s="8"/>
      <c r="Y510" s="8"/>
      <c r="Z510" s="10" t="s">
        <v>1278</v>
      </c>
      <c r="AA510" s="8" t="s">
        <v>331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1093</v>
      </c>
      <c r="E511" s="8" t="s">
        <v>123</v>
      </c>
      <c r="F511" s="8" t="s">
        <v>1950</v>
      </c>
      <c r="G511" s="8" t="s">
        <v>1149</v>
      </c>
      <c r="H511" s="8" t="s">
        <v>1440</v>
      </c>
      <c r="I511" s="8" t="s">
        <v>2010</v>
      </c>
      <c r="J511" s="8" t="s">
        <v>1459</v>
      </c>
      <c r="K511" s="8" t="s">
        <v>1099</v>
      </c>
      <c r="L511" s="10" t="s">
        <v>2011</v>
      </c>
      <c r="M511" s="10" t="s">
        <v>2012</v>
      </c>
      <c r="N511" s="10" t="s">
        <v>1340</v>
      </c>
      <c r="O511" s="8" t="s">
        <v>362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2013</v>
      </c>
      <c r="AA511" s="8" t="s">
        <v>331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1093</v>
      </c>
      <c r="E512" s="8" t="s">
        <v>123</v>
      </c>
      <c r="F512" s="8" t="s">
        <v>2001</v>
      </c>
      <c r="G512" s="8" t="s">
        <v>1284</v>
      </c>
      <c r="H512" s="8" t="s">
        <v>2014</v>
      </c>
      <c r="I512" s="8" t="s">
        <v>2015</v>
      </c>
      <c r="J512" s="8" t="s">
        <v>1459</v>
      </c>
      <c r="K512" s="8" t="s">
        <v>1099</v>
      </c>
      <c r="L512" s="10" t="s">
        <v>1170</v>
      </c>
      <c r="M512" s="10" t="s">
        <v>2016</v>
      </c>
      <c r="N512" s="10" t="s">
        <v>2017</v>
      </c>
      <c r="O512" s="8" t="s">
        <v>362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2018</v>
      </c>
      <c r="AA512" s="8" t="s">
        <v>331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1093</v>
      </c>
      <c r="E513" s="8" t="s">
        <v>123</v>
      </c>
      <c r="F513" s="8" t="s">
        <v>1967</v>
      </c>
      <c r="G513" s="8" t="s">
        <v>1994</v>
      </c>
      <c r="H513" s="8" t="s">
        <v>1983</v>
      </c>
      <c r="I513" s="8" t="s">
        <v>1465</v>
      </c>
      <c r="J513" s="8" t="s">
        <v>1459</v>
      </c>
      <c r="K513" s="8" t="s">
        <v>1099</v>
      </c>
      <c r="L513" s="10" t="s">
        <v>1466</v>
      </c>
      <c r="M513" s="10" t="s">
        <v>1467</v>
      </c>
      <c r="N513" s="10" t="s">
        <v>1468</v>
      </c>
      <c r="O513" s="8" t="s">
        <v>321</v>
      </c>
      <c r="P513" s="8"/>
      <c r="Q513" s="8"/>
      <c r="R513" s="8">
        <v>676962</v>
      </c>
      <c r="S513" s="8"/>
      <c r="T513" s="8"/>
      <c r="U513" s="8" t="s">
        <v>331</v>
      </c>
      <c r="V513" s="8"/>
      <c r="W513" s="8"/>
      <c r="X513" s="8"/>
      <c r="Y513" s="8"/>
      <c r="Z513" s="10" t="s">
        <v>1278</v>
      </c>
      <c r="AA513" s="8" t="s">
        <v>331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1093</v>
      </c>
      <c r="E514" s="8" t="s">
        <v>123</v>
      </c>
      <c r="F514" s="8" t="s">
        <v>2019</v>
      </c>
      <c r="G514" s="8" t="s">
        <v>1284</v>
      </c>
      <c r="H514" s="8" t="s">
        <v>1578</v>
      </c>
      <c r="I514" s="8" t="s">
        <v>1465</v>
      </c>
      <c r="J514" s="8" t="s">
        <v>1459</v>
      </c>
      <c r="K514" s="8" t="s">
        <v>1099</v>
      </c>
      <c r="L514" s="10" t="s">
        <v>1466</v>
      </c>
      <c r="M514" s="10" t="s">
        <v>1467</v>
      </c>
      <c r="N514" s="10" t="s">
        <v>1468</v>
      </c>
      <c r="O514" s="8" t="s">
        <v>321</v>
      </c>
      <c r="P514" s="8"/>
      <c r="Q514" s="8"/>
      <c r="R514" s="8">
        <v>676962</v>
      </c>
      <c r="S514" s="8"/>
      <c r="T514" s="8" t="s">
        <v>331</v>
      </c>
      <c r="U514" s="8"/>
      <c r="V514" s="8"/>
      <c r="W514" s="8"/>
      <c r="X514" s="8"/>
      <c r="Y514" s="8"/>
      <c r="Z514" s="10" t="s">
        <v>2020</v>
      </c>
      <c r="AA514" s="8" t="s">
        <v>331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1093</v>
      </c>
      <c r="E515" s="8" t="s">
        <v>123</v>
      </c>
      <c r="F515" s="8" t="s">
        <v>1919</v>
      </c>
      <c r="G515" s="8" t="s">
        <v>1746</v>
      </c>
      <c r="H515" s="8" t="s">
        <v>1303</v>
      </c>
      <c r="I515" s="8" t="s">
        <v>1663</v>
      </c>
      <c r="J515" s="8" t="s">
        <v>1459</v>
      </c>
      <c r="K515" s="8" t="s">
        <v>1099</v>
      </c>
      <c r="L515" s="10" t="s">
        <v>1170</v>
      </c>
      <c r="M515" s="10" t="s">
        <v>1463</v>
      </c>
      <c r="N515" s="10" t="s">
        <v>1664</v>
      </c>
      <c r="O515" s="8" t="s">
        <v>321</v>
      </c>
      <c r="P515" s="8"/>
      <c r="Q515" s="8"/>
      <c r="R515" s="8">
        <v>1031056</v>
      </c>
      <c r="S515" s="8"/>
      <c r="T515" s="8"/>
      <c r="U515" s="8" t="s">
        <v>331</v>
      </c>
      <c r="V515" s="8"/>
      <c r="W515" s="8"/>
      <c r="X515" s="8"/>
      <c r="Y515" s="8"/>
      <c r="Z515" s="10" t="s">
        <v>1278</v>
      </c>
      <c r="AA515" s="8" t="s">
        <v>331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1093</v>
      </c>
      <c r="E516" s="8" t="s">
        <v>123</v>
      </c>
      <c r="F516" s="8" t="s">
        <v>1919</v>
      </c>
      <c r="G516" s="8" t="s">
        <v>1302</v>
      </c>
      <c r="H516" s="8" t="s">
        <v>1746</v>
      </c>
      <c r="I516" s="8" t="s">
        <v>1669</v>
      </c>
      <c r="J516" s="8" t="s">
        <v>1459</v>
      </c>
      <c r="K516" s="8" t="s">
        <v>1099</v>
      </c>
      <c r="L516" s="10" t="s">
        <v>1170</v>
      </c>
      <c r="M516" s="10" t="s">
        <v>1463</v>
      </c>
      <c r="N516" s="10" t="s">
        <v>1670</v>
      </c>
      <c r="O516" s="8" t="s">
        <v>321</v>
      </c>
      <c r="P516" s="8"/>
      <c r="Q516" s="8"/>
      <c r="R516" s="8">
        <v>280988</v>
      </c>
      <c r="S516" s="8"/>
      <c r="T516" s="8"/>
      <c r="U516" s="8" t="s">
        <v>331</v>
      </c>
      <c r="V516" s="8"/>
      <c r="W516" s="8"/>
      <c r="X516" s="8"/>
      <c r="Y516" s="8"/>
      <c r="Z516" s="10" t="s">
        <v>1278</v>
      </c>
      <c r="AA516" s="8" t="s">
        <v>331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1093</v>
      </c>
      <c r="E517" s="8" t="s">
        <v>123</v>
      </c>
      <c r="F517" s="8" t="s">
        <v>1931</v>
      </c>
      <c r="G517" s="8" t="s">
        <v>1297</v>
      </c>
      <c r="H517" s="8" t="s">
        <v>1254</v>
      </c>
      <c r="I517" s="8" t="s">
        <v>1473</v>
      </c>
      <c r="J517" s="8" t="s">
        <v>1244</v>
      </c>
      <c r="K517" s="8" t="s">
        <v>1099</v>
      </c>
      <c r="L517" s="10" t="s">
        <v>1474</v>
      </c>
      <c r="M517" s="10" t="s">
        <v>1475</v>
      </c>
      <c r="N517" s="10" t="s">
        <v>1424</v>
      </c>
      <c r="O517" s="8" t="s">
        <v>321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331</v>
      </c>
      <c r="Z517" s="10" t="s">
        <v>2021</v>
      </c>
      <c r="AA517" s="8" t="s">
        <v>331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1093</v>
      </c>
      <c r="E518" s="8" t="s">
        <v>123</v>
      </c>
      <c r="F518" s="8" t="s">
        <v>1934</v>
      </c>
      <c r="G518" s="8" t="s">
        <v>1120</v>
      </c>
      <c r="H518" s="8" t="s">
        <v>1343</v>
      </c>
      <c r="I518" s="8" t="s">
        <v>1489</v>
      </c>
      <c r="J518" s="8" t="s">
        <v>1479</v>
      </c>
      <c r="K518" s="8" t="s">
        <v>1099</v>
      </c>
      <c r="L518" s="10" t="s">
        <v>1388</v>
      </c>
      <c r="M518" s="10" t="s">
        <v>1326</v>
      </c>
      <c r="N518" s="10" t="s">
        <v>1358</v>
      </c>
      <c r="O518" s="8" t="s">
        <v>321</v>
      </c>
      <c r="P518" s="8"/>
      <c r="Q518" s="8"/>
      <c r="R518" s="8">
        <v>61165</v>
      </c>
      <c r="S518" s="8" t="s">
        <v>331</v>
      </c>
      <c r="T518" s="8"/>
      <c r="U518" s="8"/>
      <c r="V518" s="8"/>
      <c r="W518" s="8"/>
      <c r="X518" s="8"/>
      <c r="Y518" s="8"/>
      <c r="Z518" s="10" t="s">
        <v>1613</v>
      </c>
      <c r="AA518" s="8" t="s">
        <v>331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1093</v>
      </c>
      <c r="E519" s="8" t="s">
        <v>123</v>
      </c>
      <c r="F519" s="8" t="s">
        <v>2001</v>
      </c>
      <c r="G519" s="8" t="s">
        <v>1196</v>
      </c>
      <c r="H519" s="8" t="s">
        <v>2022</v>
      </c>
      <c r="I519" s="8" t="s">
        <v>1489</v>
      </c>
      <c r="J519" s="8" t="s">
        <v>1479</v>
      </c>
      <c r="K519" s="8" t="s">
        <v>1099</v>
      </c>
      <c r="L519" s="10" t="s">
        <v>1388</v>
      </c>
      <c r="M519" s="10" t="s">
        <v>1326</v>
      </c>
      <c r="N519" s="10" t="s">
        <v>1358</v>
      </c>
      <c r="O519" s="8" t="s">
        <v>321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331</v>
      </c>
      <c r="Z519" s="10" t="s">
        <v>2023</v>
      </c>
      <c r="AA519" s="8" t="s">
        <v>331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1093</v>
      </c>
      <c r="E520" s="8" t="s">
        <v>123</v>
      </c>
      <c r="F520" s="8" t="s">
        <v>1976</v>
      </c>
      <c r="G520" s="8" t="s">
        <v>1270</v>
      </c>
      <c r="H520" s="8" t="s">
        <v>1317</v>
      </c>
      <c r="I520" s="8" t="s">
        <v>1490</v>
      </c>
      <c r="J520" s="8" t="s">
        <v>1491</v>
      </c>
      <c r="K520" s="8" t="s">
        <v>1099</v>
      </c>
      <c r="L520" s="10" t="s">
        <v>1314</v>
      </c>
      <c r="M520" s="10" t="s">
        <v>1492</v>
      </c>
      <c r="N520" s="10" t="s">
        <v>1493</v>
      </c>
      <c r="O520" s="8" t="s">
        <v>321</v>
      </c>
      <c r="P520" s="8"/>
      <c r="Q520" s="8"/>
      <c r="R520" s="8">
        <v>24141</v>
      </c>
      <c r="S520" s="8" t="s">
        <v>331</v>
      </c>
      <c r="T520" s="8"/>
      <c r="U520" s="8"/>
      <c r="V520" s="8"/>
      <c r="W520" s="8"/>
      <c r="X520" s="8"/>
      <c r="Y520" s="8"/>
      <c r="Z520" s="10" t="s">
        <v>1613</v>
      </c>
      <c r="AA520" s="8" t="s">
        <v>331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1093</v>
      </c>
      <c r="E521" s="8" t="s">
        <v>139</v>
      </c>
      <c r="F521" s="8" t="s">
        <v>1990</v>
      </c>
      <c r="G521" s="8" t="s">
        <v>2024</v>
      </c>
      <c r="H521" s="8" t="s">
        <v>1126</v>
      </c>
      <c r="I521" s="8" t="s">
        <v>1502</v>
      </c>
      <c r="J521" s="8" t="s">
        <v>1217</v>
      </c>
      <c r="K521" s="8" t="s">
        <v>1099</v>
      </c>
      <c r="L521" s="10" t="s">
        <v>1503</v>
      </c>
      <c r="M521" s="10" t="s">
        <v>1504</v>
      </c>
      <c r="N521" s="10" t="s">
        <v>1346</v>
      </c>
      <c r="O521" s="8" t="s">
        <v>1106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331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1093</v>
      </c>
      <c r="E522" s="8" t="s">
        <v>139</v>
      </c>
      <c r="F522" s="8" t="s">
        <v>1990</v>
      </c>
      <c r="G522" s="8" t="s">
        <v>2024</v>
      </c>
      <c r="H522" s="8" t="s">
        <v>1126</v>
      </c>
      <c r="I522" s="8" t="s">
        <v>1509</v>
      </c>
      <c r="J522" s="8" t="s">
        <v>1217</v>
      </c>
      <c r="K522" s="8" t="s">
        <v>1099</v>
      </c>
      <c r="L522" s="10" t="s">
        <v>1503</v>
      </c>
      <c r="M522" s="10" t="s">
        <v>1504</v>
      </c>
      <c r="N522" s="10" t="s">
        <v>1346</v>
      </c>
      <c r="O522" s="8" t="s">
        <v>1106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331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1093</v>
      </c>
      <c r="E523" s="8" t="s">
        <v>139</v>
      </c>
      <c r="F523" s="8" t="s">
        <v>1960</v>
      </c>
      <c r="G523" s="8" t="s">
        <v>1284</v>
      </c>
      <c r="H523" s="8" t="s">
        <v>1227</v>
      </c>
      <c r="I523" s="8" t="s">
        <v>1916</v>
      </c>
      <c r="J523" s="8" t="s">
        <v>1514</v>
      </c>
      <c r="K523" s="8" t="s">
        <v>1496</v>
      </c>
      <c r="L523" s="10" t="s">
        <v>1515</v>
      </c>
      <c r="M523" s="10" t="s">
        <v>1516</v>
      </c>
      <c r="N523" s="10" t="s">
        <v>1798</v>
      </c>
      <c r="O523" s="8" t="s">
        <v>362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2025</v>
      </c>
      <c r="AA523" s="8" t="s">
        <v>331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1093</v>
      </c>
      <c r="E524" s="8" t="s">
        <v>128</v>
      </c>
      <c r="F524" s="8" t="s">
        <v>1094</v>
      </c>
      <c r="G524" s="8" t="s">
        <v>2026</v>
      </c>
      <c r="H524" s="8" t="s">
        <v>1837</v>
      </c>
      <c r="I524" s="8" t="s">
        <v>1110</v>
      </c>
      <c r="J524" s="8" t="s">
        <v>1111</v>
      </c>
      <c r="K524" s="8" t="s">
        <v>1099</v>
      </c>
      <c r="L524" s="10" t="s">
        <v>1112</v>
      </c>
      <c r="M524" s="10" t="s">
        <v>1113</v>
      </c>
      <c r="N524" s="10" t="s">
        <v>128</v>
      </c>
      <c r="O524" s="8" t="s">
        <v>1106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1106</v>
      </c>
      <c r="AA524" s="8" t="s">
        <v>331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1093</v>
      </c>
      <c r="E525" s="8" t="s">
        <v>128</v>
      </c>
      <c r="F525" s="8" t="s">
        <v>1094</v>
      </c>
      <c r="G525" s="8" t="s">
        <v>2027</v>
      </c>
      <c r="H525" s="8" t="s">
        <v>1148</v>
      </c>
      <c r="I525" s="8" t="s">
        <v>1116</v>
      </c>
      <c r="J525" s="8" t="s">
        <v>1111</v>
      </c>
      <c r="K525" s="8" t="s">
        <v>1099</v>
      </c>
      <c r="L525" s="10" t="s">
        <v>1117</v>
      </c>
      <c r="M525" s="10" t="s">
        <v>1118</v>
      </c>
      <c r="N525" s="10" t="s">
        <v>1802</v>
      </c>
      <c r="O525" s="8" t="s">
        <v>1106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1106</v>
      </c>
      <c r="AA525" s="8" t="s">
        <v>331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1093</v>
      </c>
      <c r="E526" s="8" t="s">
        <v>128</v>
      </c>
      <c r="F526" s="8" t="s">
        <v>2028</v>
      </c>
      <c r="G526" s="8" t="s">
        <v>1290</v>
      </c>
      <c r="H526" s="8" t="s">
        <v>1501</v>
      </c>
      <c r="I526" s="8" t="s">
        <v>1122</v>
      </c>
      <c r="J526" s="8" t="s">
        <v>1111</v>
      </c>
      <c r="K526" s="8" t="s">
        <v>1099</v>
      </c>
      <c r="L526" s="10" t="s">
        <v>1123</v>
      </c>
      <c r="M526" s="10" t="s">
        <v>1124</v>
      </c>
      <c r="N526" s="10" t="s">
        <v>1125</v>
      </c>
      <c r="O526" s="8" t="s">
        <v>321</v>
      </c>
      <c r="P526" s="8"/>
      <c r="Q526" s="8">
        <v>32976</v>
      </c>
      <c r="R526" s="8">
        <v>65007</v>
      </c>
      <c r="S526" s="8" t="s">
        <v>331</v>
      </c>
      <c r="T526" s="8"/>
      <c r="U526" s="8"/>
      <c r="V526" s="8"/>
      <c r="W526" s="8"/>
      <c r="X526" s="8"/>
      <c r="Y526" s="8"/>
      <c r="Z526" s="10" t="s">
        <v>1102</v>
      </c>
      <c r="AA526" s="8" t="s">
        <v>331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1093</v>
      </c>
      <c r="E527" s="8" t="s">
        <v>128</v>
      </c>
      <c r="F527" s="8" t="s">
        <v>1094</v>
      </c>
      <c r="G527" s="8" t="s">
        <v>1837</v>
      </c>
      <c r="H527" s="8" t="s">
        <v>2029</v>
      </c>
      <c r="I527" s="8" t="s">
        <v>1128</v>
      </c>
      <c r="J527" s="8" t="s">
        <v>1111</v>
      </c>
      <c r="K527" s="8" t="s">
        <v>1099</v>
      </c>
      <c r="L527" s="10" t="s">
        <v>1129</v>
      </c>
      <c r="M527" s="10" t="s">
        <v>1130</v>
      </c>
      <c r="N527" s="10" t="s">
        <v>1131</v>
      </c>
      <c r="O527" s="8" t="s">
        <v>1106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1106</v>
      </c>
      <c r="AA527" s="8" t="s">
        <v>331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1093</v>
      </c>
      <c r="E528" s="8" t="s">
        <v>128</v>
      </c>
      <c r="F528" s="8" t="s">
        <v>1094</v>
      </c>
      <c r="G528" s="8" t="s">
        <v>2030</v>
      </c>
      <c r="H528" s="8" t="s">
        <v>1297</v>
      </c>
      <c r="I528" s="8" t="s">
        <v>1134</v>
      </c>
      <c r="J528" s="8" t="s">
        <v>1111</v>
      </c>
      <c r="K528" s="8" t="s">
        <v>1099</v>
      </c>
      <c r="L528" s="10" t="s">
        <v>1135</v>
      </c>
      <c r="M528" s="10" t="s">
        <v>1136</v>
      </c>
      <c r="N528" s="10"/>
      <c r="O528" s="8" t="s">
        <v>1106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1106</v>
      </c>
      <c r="AA528" s="8" t="s">
        <v>331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1093</v>
      </c>
      <c r="E529" s="8" t="s">
        <v>128</v>
      </c>
      <c r="F529" s="8" t="s">
        <v>1094</v>
      </c>
      <c r="G529" s="8" t="s">
        <v>2031</v>
      </c>
      <c r="H529" s="8" t="s">
        <v>1425</v>
      </c>
      <c r="I529" s="8" t="s">
        <v>1139</v>
      </c>
      <c r="J529" s="8" t="s">
        <v>1140</v>
      </c>
      <c r="K529" s="8" t="s">
        <v>1099</v>
      </c>
      <c r="L529" s="10" t="s">
        <v>1141</v>
      </c>
      <c r="M529" s="10" t="s">
        <v>1142</v>
      </c>
      <c r="N529" s="10" t="s">
        <v>1143</v>
      </c>
      <c r="O529" s="8" t="s">
        <v>1106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1106</v>
      </c>
      <c r="AA529" s="8" t="s">
        <v>331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1093</v>
      </c>
      <c r="E530" s="8" t="s">
        <v>128</v>
      </c>
      <c r="F530" s="8" t="s">
        <v>1094</v>
      </c>
      <c r="G530" s="8" t="s">
        <v>1886</v>
      </c>
      <c r="H530" s="8" t="s">
        <v>1207</v>
      </c>
      <c r="I530" s="8" t="s">
        <v>1145</v>
      </c>
      <c r="J530" s="8" t="s">
        <v>1140</v>
      </c>
      <c r="K530" s="8" t="s">
        <v>1099</v>
      </c>
      <c r="L530" s="10" t="s">
        <v>1146</v>
      </c>
      <c r="M530" s="10" t="s">
        <v>1147</v>
      </c>
      <c r="N530" s="10" t="s">
        <v>1131</v>
      </c>
      <c r="O530" s="8" t="s">
        <v>1106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1106</v>
      </c>
      <c r="AA530" s="8" t="s">
        <v>331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1093</v>
      </c>
      <c r="E531" s="8" t="s">
        <v>128</v>
      </c>
      <c r="F531" s="8" t="s">
        <v>1094</v>
      </c>
      <c r="G531" s="8" t="s">
        <v>1494</v>
      </c>
      <c r="H531" s="8" t="s">
        <v>1273</v>
      </c>
      <c r="I531" s="8" t="s">
        <v>1150</v>
      </c>
      <c r="J531" s="8" t="s">
        <v>1140</v>
      </c>
      <c r="K531" s="8" t="s">
        <v>1099</v>
      </c>
      <c r="L531" s="10" t="s">
        <v>1151</v>
      </c>
      <c r="M531" s="10" t="s">
        <v>1152</v>
      </c>
      <c r="N531" s="10" t="s">
        <v>1153</v>
      </c>
      <c r="O531" s="8" t="s">
        <v>1106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1106</v>
      </c>
      <c r="AA531" s="8" t="s">
        <v>331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1093</v>
      </c>
      <c r="E532" s="8" t="s">
        <v>128</v>
      </c>
      <c r="F532" s="8" t="s">
        <v>2032</v>
      </c>
      <c r="G532" s="8" t="s">
        <v>2033</v>
      </c>
      <c r="H532" s="8" t="s">
        <v>1953</v>
      </c>
      <c r="I532" s="8" t="s">
        <v>1156</v>
      </c>
      <c r="J532" s="8" t="s">
        <v>1140</v>
      </c>
      <c r="K532" s="8" t="s">
        <v>1099</v>
      </c>
      <c r="L532" s="10" t="s">
        <v>1157</v>
      </c>
      <c r="M532" s="10" t="s">
        <v>1158</v>
      </c>
      <c r="N532" s="10"/>
      <c r="O532" s="8" t="s">
        <v>321</v>
      </c>
      <c r="P532" s="8"/>
      <c r="Q532" s="8">
        <v>2148</v>
      </c>
      <c r="R532" s="8">
        <v>1161</v>
      </c>
      <c r="S532" s="8" t="s">
        <v>331</v>
      </c>
      <c r="T532" s="8"/>
      <c r="U532" s="8"/>
      <c r="V532" s="8"/>
      <c r="W532" s="8"/>
      <c r="X532" s="8"/>
      <c r="Y532" s="8"/>
      <c r="Z532" s="10" t="s">
        <v>1102</v>
      </c>
      <c r="AA532" s="8" t="s">
        <v>331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1093</v>
      </c>
      <c r="E533" s="8" t="s">
        <v>128</v>
      </c>
      <c r="F533" s="8" t="s">
        <v>1094</v>
      </c>
      <c r="G533" s="8" t="s">
        <v>1745</v>
      </c>
      <c r="H533" s="8" t="s">
        <v>1668</v>
      </c>
      <c r="I533" s="8" t="s">
        <v>1162</v>
      </c>
      <c r="J533" s="8" t="s">
        <v>1140</v>
      </c>
      <c r="K533" s="8" t="s">
        <v>1099</v>
      </c>
      <c r="L533" s="10" t="s">
        <v>1163</v>
      </c>
      <c r="M533" s="10" t="s">
        <v>1164</v>
      </c>
      <c r="N533" s="10" t="s">
        <v>1131</v>
      </c>
      <c r="O533" s="8" t="s">
        <v>1106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1106</v>
      </c>
      <c r="AA533" s="8" t="s">
        <v>331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1093</v>
      </c>
      <c r="E534" s="8" t="s">
        <v>128</v>
      </c>
      <c r="F534" s="8" t="s">
        <v>2028</v>
      </c>
      <c r="G534" s="8" t="s">
        <v>1776</v>
      </c>
      <c r="H534" s="8" t="s">
        <v>1722</v>
      </c>
      <c r="I534" s="8" t="s">
        <v>1175</v>
      </c>
      <c r="J534" s="8" t="s">
        <v>1169</v>
      </c>
      <c r="K534" s="8" t="s">
        <v>1099</v>
      </c>
      <c r="L534" s="10" t="s">
        <v>1123</v>
      </c>
      <c r="M534" s="10" t="s">
        <v>1124</v>
      </c>
      <c r="N534" s="10" t="s">
        <v>1176</v>
      </c>
      <c r="O534" s="8" t="s">
        <v>321</v>
      </c>
      <c r="P534" s="8"/>
      <c r="Q534" s="8"/>
      <c r="R534" s="8">
        <v>83669</v>
      </c>
      <c r="S534" s="8" t="s">
        <v>331</v>
      </c>
      <c r="T534" s="8"/>
      <c r="U534" s="8"/>
      <c r="V534" s="8"/>
      <c r="W534" s="8"/>
      <c r="X534" s="8"/>
      <c r="Y534" s="8"/>
      <c r="Z534" s="10" t="s">
        <v>1102</v>
      </c>
      <c r="AA534" s="8" t="s">
        <v>331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1093</v>
      </c>
      <c r="E535" s="8" t="s">
        <v>128</v>
      </c>
      <c r="F535" s="8" t="s">
        <v>2034</v>
      </c>
      <c r="G535" s="8" t="s">
        <v>1120</v>
      </c>
      <c r="H535" s="8" t="s">
        <v>2035</v>
      </c>
      <c r="I535" s="8" t="s">
        <v>1175</v>
      </c>
      <c r="J535" s="8" t="s">
        <v>1169</v>
      </c>
      <c r="K535" s="8" t="s">
        <v>1099</v>
      </c>
      <c r="L535" s="10" t="s">
        <v>1123</v>
      </c>
      <c r="M535" s="10" t="s">
        <v>1124</v>
      </c>
      <c r="N535" s="10" t="s">
        <v>1176</v>
      </c>
      <c r="O535" s="8" t="s">
        <v>362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2036</v>
      </c>
      <c r="AA535" s="8" t="s">
        <v>331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1093</v>
      </c>
      <c r="E536" s="8" t="s">
        <v>128</v>
      </c>
      <c r="F536" s="8" t="s">
        <v>1094</v>
      </c>
      <c r="G536" s="8" t="s">
        <v>1104</v>
      </c>
      <c r="H536" s="8" t="s">
        <v>1270</v>
      </c>
      <c r="I536" s="8" t="s">
        <v>1179</v>
      </c>
      <c r="J536" s="8" t="s">
        <v>1169</v>
      </c>
      <c r="K536" s="8" t="s">
        <v>1099</v>
      </c>
      <c r="L536" s="10" t="s">
        <v>1180</v>
      </c>
      <c r="M536" s="10" t="s">
        <v>1181</v>
      </c>
      <c r="N536" s="10" t="s">
        <v>128</v>
      </c>
      <c r="O536" s="8" t="s">
        <v>1106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1106</v>
      </c>
      <c r="AA536" s="8" t="s">
        <v>331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1093</v>
      </c>
      <c r="E537" s="8" t="s">
        <v>128</v>
      </c>
      <c r="F537" s="8" t="s">
        <v>2037</v>
      </c>
      <c r="G537" s="8" t="s">
        <v>1565</v>
      </c>
      <c r="H537" s="8" t="s">
        <v>2038</v>
      </c>
      <c r="I537" s="8" t="s">
        <v>1185</v>
      </c>
      <c r="J537" s="8" t="s">
        <v>1169</v>
      </c>
      <c r="K537" s="8" t="s">
        <v>1099</v>
      </c>
      <c r="L537" s="10" t="s">
        <v>1186</v>
      </c>
      <c r="M537" s="10" t="s">
        <v>1187</v>
      </c>
      <c r="N537" s="10" t="s">
        <v>1188</v>
      </c>
      <c r="O537" s="8" t="s">
        <v>321</v>
      </c>
      <c r="P537" s="8"/>
      <c r="Q537" s="8"/>
      <c r="R537" s="8">
        <v>23390</v>
      </c>
      <c r="S537" s="8" t="s">
        <v>331</v>
      </c>
      <c r="T537" s="8"/>
      <c r="U537" s="8"/>
      <c r="V537" s="8"/>
      <c r="W537" s="8"/>
      <c r="X537" s="8"/>
      <c r="Y537" s="8"/>
      <c r="Z537" s="10" t="s">
        <v>1102</v>
      </c>
      <c r="AA537" s="8" t="s">
        <v>331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1093</v>
      </c>
      <c r="E538" s="8" t="s">
        <v>128</v>
      </c>
      <c r="F538" s="8" t="s">
        <v>2039</v>
      </c>
      <c r="G538" s="8" t="s">
        <v>1661</v>
      </c>
      <c r="H538" s="8" t="s">
        <v>2040</v>
      </c>
      <c r="I538" s="8" t="s">
        <v>1825</v>
      </c>
      <c r="J538" s="8" t="s">
        <v>1169</v>
      </c>
      <c r="K538" s="8" t="s">
        <v>1099</v>
      </c>
      <c r="L538" s="10" t="s">
        <v>1546</v>
      </c>
      <c r="M538" s="10" t="s">
        <v>1826</v>
      </c>
      <c r="N538" s="10" t="s">
        <v>128</v>
      </c>
      <c r="O538" s="8" t="s">
        <v>1106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1102</v>
      </c>
      <c r="AA538" s="8" t="s">
        <v>331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1093</v>
      </c>
      <c r="E539" s="8" t="s">
        <v>128</v>
      </c>
      <c r="F539" s="8" t="s">
        <v>2041</v>
      </c>
      <c r="G539" s="8" t="s">
        <v>1167</v>
      </c>
      <c r="H539" s="8" t="s">
        <v>1723</v>
      </c>
      <c r="I539" s="8" t="s">
        <v>1192</v>
      </c>
      <c r="J539" s="8" t="s">
        <v>1193</v>
      </c>
      <c r="K539" s="8" t="s">
        <v>1099</v>
      </c>
      <c r="L539" s="10" t="s">
        <v>1194</v>
      </c>
      <c r="M539" s="10" t="s">
        <v>1195</v>
      </c>
      <c r="N539" s="10" t="s">
        <v>128</v>
      </c>
      <c r="O539" s="8" t="s">
        <v>321</v>
      </c>
      <c r="P539" s="8"/>
      <c r="Q539" s="8"/>
      <c r="R539" s="8">
        <v>58768</v>
      </c>
      <c r="S539" s="8" t="s">
        <v>331</v>
      </c>
      <c r="T539" s="8"/>
      <c r="U539" s="8"/>
      <c r="V539" s="8"/>
      <c r="W539" s="8"/>
      <c r="X539" s="8"/>
      <c r="Y539" s="8"/>
      <c r="Z539" s="10" t="s">
        <v>1102</v>
      </c>
      <c r="AA539" s="8" t="s">
        <v>331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1093</v>
      </c>
      <c r="E540" s="8" t="s">
        <v>128</v>
      </c>
      <c r="F540" s="8" t="s">
        <v>2041</v>
      </c>
      <c r="G540" s="8" t="s">
        <v>1899</v>
      </c>
      <c r="H540" s="8" t="s">
        <v>1149</v>
      </c>
      <c r="I540" s="8" t="s">
        <v>1198</v>
      </c>
      <c r="J540" s="8" t="s">
        <v>1193</v>
      </c>
      <c r="K540" s="8" t="s">
        <v>1099</v>
      </c>
      <c r="L540" s="10" t="s">
        <v>1199</v>
      </c>
      <c r="M540" s="10" t="s">
        <v>1200</v>
      </c>
      <c r="N540" s="10"/>
      <c r="O540" s="8" t="s">
        <v>1106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1106</v>
      </c>
      <c r="AA540" s="8" t="s">
        <v>331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1093</v>
      </c>
      <c r="E541" s="8" t="s">
        <v>128</v>
      </c>
      <c r="F541" s="8" t="s">
        <v>2042</v>
      </c>
      <c r="G541" s="8" t="s">
        <v>1302</v>
      </c>
      <c r="H541" s="8" t="s">
        <v>1944</v>
      </c>
      <c r="I541" s="8" t="s">
        <v>1198</v>
      </c>
      <c r="J541" s="8" t="s">
        <v>1193</v>
      </c>
      <c r="K541" s="8" t="s">
        <v>1099</v>
      </c>
      <c r="L541" s="10" t="s">
        <v>1199</v>
      </c>
      <c r="M541" s="10" t="s">
        <v>1200</v>
      </c>
      <c r="N541" s="10"/>
      <c r="O541" s="8" t="s">
        <v>362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2043</v>
      </c>
      <c r="AA541" s="8" t="s">
        <v>331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1093</v>
      </c>
      <c r="E542" s="8" t="s">
        <v>128</v>
      </c>
      <c r="F542" s="8" t="s">
        <v>1094</v>
      </c>
      <c r="G542" s="8" t="s">
        <v>1196</v>
      </c>
      <c r="H542" s="8" t="s">
        <v>1679</v>
      </c>
      <c r="I542" s="8" t="s">
        <v>1203</v>
      </c>
      <c r="J542" s="8" t="s">
        <v>1204</v>
      </c>
      <c r="K542" s="8" t="s">
        <v>1099</v>
      </c>
      <c r="L542" s="10" t="s">
        <v>1205</v>
      </c>
      <c r="M542" s="10" t="s">
        <v>1206</v>
      </c>
      <c r="N542" s="10" t="s">
        <v>128</v>
      </c>
      <c r="O542" s="8" t="s">
        <v>1106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1106</v>
      </c>
      <c r="AA542" s="8" t="s">
        <v>331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1093</v>
      </c>
      <c r="E543" s="8" t="s">
        <v>128</v>
      </c>
      <c r="F543" s="8" t="s">
        <v>2039</v>
      </c>
      <c r="G543" s="8" t="s">
        <v>1273</v>
      </c>
      <c r="H543" s="8" t="s">
        <v>2044</v>
      </c>
      <c r="I543" s="8" t="s">
        <v>1203</v>
      </c>
      <c r="J543" s="8" t="s">
        <v>1204</v>
      </c>
      <c r="K543" s="8" t="s">
        <v>1099</v>
      </c>
      <c r="L543" s="10" t="s">
        <v>1205</v>
      </c>
      <c r="M543" s="10" t="s">
        <v>1206</v>
      </c>
      <c r="N543" s="10" t="s">
        <v>128</v>
      </c>
      <c r="O543" s="8" t="s">
        <v>321</v>
      </c>
      <c r="P543" s="8"/>
      <c r="Q543" s="8">
        <v>11729</v>
      </c>
      <c r="R543" s="8">
        <v>155457</v>
      </c>
      <c r="S543" s="8" t="s">
        <v>331</v>
      </c>
      <c r="T543" s="8"/>
      <c r="U543" s="8" t="s">
        <v>331</v>
      </c>
      <c r="V543" s="8"/>
      <c r="W543" s="8"/>
      <c r="X543" s="8"/>
      <c r="Y543" s="8"/>
      <c r="Z543" s="10" t="s">
        <v>2045</v>
      </c>
      <c r="AA543" s="8" t="s">
        <v>331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1093</v>
      </c>
      <c r="E544" s="8" t="s">
        <v>128</v>
      </c>
      <c r="F544" s="8" t="s">
        <v>2037</v>
      </c>
      <c r="G544" s="8" t="s">
        <v>2046</v>
      </c>
      <c r="H544" s="8" t="s">
        <v>2047</v>
      </c>
      <c r="I544" s="8" t="s">
        <v>1209</v>
      </c>
      <c r="J544" s="8" t="s">
        <v>1204</v>
      </c>
      <c r="K544" s="8" t="s">
        <v>1099</v>
      </c>
      <c r="L544" s="10" t="s">
        <v>1210</v>
      </c>
      <c r="M544" s="10" t="s">
        <v>1211</v>
      </c>
      <c r="N544" s="10" t="s">
        <v>1188</v>
      </c>
      <c r="O544" s="8" t="s">
        <v>321</v>
      </c>
      <c r="P544" s="8"/>
      <c r="Q544" s="8">
        <v>2320</v>
      </c>
      <c r="R544" s="8">
        <v>269778</v>
      </c>
      <c r="S544" s="8" t="s">
        <v>331</v>
      </c>
      <c r="T544" s="8"/>
      <c r="U544" s="8"/>
      <c r="V544" s="8"/>
      <c r="W544" s="8"/>
      <c r="X544" s="8"/>
      <c r="Y544" s="8"/>
      <c r="Z544" s="10" t="s">
        <v>1102</v>
      </c>
      <c r="AA544" s="8" t="s">
        <v>331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1093</v>
      </c>
      <c r="E545" s="8" t="s">
        <v>128</v>
      </c>
      <c r="F545" s="8" t="s">
        <v>2028</v>
      </c>
      <c r="G545" s="8" t="s">
        <v>1719</v>
      </c>
      <c r="H545" s="8" t="s">
        <v>1353</v>
      </c>
      <c r="I545" s="8" t="s">
        <v>1213</v>
      </c>
      <c r="J545" s="8" t="s">
        <v>1214</v>
      </c>
      <c r="K545" s="8" t="s">
        <v>1099</v>
      </c>
      <c r="L545" s="10" t="s">
        <v>1123</v>
      </c>
      <c r="M545" s="10" t="s">
        <v>1124</v>
      </c>
      <c r="N545" s="10" t="s">
        <v>1215</v>
      </c>
      <c r="O545" s="8" t="s">
        <v>321</v>
      </c>
      <c r="P545" s="8"/>
      <c r="Q545" s="8"/>
      <c r="R545" s="8">
        <v>120911</v>
      </c>
      <c r="S545" s="8" t="s">
        <v>331</v>
      </c>
      <c r="T545" s="8"/>
      <c r="U545" s="8"/>
      <c r="V545" s="8"/>
      <c r="W545" s="8"/>
      <c r="X545" s="8"/>
      <c r="Y545" s="8"/>
      <c r="Z545" s="10" t="s">
        <v>1102</v>
      </c>
      <c r="AA545" s="8" t="s">
        <v>331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1093</v>
      </c>
      <c r="E546" s="8" t="s">
        <v>128</v>
      </c>
      <c r="F546" s="8" t="s">
        <v>2048</v>
      </c>
      <c r="G546" s="8" t="s">
        <v>1666</v>
      </c>
      <c r="H546" s="8" t="s">
        <v>1381</v>
      </c>
      <c r="I546" s="8" t="s">
        <v>1213</v>
      </c>
      <c r="J546" s="8" t="s">
        <v>1214</v>
      </c>
      <c r="K546" s="8" t="s">
        <v>1099</v>
      </c>
      <c r="L546" s="10" t="s">
        <v>1123</v>
      </c>
      <c r="M546" s="10" t="s">
        <v>1124</v>
      </c>
      <c r="N546" s="10" t="s">
        <v>1215</v>
      </c>
      <c r="O546" s="8" t="s">
        <v>362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2049</v>
      </c>
      <c r="AA546" s="8" t="s">
        <v>331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1093</v>
      </c>
      <c r="E547" s="8" t="s">
        <v>128</v>
      </c>
      <c r="F547" s="8" t="s">
        <v>2039</v>
      </c>
      <c r="G547" s="8" t="s">
        <v>2050</v>
      </c>
      <c r="H547" s="8" t="s">
        <v>2051</v>
      </c>
      <c r="I547" s="8" t="s">
        <v>1216</v>
      </c>
      <c r="J547" s="8" t="s">
        <v>1217</v>
      </c>
      <c r="K547" s="8" t="s">
        <v>1099</v>
      </c>
      <c r="L547" s="10" t="s">
        <v>1218</v>
      </c>
      <c r="M547" s="10" t="s">
        <v>1219</v>
      </c>
      <c r="N547" s="10" t="s">
        <v>1220</v>
      </c>
      <c r="O547" s="8" t="s">
        <v>321</v>
      </c>
      <c r="P547" s="8"/>
      <c r="Q547" s="8">
        <v>33643</v>
      </c>
      <c r="R547" s="8">
        <v>32859</v>
      </c>
      <c r="S547" s="8" t="s">
        <v>331</v>
      </c>
      <c r="T547" s="8"/>
      <c r="U547" s="8"/>
      <c r="V547" s="8"/>
      <c r="W547" s="8"/>
      <c r="X547" s="8"/>
      <c r="Y547" s="8"/>
      <c r="Z547" s="10" t="s">
        <v>1102</v>
      </c>
      <c r="AA547" s="8" t="s">
        <v>331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1093</v>
      </c>
      <c r="E548" s="8" t="s">
        <v>128</v>
      </c>
      <c r="F548" s="8" t="s">
        <v>1094</v>
      </c>
      <c r="G548" s="8" t="s">
        <v>2052</v>
      </c>
      <c r="H548" s="8" t="s">
        <v>1149</v>
      </c>
      <c r="I548" s="8" t="s">
        <v>1223</v>
      </c>
      <c r="J548" s="8" t="s">
        <v>1217</v>
      </c>
      <c r="K548" s="8" t="s">
        <v>1099</v>
      </c>
      <c r="L548" s="10" t="s">
        <v>1224</v>
      </c>
      <c r="M548" s="10" t="s">
        <v>1225</v>
      </c>
      <c r="N548" s="10" t="s">
        <v>1226</v>
      </c>
      <c r="O548" s="8" t="s">
        <v>1106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1106</v>
      </c>
      <c r="AA548" s="8" t="s">
        <v>331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1093</v>
      </c>
      <c r="E549" s="8" t="s">
        <v>128</v>
      </c>
      <c r="F549" s="8" t="s">
        <v>1094</v>
      </c>
      <c r="G549" s="8" t="s">
        <v>2053</v>
      </c>
      <c r="H549" s="8" t="s">
        <v>1279</v>
      </c>
      <c r="I549" s="8" t="s">
        <v>1229</v>
      </c>
      <c r="J549" s="8" t="s">
        <v>1217</v>
      </c>
      <c r="K549" s="8" t="s">
        <v>1099</v>
      </c>
      <c r="L549" s="10" t="s">
        <v>1230</v>
      </c>
      <c r="M549" s="10" t="s">
        <v>1231</v>
      </c>
      <c r="N549" s="10" t="s">
        <v>128</v>
      </c>
      <c r="O549" s="8" t="s">
        <v>1106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1106</v>
      </c>
      <c r="AA549" s="8" t="s">
        <v>331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1093</v>
      </c>
      <c r="E550" s="8" t="s">
        <v>128</v>
      </c>
      <c r="F550" s="8" t="s">
        <v>2039</v>
      </c>
      <c r="G550" s="8" t="s">
        <v>1115</v>
      </c>
      <c r="H550" s="8" t="s">
        <v>1926</v>
      </c>
      <c r="I550" s="8" t="s">
        <v>1229</v>
      </c>
      <c r="J550" s="8" t="s">
        <v>1217</v>
      </c>
      <c r="K550" s="8" t="s">
        <v>1099</v>
      </c>
      <c r="L550" s="10" t="s">
        <v>1230</v>
      </c>
      <c r="M550" s="10" t="s">
        <v>1231</v>
      </c>
      <c r="N550" s="10" t="s">
        <v>128</v>
      </c>
      <c r="O550" s="8" t="s">
        <v>321</v>
      </c>
      <c r="P550" s="8"/>
      <c r="Q550" s="8">
        <v>17524</v>
      </c>
      <c r="R550" s="8">
        <v>23921</v>
      </c>
      <c r="S550" s="8" t="s">
        <v>331</v>
      </c>
      <c r="T550" s="8"/>
      <c r="U550" s="8" t="s">
        <v>331</v>
      </c>
      <c r="V550" s="8"/>
      <c r="W550" s="8"/>
      <c r="X550" s="8"/>
      <c r="Y550" s="8"/>
      <c r="Z550" s="10" t="s">
        <v>2054</v>
      </c>
      <c r="AA550" s="8" t="s">
        <v>331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1093</v>
      </c>
      <c r="E551" s="8" t="s">
        <v>128</v>
      </c>
      <c r="F551" s="8" t="s">
        <v>2055</v>
      </c>
      <c r="G551" s="8" t="s">
        <v>2056</v>
      </c>
      <c r="H551" s="8" t="s">
        <v>1717</v>
      </c>
      <c r="I551" s="8" t="s">
        <v>1243</v>
      </c>
      <c r="J551" s="8" t="s">
        <v>1244</v>
      </c>
      <c r="K551" s="8" t="s">
        <v>1099</v>
      </c>
      <c r="L551" s="10" t="s">
        <v>1236</v>
      </c>
      <c r="M551" s="10" t="s">
        <v>1237</v>
      </c>
      <c r="N551" s="10" t="s">
        <v>1238</v>
      </c>
      <c r="O551" s="8" t="s">
        <v>321</v>
      </c>
      <c r="P551" s="8"/>
      <c r="Q551" s="8">
        <v>369</v>
      </c>
      <c r="R551" s="8">
        <v>16600</v>
      </c>
      <c r="S551" s="8" t="s">
        <v>331</v>
      </c>
      <c r="T551" s="8"/>
      <c r="U551" s="8"/>
      <c r="V551" s="8"/>
      <c r="W551" s="8"/>
      <c r="X551" s="8"/>
      <c r="Y551" s="8"/>
      <c r="Z551" s="10" t="s">
        <v>1102</v>
      </c>
      <c r="AA551" s="8" t="s">
        <v>331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1093</v>
      </c>
      <c r="E552" s="8" t="s">
        <v>128</v>
      </c>
      <c r="F552" s="8" t="s">
        <v>2039</v>
      </c>
      <c r="G552" s="8" t="s">
        <v>1920</v>
      </c>
      <c r="H552" s="8" t="s">
        <v>1646</v>
      </c>
      <c r="I552" s="8" t="s">
        <v>1724</v>
      </c>
      <c r="J552" s="8" t="s">
        <v>1725</v>
      </c>
      <c r="K552" s="8" t="s">
        <v>1099</v>
      </c>
      <c r="L552" s="10" t="s">
        <v>1249</v>
      </c>
      <c r="M552" s="10" t="s">
        <v>1250</v>
      </c>
      <c r="N552" s="10"/>
      <c r="O552" s="8" t="s">
        <v>321</v>
      </c>
      <c r="P552" s="8"/>
      <c r="Q552" s="8"/>
      <c r="R552" s="8">
        <v>26607</v>
      </c>
      <c r="S552" s="8" t="s">
        <v>331</v>
      </c>
      <c r="T552" s="8"/>
      <c r="U552" s="8"/>
      <c r="V552" s="8"/>
      <c r="W552" s="8"/>
      <c r="X552" s="8"/>
      <c r="Y552" s="8"/>
      <c r="Z552" s="10" t="s">
        <v>1102</v>
      </c>
      <c r="AA552" s="8" t="s">
        <v>331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1093</v>
      </c>
      <c r="E553" s="8" t="s">
        <v>128</v>
      </c>
      <c r="F553" s="8" t="s">
        <v>2055</v>
      </c>
      <c r="G553" s="8" t="s">
        <v>1886</v>
      </c>
      <c r="H553" s="8" t="s">
        <v>1384</v>
      </c>
      <c r="I553" s="8" t="s">
        <v>1251</v>
      </c>
      <c r="J553" s="8" t="s">
        <v>1252</v>
      </c>
      <c r="K553" s="8" t="s">
        <v>1099</v>
      </c>
      <c r="L553" s="10" t="s">
        <v>1236</v>
      </c>
      <c r="M553" s="10" t="s">
        <v>1237</v>
      </c>
      <c r="N553" s="10" t="s">
        <v>1253</v>
      </c>
      <c r="O553" s="8" t="s">
        <v>321</v>
      </c>
      <c r="P553" s="8"/>
      <c r="Q553" s="8"/>
      <c r="R553" s="8">
        <v>115310</v>
      </c>
      <c r="S553" s="8" t="s">
        <v>331</v>
      </c>
      <c r="T553" s="8"/>
      <c r="U553" s="8"/>
      <c r="V553" s="8"/>
      <c r="W553" s="8"/>
      <c r="X553" s="8"/>
      <c r="Y553" s="8"/>
      <c r="Z553" s="10" t="s">
        <v>1102</v>
      </c>
      <c r="AA553" s="8" t="s">
        <v>331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1093</v>
      </c>
      <c r="E554" s="8" t="s">
        <v>128</v>
      </c>
      <c r="F554" s="8" t="s">
        <v>2055</v>
      </c>
      <c r="G554" s="8" t="s">
        <v>2026</v>
      </c>
      <c r="H554" s="8" t="s">
        <v>1684</v>
      </c>
      <c r="I554" s="8" t="s">
        <v>1256</v>
      </c>
      <c r="J554" s="8" t="s">
        <v>1252</v>
      </c>
      <c r="K554" s="8" t="s">
        <v>1099</v>
      </c>
      <c r="L554" s="10" t="s">
        <v>1236</v>
      </c>
      <c r="M554" s="10" t="s">
        <v>1237</v>
      </c>
      <c r="N554" s="10" t="s">
        <v>1257</v>
      </c>
      <c r="O554" s="8" t="s">
        <v>321</v>
      </c>
      <c r="P554" s="8"/>
      <c r="Q554" s="8"/>
      <c r="R554" s="8">
        <v>51466</v>
      </c>
      <c r="S554" s="8" t="s">
        <v>331</v>
      </c>
      <c r="T554" s="8"/>
      <c r="U554" s="8"/>
      <c r="V554" s="8"/>
      <c r="W554" s="8"/>
      <c r="X554" s="8"/>
      <c r="Y554" s="8"/>
      <c r="Z554" s="10" t="s">
        <v>1102</v>
      </c>
      <c r="AA554" s="8" t="s">
        <v>331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1093</v>
      </c>
      <c r="E555" s="8" t="s">
        <v>128</v>
      </c>
      <c r="F555" s="8" t="s">
        <v>2057</v>
      </c>
      <c r="G555" s="8" t="s">
        <v>1166</v>
      </c>
      <c r="H555" s="8" t="s">
        <v>1541</v>
      </c>
      <c r="I555" s="8" t="s">
        <v>2058</v>
      </c>
      <c r="J555" s="8" t="s">
        <v>1788</v>
      </c>
      <c r="K555" s="8" t="s">
        <v>1496</v>
      </c>
      <c r="L555" s="10" t="s">
        <v>1497</v>
      </c>
      <c r="M555" s="10" t="s">
        <v>1498</v>
      </c>
      <c r="N555" s="10" t="s">
        <v>1499</v>
      </c>
      <c r="O555" s="8" t="s">
        <v>321</v>
      </c>
      <c r="P555" s="8"/>
      <c r="Q555" s="8"/>
      <c r="R555" s="8">
        <v>0</v>
      </c>
      <c r="S555" s="8" t="s">
        <v>331</v>
      </c>
      <c r="T555" s="8"/>
      <c r="U555" s="8"/>
      <c r="V555" s="8"/>
      <c r="W555" s="8"/>
      <c r="X555" s="8"/>
      <c r="Y555" s="8"/>
      <c r="Z555" s="10" t="s">
        <v>2059</v>
      </c>
      <c r="AA555" s="8" t="s">
        <v>331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1093</v>
      </c>
      <c r="E556" s="8" t="s">
        <v>123</v>
      </c>
      <c r="F556" s="8" t="s">
        <v>2037</v>
      </c>
      <c r="G556" s="8" t="s">
        <v>1284</v>
      </c>
      <c r="H556" s="8" t="s">
        <v>1120</v>
      </c>
      <c r="I556" s="8" t="s">
        <v>1267</v>
      </c>
      <c r="J556" s="8" t="s">
        <v>1111</v>
      </c>
      <c r="K556" s="8" t="s">
        <v>1099</v>
      </c>
      <c r="L556" s="10" t="s">
        <v>1268</v>
      </c>
      <c r="M556" s="10" t="s">
        <v>1269</v>
      </c>
      <c r="N556" s="10" t="s">
        <v>1584</v>
      </c>
      <c r="O556" s="8" t="s">
        <v>362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2060</v>
      </c>
      <c r="AA556" s="8" t="s">
        <v>331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1093</v>
      </c>
      <c r="E557" s="8" t="s">
        <v>123</v>
      </c>
      <c r="F557" s="8" t="s">
        <v>2041</v>
      </c>
      <c r="G557" s="8" t="s">
        <v>1279</v>
      </c>
      <c r="H557" s="8" t="s">
        <v>1155</v>
      </c>
      <c r="I557" s="8" t="s">
        <v>1267</v>
      </c>
      <c r="J557" s="8" t="s">
        <v>1111</v>
      </c>
      <c r="K557" s="8" t="s">
        <v>1099</v>
      </c>
      <c r="L557" s="10" t="s">
        <v>1268</v>
      </c>
      <c r="M557" s="10" t="s">
        <v>1269</v>
      </c>
      <c r="N557" s="10" t="s">
        <v>1584</v>
      </c>
      <c r="O557" s="8" t="s">
        <v>362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2061</v>
      </c>
      <c r="AA557" s="8" t="s">
        <v>331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1093</v>
      </c>
      <c r="E558" s="8" t="s">
        <v>123</v>
      </c>
      <c r="F558" s="8" t="s">
        <v>2062</v>
      </c>
      <c r="G558" s="8" t="s">
        <v>1279</v>
      </c>
      <c r="H558" s="8" t="s">
        <v>1149</v>
      </c>
      <c r="I558" s="8" t="s">
        <v>1267</v>
      </c>
      <c r="J558" s="8" t="s">
        <v>1111</v>
      </c>
      <c r="K558" s="8" t="s">
        <v>1099</v>
      </c>
      <c r="L558" s="10" t="s">
        <v>1268</v>
      </c>
      <c r="M558" s="10" t="s">
        <v>1269</v>
      </c>
      <c r="N558" s="10" t="s">
        <v>1584</v>
      </c>
      <c r="O558" s="8" t="s">
        <v>321</v>
      </c>
      <c r="P558" s="8"/>
      <c r="Q558" s="8">
        <v>9588</v>
      </c>
      <c r="R558" s="8">
        <v>67733</v>
      </c>
      <c r="S558" s="8" t="s">
        <v>331</v>
      </c>
      <c r="T558" s="8"/>
      <c r="U558" s="8"/>
      <c r="V558" s="8"/>
      <c r="W558" s="8"/>
      <c r="X558" s="8"/>
      <c r="Y558" s="8"/>
      <c r="Z558" s="10" t="s">
        <v>1738</v>
      </c>
      <c r="AA558" s="8" t="s">
        <v>331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1093</v>
      </c>
      <c r="E559" s="8" t="s">
        <v>123</v>
      </c>
      <c r="F559" s="8" t="s">
        <v>2062</v>
      </c>
      <c r="G559" s="8" t="s">
        <v>1706</v>
      </c>
      <c r="H559" s="8" t="s">
        <v>2063</v>
      </c>
      <c r="I559" s="8" t="s">
        <v>1267</v>
      </c>
      <c r="J559" s="8" t="s">
        <v>1111</v>
      </c>
      <c r="K559" s="8" t="s">
        <v>1099</v>
      </c>
      <c r="L559" s="10" t="s">
        <v>1268</v>
      </c>
      <c r="M559" s="10" t="s">
        <v>1269</v>
      </c>
      <c r="N559" s="10" t="s">
        <v>1584</v>
      </c>
      <c r="O559" s="8" t="s">
        <v>362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2064</v>
      </c>
      <c r="AA559" s="8" t="s">
        <v>331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1093</v>
      </c>
      <c r="E560" s="8" t="s">
        <v>123</v>
      </c>
      <c r="F560" s="8" t="s">
        <v>2065</v>
      </c>
      <c r="G560" s="8" t="s">
        <v>1297</v>
      </c>
      <c r="H560" s="8" t="s">
        <v>1819</v>
      </c>
      <c r="I560" s="8" t="s">
        <v>1267</v>
      </c>
      <c r="J560" s="8" t="s">
        <v>1111</v>
      </c>
      <c r="K560" s="8" t="s">
        <v>1099</v>
      </c>
      <c r="L560" s="10" t="s">
        <v>1268</v>
      </c>
      <c r="M560" s="10" t="s">
        <v>1269</v>
      </c>
      <c r="N560" s="10" t="s">
        <v>1584</v>
      </c>
      <c r="O560" s="8" t="s">
        <v>321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331</v>
      </c>
      <c r="Z560" s="10" t="s">
        <v>2066</v>
      </c>
      <c r="AA560" s="8" t="s">
        <v>331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1093</v>
      </c>
      <c r="E561" s="8" t="s">
        <v>123</v>
      </c>
      <c r="F561" s="8" t="s">
        <v>2067</v>
      </c>
      <c r="G561" s="8" t="s">
        <v>1284</v>
      </c>
      <c r="H561" s="8" t="s">
        <v>2068</v>
      </c>
      <c r="I561" s="8" t="s">
        <v>1267</v>
      </c>
      <c r="J561" s="8" t="s">
        <v>1111</v>
      </c>
      <c r="K561" s="8" t="s">
        <v>1099</v>
      </c>
      <c r="L561" s="10" t="s">
        <v>1268</v>
      </c>
      <c r="M561" s="10" t="s">
        <v>1269</v>
      </c>
      <c r="N561" s="10" t="s">
        <v>1584</v>
      </c>
      <c r="O561" s="8" t="s">
        <v>362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2060</v>
      </c>
      <c r="AA561" s="8" t="s">
        <v>331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1093</v>
      </c>
      <c r="E562" s="8" t="s">
        <v>123</v>
      </c>
      <c r="F562" s="8" t="s">
        <v>2065</v>
      </c>
      <c r="G562" s="8" t="s">
        <v>1279</v>
      </c>
      <c r="H562" s="8" t="s">
        <v>1149</v>
      </c>
      <c r="I562" s="8" t="s">
        <v>1274</v>
      </c>
      <c r="J562" s="8" t="s">
        <v>1111</v>
      </c>
      <c r="K562" s="8" t="s">
        <v>1099</v>
      </c>
      <c r="L562" s="10" t="s">
        <v>1275</v>
      </c>
      <c r="M562" s="10" t="s">
        <v>1276</v>
      </c>
      <c r="N562" s="10" t="s">
        <v>1277</v>
      </c>
      <c r="O562" s="8" t="s">
        <v>321</v>
      </c>
      <c r="P562" s="8"/>
      <c r="Q562" s="8">
        <v>20281</v>
      </c>
      <c r="R562" s="8">
        <v>82945</v>
      </c>
      <c r="S562" s="8" t="s">
        <v>331</v>
      </c>
      <c r="T562" s="8"/>
      <c r="U562" s="8"/>
      <c r="V562" s="8"/>
      <c r="W562" s="8"/>
      <c r="X562" s="8"/>
      <c r="Y562" s="8"/>
      <c r="Z562" s="10" t="s">
        <v>1738</v>
      </c>
      <c r="AA562" s="8" t="s">
        <v>331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1093</v>
      </c>
      <c r="E563" s="8" t="s">
        <v>123</v>
      </c>
      <c r="F563" s="8" t="s">
        <v>2042</v>
      </c>
      <c r="G563" s="8" t="s">
        <v>1196</v>
      </c>
      <c r="H563" s="8" t="s">
        <v>1279</v>
      </c>
      <c r="I563" s="8" t="s">
        <v>1281</v>
      </c>
      <c r="J563" s="8" t="s">
        <v>1111</v>
      </c>
      <c r="K563" s="8" t="s">
        <v>1099</v>
      </c>
      <c r="L563" s="10" t="s">
        <v>1282</v>
      </c>
      <c r="M563" s="10" t="s">
        <v>1283</v>
      </c>
      <c r="N563" s="10"/>
      <c r="O563" s="8" t="s">
        <v>321</v>
      </c>
      <c r="P563" s="8"/>
      <c r="Q563" s="8">
        <v>1950</v>
      </c>
      <c r="R563" s="8">
        <v>39000</v>
      </c>
      <c r="S563" s="8" t="s">
        <v>331</v>
      </c>
      <c r="T563" s="8"/>
      <c r="U563" s="8"/>
      <c r="V563" s="8"/>
      <c r="W563" s="8"/>
      <c r="X563" s="8"/>
      <c r="Y563" s="8"/>
      <c r="Z563" s="10" t="s">
        <v>2069</v>
      </c>
      <c r="AA563" s="8" t="s">
        <v>331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1093</v>
      </c>
      <c r="E564" s="8" t="s">
        <v>123</v>
      </c>
      <c r="F564" s="8" t="s">
        <v>2062</v>
      </c>
      <c r="G564" s="8" t="s">
        <v>1149</v>
      </c>
      <c r="H564" s="8" t="s">
        <v>1297</v>
      </c>
      <c r="I564" s="8" t="s">
        <v>1286</v>
      </c>
      <c r="J564" s="8" t="s">
        <v>1111</v>
      </c>
      <c r="K564" s="8" t="s">
        <v>1099</v>
      </c>
      <c r="L564" s="10" t="s">
        <v>1287</v>
      </c>
      <c r="M564" s="10" t="s">
        <v>1288</v>
      </c>
      <c r="N564" s="10" t="s">
        <v>1289</v>
      </c>
      <c r="O564" s="8" t="s">
        <v>321</v>
      </c>
      <c r="P564" s="8"/>
      <c r="Q564" s="8">
        <v>14599</v>
      </c>
      <c r="R564" s="8">
        <v>132289</v>
      </c>
      <c r="S564" s="8" t="s">
        <v>331</v>
      </c>
      <c r="T564" s="8"/>
      <c r="U564" s="8"/>
      <c r="V564" s="8"/>
      <c r="W564" s="8"/>
      <c r="X564" s="8"/>
      <c r="Y564" s="8"/>
      <c r="Z564" s="10" t="s">
        <v>1738</v>
      </c>
      <c r="AA564" s="8" t="s">
        <v>331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1093</v>
      </c>
      <c r="E565" s="8" t="s">
        <v>123</v>
      </c>
      <c r="F565" s="8" t="s">
        <v>2070</v>
      </c>
      <c r="G565" s="8" t="s">
        <v>1196</v>
      </c>
      <c r="H565" s="8" t="s">
        <v>1279</v>
      </c>
      <c r="I565" s="8" t="s">
        <v>1298</v>
      </c>
      <c r="J565" s="8" t="s">
        <v>1140</v>
      </c>
      <c r="K565" s="8" t="s">
        <v>1099</v>
      </c>
      <c r="L565" s="10" t="s">
        <v>1299</v>
      </c>
      <c r="M565" s="10" t="s">
        <v>1300</v>
      </c>
      <c r="N565" s="10" t="s">
        <v>1301</v>
      </c>
      <c r="O565" s="8" t="s">
        <v>321</v>
      </c>
      <c r="P565" s="8">
        <v>6113</v>
      </c>
      <c r="Q565" s="8">
        <v>14178</v>
      </c>
      <c r="R565" s="8">
        <v>17998</v>
      </c>
      <c r="S565" s="8" t="s">
        <v>331</v>
      </c>
      <c r="T565" s="8"/>
      <c r="U565" s="8"/>
      <c r="V565" s="8"/>
      <c r="W565" s="8"/>
      <c r="X565" s="8"/>
      <c r="Y565" s="8"/>
      <c r="Z565" s="10" t="s">
        <v>1738</v>
      </c>
      <c r="AA565" s="8" t="s">
        <v>331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1093</v>
      </c>
      <c r="E566" s="8" t="s">
        <v>123</v>
      </c>
      <c r="F566" s="8" t="s">
        <v>2070</v>
      </c>
      <c r="G566" s="8" t="s">
        <v>1266</v>
      </c>
      <c r="H566" s="8" t="s">
        <v>1196</v>
      </c>
      <c r="I566" s="8" t="s">
        <v>1600</v>
      </c>
      <c r="J566" s="8" t="s">
        <v>1140</v>
      </c>
      <c r="K566" s="8" t="s">
        <v>1099</v>
      </c>
      <c r="L566" s="10" t="s">
        <v>1299</v>
      </c>
      <c r="M566" s="10" t="s">
        <v>1601</v>
      </c>
      <c r="N566" s="10" t="s">
        <v>1602</v>
      </c>
      <c r="O566" s="8" t="s">
        <v>321</v>
      </c>
      <c r="P566" s="8">
        <v>1688</v>
      </c>
      <c r="Q566" s="8">
        <v>2160</v>
      </c>
      <c r="R566" s="8">
        <v>4806</v>
      </c>
      <c r="S566" s="8" t="s">
        <v>331</v>
      </c>
      <c r="T566" s="8"/>
      <c r="U566" s="8"/>
      <c r="V566" s="8"/>
      <c r="W566" s="8"/>
      <c r="X566" s="8"/>
      <c r="Y566" s="8"/>
      <c r="Z566" s="10" t="s">
        <v>1738</v>
      </c>
      <c r="AA566" s="8" t="s">
        <v>331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1093</v>
      </c>
      <c r="E567" s="8" t="s">
        <v>123</v>
      </c>
      <c r="F567" s="8" t="s">
        <v>2042</v>
      </c>
      <c r="G567" s="8" t="s">
        <v>1279</v>
      </c>
      <c r="H567" s="8" t="s">
        <v>1149</v>
      </c>
      <c r="I567" s="8" t="s">
        <v>1606</v>
      </c>
      <c r="J567" s="8" t="s">
        <v>1140</v>
      </c>
      <c r="K567" s="8" t="s">
        <v>1099</v>
      </c>
      <c r="L567" s="10" t="s">
        <v>1260</v>
      </c>
      <c r="M567" s="10" t="s">
        <v>1261</v>
      </c>
      <c r="N567" s="10" t="s">
        <v>1413</v>
      </c>
      <c r="O567" s="8" t="s">
        <v>321</v>
      </c>
      <c r="P567" s="8"/>
      <c r="Q567" s="8">
        <v>500</v>
      </c>
      <c r="R567" s="8">
        <v>7500</v>
      </c>
      <c r="S567" s="8" t="s">
        <v>331</v>
      </c>
      <c r="T567" s="8"/>
      <c r="U567" s="8"/>
      <c r="V567" s="8"/>
      <c r="W567" s="8"/>
      <c r="X567" s="8"/>
      <c r="Y567" s="8"/>
      <c r="Z567" s="10" t="s">
        <v>1738</v>
      </c>
      <c r="AA567" s="8" t="s">
        <v>331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1093</v>
      </c>
      <c r="E568" s="8" t="s">
        <v>123</v>
      </c>
      <c r="F568" s="8" t="s">
        <v>2071</v>
      </c>
      <c r="G568" s="8" t="s">
        <v>1746</v>
      </c>
      <c r="H568" s="8" t="s">
        <v>2072</v>
      </c>
      <c r="I568" s="8" t="s">
        <v>1606</v>
      </c>
      <c r="J568" s="8" t="s">
        <v>1140</v>
      </c>
      <c r="K568" s="8" t="s">
        <v>1099</v>
      </c>
      <c r="L568" s="10" t="s">
        <v>1260</v>
      </c>
      <c r="M568" s="10" t="s">
        <v>1261</v>
      </c>
      <c r="N568" s="10" t="s">
        <v>1413</v>
      </c>
      <c r="O568" s="8" t="s">
        <v>321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331</v>
      </c>
      <c r="Z568" s="10" t="s">
        <v>1407</v>
      </c>
      <c r="AA568" s="8" t="s">
        <v>331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1093</v>
      </c>
      <c r="E569" s="8" t="s">
        <v>123</v>
      </c>
      <c r="F569" s="8" t="s">
        <v>2070</v>
      </c>
      <c r="G569" s="8" t="s">
        <v>1279</v>
      </c>
      <c r="H569" s="8" t="s">
        <v>1149</v>
      </c>
      <c r="I569" s="8" t="s">
        <v>1857</v>
      </c>
      <c r="J569" s="8" t="s">
        <v>1140</v>
      </c>
      <c r="K569" s="8" t="s">
        <v>1099</v>
      </c>
      <c r="L569" s="10" t="s">
        <v>1299</v>
      </c>
      <c r="M569" s="10" t="s">
        <v>1858</v>
      </c>
      <c r="N569" s="10" t="s">
        <v>1859</v>
      </c>
      <c r="O569" s="8" t="s">
        <v>321</v>
      </c>
      <c r="P569" s="8">
        <v>43</v>
      </c>
      <c r="Q569" s="8">
        <v>444</v>
      </c>
      <c r="R569" s="8">
        <v>985</v>
      </c>
      <c r="S569" s="8" t="s">
        <v>331</v>
      </c>
      <c r="T569" s="8"/>
      <c r="U569" s="8"/>
      <c r="V569" s="8"/>
      <c r="W569" s="8"/>
      <c r="X569" s="8"/>
      <c r="Y569" s="8"/>
      <c r="Z569" s="10" t="s">
        <v>1738</v>
      </c>
      <c r="AA569" s="8" t="s">
        <v>331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1093</v>
      </c>
      <c r="E570" s="8" t="s">
        <v>123</v>
      </c>
      <c r="F570" s="8" t="s">
        <v>2067</v>
      </c>
      <c r="G570" s="8" t="s">
        <v>1317</v>
      </c>
      <c r="H570" s="8" t="s">
        <v>1384</v>
      </c>
      <c r="I570" s="8" t="s">
        <v>1857</v>
      </c>
      <c r="J570" s="8" t="s">
        <v>1140</v>
      </c>
      <c r="K570" s="8" t="s">
        <v>1099</v>
      </c>
      <c r="L570" s="10" t="s">
        <v>1299</v>
      </c>
      <c r="M570" s="10" t="s">
        <v>1858</v>
      </c>
      <c r="N570" s="10" t="s">
        <v>1859</v>
      </c>
      <c r="O570" s="8" t="s">
        <v>362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2073</v>
      </c>
      <c r="AA570" s="8" t="s">
        <v>331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1093</v>
      </c>
      <c r="E571" s="8" t="s">
        <v>123</v>
      </c>
      <c r="F571" s="8" t="s">
        <v>2032</v>
      </c>
      <c r="G571" s="8" t="s">
        <v>1302</v>
      </c>
      <c r="H571" s="8" t="s">
        <v>2074</v>
      </c>
      <c r="I571" s="8" t="s">
        <v>2075</v>
      </c>
      <c r="J571" s="8" t="s">
        <v>1140</v>
      </c>
      <c r="K571" s="8" t="s">
        <v>1099</v>
      </c>
      <c r="L571" s="10" t="s">
        <v>1466</v>
      </c>
      <c r="M571" s="10" t="s">
        <v>2076</v>
      </c>
      <c r="N571" s="10" t="s">
        <v>1618</v>
      </c>
      <c r="O571" s="8" t="s">
        <v>321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331</v>
      </c>
      <c r="Z571" s="10" t="s">
        <v>2077</v>
      </c>
      <c r="AA571" s="8" t="s">
        <v>331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1093</v>
      </c>
      <c r="E572" s="8" t="s">
        <v>123</v>
      </c>
      <c r="F572" s="8" t="s">
        <v>2078</v>
      </c>
      <c r="G572" s="8" t="s">
        <v>1196</v>
      </c>
      <c r="H572" s="8" t="s">
        <v>2053</v>
      </c>
      <c r="I572" s="8" t="s">
        <v>1313</v>
      </c>
      <c r="J572" s="8" t="s">
        <v>1169</v>
      </c>
      <c r="K572" s="8" t="s">
        <v>1099</v>
      </c>
      <c r="L572" s="10" t="s">
        <v>1314</v>
      </c>
      <c r="M572" s="10" t="s">
        <v>1315</v>
      </c>
      <c r="N572" s="10" t="s">
        <v>1316</v>
      </c>
      <c r="O572" s="8" t="s">
        <v>321</v>
      </c>
      <c r="P572" s="8"/>
      <c r="Q572" s="8"/>
      <c r="R572" s="8">
        <v>386856</v>
      </c>
      <c r="S572" s="8" t="s">
        <v>331</v>
      </c>
      <c r="T572" s="8"/>
      <c r="U572" s="8"/>
      <c r="V572" s="8"/>
      <c r="W572" s="8"/>
      <c r="X572" s="8"/>
      <c r="Y572" s="8"/>
      <c r="Z572" s="10" t="s">
        <v>1738</v>
      </c>
      <c r="AA572" s="8" t="s">
        <v>331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1093</v>
      </c>
      <c r="E573" s="8" t="s">
        <v>123</v>
      </c>
      <c r="F573" s="8" t="s">
        <v>2078</v>
      </c>
      <c r="G573" s="8" t="s">
        <v>2030</v>
      </c>
      <c r="H573" s="8" t="s">
        <v>1555</v>
      </c>
      <c r="I573" s="8" t="s">
        <v>1320</v>
      </c>
      <c r="J573" s="8" t="s">
        <v>1169</v>
      </c>
      <c r="K573" s="8" t="s">
        <v>1099</v>
      </c>
      <c r="L573" s="10" t="s">
        <v>1314</v>
      </c>
      <c r="M573" s="10" t="s">
        <v>1321</v>
      </c>
      <c r="N573" s="10" t="s">
        <v>1322</v>
      </c>
      <c r="O573" s="8" t="s">
        <v>1106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1738</v>
      </c>
      <c r="AA573" s="8" t="s">
        <v>331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1093</v>
      </c>
      <c r="E574" s="8" t="s">
        <v>123</v>
      </c>
      <c r="F574" s="8" t="s">
        <v>2055</v>
      </c>
      <c r="G574" s="8" t="s">
        <v>1120</v>
      </c>
      <c r="H574" s="8" t="s">
        <v>1343</v>
      </c>
      <c r="I574" s="8" t="s">
        <v>1324</v>
      </c>
      <c r="J574" s="8" t="s">
        <v>1169</v>
      </c>
      <c r="K574" s="8" t="s">
        <v>1099</v>
      </c>
      <c r="L574" s="10" t="s">
        <v>1325</v>
      </c>
      <c r="M574" s="10" t="s">
        <v>1326</v>
      </c>
      <c r="N574" s="10"/>
      <c r="O574" s="8" t="s">
        <v>321</v>
      </c>
      <c r="P574" s="8"/>
      <c r="Q574" s="8"/>
      <c r="R574" s="8">
        <v>318929</v>
      </c>
      <c r="S574" s="8" t="s">
        <v>331</v>
      </c>
      <c r="T574" s="8"/>
      <c r="U574" s="8"/>
      <c r="V574" s="8"/>
      <c r="W574" s="8"/>
      <c r="X574" s="8"/>
      <c r="Y574" s="8"/>
      <c r="Z574" s="10" t="s">
        <v>1738</v>
      </c>
      <c r="AA574" s="8" t="s">
        <v>331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1093</v>
      </c>
      <c r="E575" s="8" t="s">
        <v>123</v>
      </c>
      <c r="F575" s="8" t="s">
        <v>2034</v>
      </c>
      <c r="G575" s="8" t="s">
        <v>2052</v>
      </c>
      <c r="H575" s="8" t="s">
        <v>1222</v>
      </c>
      <c r="I575" s="8" t="s">
        <v>1324</v>
      </c>
      <c r="J575" s="8" t="s">
        <v>1169</v>
      </c>
      <c r="K575" s="8" t="s">
        <v>1099</v>
      </c>
      <c r="L575" s="10" t="s">
        <v>1325</v>
      </c>
      <c r="M575" s="10" t="s">
        <v>1326</v>
      </c>
      <c r="N575" s="10"/>
      <c r="O575" s="8" t="s">
        <v>321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331</v>
      </c>
      <c r="Z575" s="10" t="s">
        <v>2079</v>
      </c>
      <c r="AA575" s="8" t="s">
        <v>331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1093</v>
      </c>
      <c r="E576" s="8" t="s">
        <v>123</v>
      </c>
      <c r="F576" s="8" t="s">
        <v>2055</v>
      </c>
      <c r="G576" s="8" t="s">
        <v>1342</v>
      </c>
      <c r="H576" s="8" t="s">
        <v>1994</v>
      </c>
      <c r="I576" s="8" t="s">
        <v>1329</v>
      </c>
      <c r="J576" s="8" t="s">
        <v>1169</v>
      </c>
      <c r="K576" s="8" t="s">
        <v>1099</v>
      </c>
      <c r="L576" s="10" t="s">
        <v>1330</v>
      </c>
      <c r="M576" s="10" t="s">
        <v>1331</v>
      </c>
      <c r="N576" s="10"/>
      <c r="O576" s="8" t="s">
        <v>321</v>
      </c>
      <c r="P576" s="8"/>
      <c r="Q576" s="8"/>
      <c r="R576" s="8">
        <v>92400</v>
      </c>
      <c r="S576" s="8" t="s">
        <v>331</v>
      </c>
      <c r="T576" s="8"/>
      <c r="U576" s="8"/>
      <c r="V576" s="8"/>
      <c r="W576" s="8"/>
      <c r="X576" s="8"/>
      <c r="Y576" s="8"/>
      <c r="Z576" s="10" t="s">
        <v>1738</v>
      </c>
      <c r="AA576" s="8" t="s">
        <v>331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1093</v>
      </c>
      <c r="E577" s="8" t="s">
        <v>123</v>
      </c>
      <c r="F577" s="8" t="s">
        <v>2034</v>
      </c>
      <c r="G577" s="8" t="s">
        <v>1562</v>
      </c>
      <c r="H577" s="8" t="s">
        <v>1710</v>
      </c>
      <c r="I577" s="8" t="s">
        <v>1329</v>
      </c>
      <c r="J577" s="8" t="s">
        <v>1169</v>
      </c>
      <c r="K577" s="8" t="s">
        <v>1099</v>
      </c>
      <c r="L577" s="10" t="s">
        <v>1330</v>
      </c>
      <c r="M577" s="10" t="s">
        <v>1331</v>
      </c>
      <c r="N577" s="10"/>
      <c r="O577" s="8" t="s">
        <v>321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331</v>
      </c>
      <c r="Z577" s="10" t="s">
        <v>2080</v>
      </c>
      <c r="AA577" s="8" t="s">
        <v>331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1093</v>
      </c>
      <c r="E578" s="8" t="s">
        <v>123</v>
      </c>
      <c r="F578" s="8" t="s">
        <v>2039</v>
      </c>
      <c r="G578" s="8" t="s">
        <v>1149</v>
      </c>
      <c r="H578" s="8" t="s">
        <v>1207</v>
      </c>
      <c r="I578" s="8" t="s">
        <v>1623</v>
      </c>
      <c r="J578" s="8" t="s">
        <v>1169</v>
      </c>
      <c r="K578" s="8" t="s">
        <v>1099</v>
      </c>
      <c r="L578" s="10" t="s">
        <v>1624</v>
      </c>
      <c r="M578" s="10" t="s">
        <v>1625</v>
      </c>
      <c r="N578" s="10" t="s">
        <v>1340</v>
      </c>
      <c r="O578" s="8" t="s">
        <v>321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331</v>
      </c>
      <c r="Z578" s="10" t="s">
        <v>2081</v>
      </c>
      <c r="AA578" s="8" t="s">
        <v>331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1093</v>
      </c>
      <c r="E579" s="8" t="s">
        <v>123</v>
      </c>
      <c r="F579" s="8" t="s">
        <v>2034</v>
      </c>
      <c r="G579" s="8" t="s">
        <v>1765</v>
      </c>
      <c r="H579" s="8" t="s">
        <v>1610</v>
      </c>
      <c r="I579" s="8" t="s">
        <v>1623</v>
      </c>
      <c r="J579" s="8" t="s">
        <v>1169</v>
      </c>
      <c r="K579" s="8" t="s">
        <v>1099</v>
      </c>
      <c r="L579" s="10" t="s">
        <v>1624</v>
      </c>
      <c r="M579" s="10" t="s">
        <v>1625</v>
      </c>
      <c r="N579" s="10" t="s">
        <v>1340</v>
      </c>
      <c r="O579" s="8" t="s">
        <v>321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331</v>
      </c>
      <c r="Z579" s="10" t="s">
        <v>2082</v>
      </c>
      <c r="AA579" s="8" t="s">
        <v>331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1093</v>
      </c>
      <c r="E580" s="8" t="s">
        <v>123</v>
      </c>
      <c r="F580" s="8" t="s">
        <v>2057</v>
      </c>
      <c r="G580" s="8" t="s">
        <v>1279</v>
      </c>
      <c r="H580" s="8" t="s">
        <v>1149</v>
      </c>
      <c r="I580" s="8" t="s">
        <v>1338</v>
      </c>
      <c r="J580" s="8" t="s">
        <v>1169</v>
      </c>
      <c r="K580" s="8" t="s">
        <v>1099</v>
      </c>
      <c r="L580" s="10" t="s">
        <v>1186</v>
      </c>
      <c r="M580" s="10" t="s">
        <v>1339</v>
      </c>
      <c r="N580" s="10" t="s">
        <v>1340</v>
      </c>
      <c r="O580" s="8" t="s">
        <v>321</v>
      </c>
      <c r="P580" s="8"/>
      <c r="Q580" s="8"/>
      <c r="R580" s="8">
        <v>44833</v>
      </c>
      <c r="S580" s="8" t="s">
        <v>331</v>
      </c>
      <c r="T580" s="8"/>
      <c r="U580" s="8"/>
      <c r="V580" s="8"/>
      <c r="W580" s="8"/>
      <c r="X580" s="8"/>
      <c r="Y580" s="8"/>
      <c r="Z580" s="10" t="s">
        <v>1738</v>
      </c>
      <c r="AA580" s="8" t="s">
        <v>331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1093</v>
      </c>
      <c r="E581" s="8" t="s">
        <v>123</v>
      </c>
      <c r="F581" s="8" t="s">
        <v>2057</v>
      </c>
      <c r="G581" s="8" t="s">
        <v>1302</v>
      </c>
      <c r="H581" s="8" t="s">
        <v>1303</v>
      </c>
      <c r="I581" s="8" t="s">
        <v>1344</v>
      </c>
      <c r="J581" s="8" t="s">
        <v>1169</v>
      </c>
      <c r="K581" s="8" t="s">
        <v>1099</v>
      </c>
      <c r="L581" s="10" t="s">
        <v>1186</v>
      </c>
      <c r="M581" s="10" t="s">
        <v>1345</v>
      </c>
      <c r="N581" s="10" t="s">
        <v>1346</v>
      </c>
      <c r="O581" s="8" t="s">
        <v>321</v>
      </c>
      <c r="P581" s="8"/>
      <c r="Q581" s="8"/>
      <c r="R581" s="8">
        <v>74509</v>
      </c>
      <c r="S581" s="8" t="s">
        <v>331</v>
      </c>
      <c r="T581" s="8"/>
      <c r="U581" s="8"/>
      <c r="V581" s="8"/>
      <c r="W581" s="8"/>
      <c r="X581" s="8"/>
      <c r="Y581" s="8"/>
      <c r="Z581" s="10" t="s">
        <v>1738</v>
      </c>
      <c r="AA581" s="8" t="s">
        <v>331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1093</v>
      </c>
      <c r="E582" s="8" t="s">
        <v>123</v>
      </c>
      <c r="F582" s="8" t="s">
        <v>2041</v>
      </c>
      <c r="G582" s="8" t="s">
        <v>1273</v>
      </c>
      <c r="H582" s="8" t="s">
        <v>1258</v>
      </c>
      <c r="I582" s="8" t="s">
        <v>1349</v>
      </c>
      <c r="J582" s="8" t="s">
        <v>1193</v>
      </c>
      <c r="K582" s="8" t="s">
        <v>1099</v>
      </c>
      <c r="L582" s="10" t="s">
        <v>1350</v>
      </c>
      <c r="M582" s="10" t="s">
        <v>1351</v>
      </c>
      <c r="N582" s="10" t="s">
        <v>1352</v>
      </c>
      <c r="O582" s="8" t="s">
        <v>321</v>
      </c>
      <c r="P582" s="8"/>
      <c r="Q582" s="8"/>
      <c r="R582" s="8">
        <v>136153</v>
      </c>
      <c r="S582" s="8" t="s">
        <v>331</v>
      </c>
      <c r="T582" s="8"/>
      <c r="U582" s="8"/>
      <c r="V582" s="8"/>
      <c r="W582" s="8"/>
      <c r="X582" s="8"/>
      <c r="Y582" s="8"/>
      <c r="Z582" s="10" t="s">
        <v>1738</v>
      </c>
      <c r="AA582" s="8" t="s">
        <v>331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1093</v>
      </c>
      <c r="E583" s="8" t="s">
        <v>123</v>
      </c>
      <c r="F583" s="8" t="s">
        <v>2065</v>
      </c>
      <c r="G583" s="8" t="s">
        <v>2083</v>
      </c>
      <c r="H583" s="8" t="s">
        <v>1969</v>
      </c>
      <c r="I583" s="8" t="s">
        <v>1349</v>
      </c>
      <c r="J583" s="8" t="s">
        <v>1193</v>
      </c>
      <c r="K583" s="8" t="s">
        <v>1099</v>
      </c>
      <c r="L583" s="10" t="s">
        <v>1350</v>
      </c>
      <c r="M583" s="10" t="s">
        <v>1351</v>
      </c>
      <c r="N583" s="10" t="s">
        <v>1352</v>
      </c>
      <c r="O583" s="8" t="s">
        <v>321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331</v>
      </c>
      <c r="Z583" s="10" t="s">
        <v>2084</v>
      </c>
      <c r="AA583" s="8" t="s">
        <v>331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1093</v>
      </c>
      <c r="E584" s="8" t="s">
        <v>123</v>
      </c>
      <c r="F584" s="8" t="s">
        <v>2085</v>
      </c>
      <c r="G584" s="8" t="s">
        <v>1284</v>
      </c>
      <c r="H584" s="8" t="s">
        <v>1120</v>
      </c>
      <c r="I584" s="8" t="s">
        <v>1349</v>
      </c>
      <c r="J584" s="8" t="s">
        <v>1193</v>
      </c>
      <c r="K584" s="8" t="s">
        <v>1099</v>
      </c>
      <c r="L584" s="10" t="s">
        <v>1350</v>
      </c>
      <c r="M584" s="10" t="s">
        <v>1351</v>
      </c>
      <c r="N584" s="10" t="s">
        <v>1352</v>
      </c>
      <c r="O584" s="8" t="s">
        <v>362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2086</v>
      </c>
      <c r="AA584" s="8" t="s">
        <v>331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1093</v>
      </c>
      <c r="E585" s="8" t="s">
        <v>123</v>
      </c>
      <c r="F585" s="8" t="s">
        <v>2085</v>
      </c>
      <c r="G585" s="8" t="s">
        <v>1120</v>
      </c>
      <c r="H585" s="8" t="s">
        <v>1343</v>
      </c>
      <c r="I585" s="8" t="s">
        <v>1349</v>
      </c>
      <c r="J585" s="8" t="s">
        <v>1193</v>
      </c>
      <c r="K585" s="8" t="s">
        <v>1099</v>
      </c>
      <c r="L585" s="10" t="s">
        <v>1350</v>
      </c>
      <c r="M585" s="10" t="s">
        <v>1351</v>
      </c>
      <c r="N585" s="10" t="s">
        <v>1352</v>
      </c>
      <c r="O585" s="8" t="s">
        <v>321</v>
      </c>
      <c r="P585" s="8"/>
      <c r="Q585" s="8"/>
      <c r="R585" s="8">
        <v>136153</v>
      </c>
      <c r="S585" s="8"/>
      <c r="T585" s="8"/>
      <c r="U585" s="8" t="s">
        <v>331</v>
      </c>
      <c r="V585" s="8"/>
      <c r="W585" s="8"/>
      <c r="X585" s="8"/>
      <c r="Y585" s="8"/>
      <c r="Z585" s="10" t="s">
        <v>1278</v>
      </c>
      <c r="AA585" s="8" t="s">
        <v>331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1093</v>
      </c>
      <c r="E586" s="8" t="s">
        <v>123</v>
      </c>
      <c r="F586" s="8" t="s">
        <v>2041</v>
      </c>
      <c r="G586" s="8" t="s">
        <v>1317</v>
      </c>
      <c r="H586" s="8" t="s">
        <v>1273</v>
      </c>
      <c r="I586" s="8" t="s">
        <v>1356</v>
      </c>
      <c r="J586" s="8" t="s">
        <v>1193</v>
      </c>
      <c r="K586" s="8" t="s">
        <v>1099</v>
      </c>
      <c r="L586" s="10" t="s">
        <v>1350</v>
      </c>
      <c r="M586" s="10" t="s">
        <v>1357</v>
      </c>
      <c r="N586" s="10" t="s">
        <v>1358</v>
      </c>
      <c r="O586" s="8" t="s">
        <v>321</v>
      </c>
      <c r="P586" s="8"/>
      <c r="Q586" s="8"/>
      <c r="R586" s="8">
        <v>120374</v>
      </c>
      <c r="S586" s="8" t="s">
        <v>331</v>
      </c>
      <c r="T586" s="8"/>
      <c r="U586" s="8"/>
      <c r="V586" s="8"/>
      <c r="W586" s="8"/>
      <c r="X586" s="8"/>
      <c r="Y586" s="8"/>
      <c r="Z586" s="10" t="s">
        <v>1738</v>
      </c>
      <c r="AA586" s="8" t="s">
        <v>331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1093</v>
      </c>
      <c r="E587" s="8" t="s">
        <v>123</v>
      </c>
      <c r="F587" s="8" t="s">
        <v>2085</v>
      </c>
      <c r="G587" s="8" t="s">
        <v>1343</v>
      </c>
      <c r="H587" s="8" t="s">
        <v>1302</v>
      </c>
      <c r="I587" s="8" t="s">
        <v>1356</v>
      </c>
      <c r="J587" s="8" t="s">
        <v>1193</v>
      </c>
      <c r="K587" s="8" t="s">
        <v>1099</v>
      </c>
      <c r="L587" s="10" t="s">
        <v>1350</v>
      </c>
      <c r="M587" s="10" t="s">
        <v>1357</v>
      </c>
      <c r="N587" s="10" t="s">
        <v>1358</v>
      </c>
      <c r="O587" s="8" t="s">
        <v>321</v>
      </c>
      <c r="P587" s="8"/>
      <c r="Q587" s="8"/>
      <c r="R587" s="8">
        <v>120374</v>
      </c>
      <c r="S587" s="8"/>
      <c r="T587" s="8"/>
      <c r="U587" s="8" t="s">
        <v>331</v>
      </c>
      <c r="V587" s="8"/>
      <c r="W587" s="8"/>
      <c r="X587" s="8"/>
      <c r="Y587" s="8"/>
      <c r="Z587" s="10" t="s">
        <v>1278</v>
      </c>
      <c r="AA587" s="8" t="s">
        <v>331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1093</v>
      </c>
      <c r="E588" s="8" t="s">
        <v>123</v>
      </c>
      <c r="F588" s="8" t="s">
        <v>2071</v>
      </c>
      <c r="G588" s="8" t="s">
        <v>1196</v>
      </c>
      <c r="H588" s="8" t="s">
        <v>1279</v>
      </c>
      <c r="I588" s="8" t="s">
        <v>1363</v>
      </c>
      <c r="J588" s="8" t="s">
        <v>1193</v>
      </c>
      <c r="K588" s="8" t="s">
        <v>1099</v>
      </c>
      <c r="L588" s="10" t="s">
        <v>1364</v>
      </c>
      <c r="M588" s="10" t="s">
        <v>1365</v>
      </c>
      <c r="N588" s="10"/>
      <c r="O588" s="8" t="s">
        <v>321</v>
      </c>
      <c r="P588" s="8"/>
      <c r="Q588" s="8"/>
      <c r="R588" s="8">
        <v>42000</v>
      </c>
      <c r="S588" s="8" t="s">
        <v>331</v>
      </c>
      <c r="T588" s="8"/>
      <c r="U588" s="8"/>
      <c r="V588" s="8"/>
      <c r="W588" s="8"/>
      <c r="X588" s="8"/>
      <c r="Y588" s="8"/>
      <c r="Z588" s="10" t="s">
        <v>1738</v>
      </c>
      <c r="AA588" s="8" t="s">
        <v>331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1093</v>
      </c>
      <c r="E589" s="8" t="s">
        <v>123</v>
      </c>
      <c r="F589" s="8" t="s">
        <v>2087</v>
      </c>
      <c r="G589" s="8" t="s">
        <v>1166</v>
      </c>
      <c r="H589" s="8" t="s">
        <v>1120</v>
      </c>
      <c r="I589" s="8" t="s">
        <v>1377</v>
      </c>
      <c r="J589" s="8" t="s">
        <v>1193</v>
      </c>
      <c r="K589" s="8" t="s">
        <v>1099</v>
      </c>
      <c r="L589" s="10" t="s">
        <v>1378</v>
      </c>
      <c r="M589" s="10" t="s">
        <v>1379</v>
      </c>
      <c r="N589" s="10" t="s">
        <v>1380</v>
      </c>
      <c r="O589" s="8" t="s">
        <v>321</v>
      </c>
      <c r="P589" s="8"/>
      <c r="Q589" s="8"/>
      <c r="R589" s="8">
        <v>205776</v>
      </c>
      <c r="S589" s="8"/>
      <c r="T589" s="8"/>
      <c r="U589" s="8" t="s">
        <v>331</v>
      </c>
      <c r="V589" s="8"/>
      <c r="W589" s="8"/>
      <c r="X589" s="8"/>
      <c r="Y589" s="8"/>
      <c r="Z589" s="10" t="s">
        <v>1278</v>
      </c>
      <c r="AA589" s="8" t="s">
        <v>331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1093</v>
      </c>
      <c r="E590" s="8" t="s">
        <v>123</v>
      </c>
      <c r="F590" s="8" t="s">
        <v>2042</v>
      </c>
      <c r="G590" s="8" t="s">
        <v>1266</v>
      </c>
      <c r="H590" s="8" t="s">
        <v>1196</v>
      </c>
      <c r="I590" s="8" t="s">
        <v>1377</v>
      </c>
      <c r="J590" s="8" t="s">
        <v>1193</v>
      </c>
      <c r="K590" s="8" t="s">
        <v>1099</v>
      </c>
      <c r="L590" s="10" t="s">
        <v>1378</v>
      </c>
      <c r="M590" s="10" t="s">
        <v>1379</v>
      </c>
      <c r="N590" s="10" t="s">
        <v>1380</v>
      </c>
      <c r="O590" s="8" t="s">
        <v>362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1278</v>
      </c>
      <c r="AA590" s="8" t="s">
        <v>331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1093</v>
      </c>
      <c r="E591" s="8" t="s">
        <v>123</v>
      </c>
      <c r="F591" s="8" t="s">
        <v>1094</v>
      </c>
      <c r="G591" s="8" t="s">
        <v>1196</v>
      </c>
      <c r="H591" s="8" t="s">
        <v>1682</v>
      </c>
      <c r="I591" s="8" t="s">
        <v>1377</v>
      </c>
      <c r="J591" s="8" t="s">
        <v>1193</v>
      </c>
      <c r="K591" s="8" t="s">
        <v>1099</v>
      </c>
      <c r="L591" s="10" t="s">
        <v>1378</v>
      </c>
      <c r="M591" s="10" t="s">
        <v>1379</v>
      </c>
      <c r="N591" s="10" t="s">
        <v>1380</v>
      </c>
      <c r="O591" s="8" t="s">
        <v>362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2081</v>
      </c>
      <c r="AA591" s="8" t="s">
        <v>331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1093</v>
      </c>
      <c r="E592" s="8" t="s">
        <v>123</v>
      </c>
      <c r="F592" s="8" t="s">
        <v>2067</v>
      </c>
      <c r="G592" s="8" t="s">
        <v>1302</v>
      </c>
      <c r="H592" s="8" t="s">
        <v>1303</v>
      </c>
      <c r="I592" s="8" t="s">
        <v>1377</v>
      </c>
      <c r="J592" s="8" t="s">
        <v>1193</v>
      </c>
      <c r="K592" s="8" t="s">
        <v>1099</v>
      </c>
      <c r="L592" s="10" t="s">
        <v>1378</v>
      </c>
      <c r="M592" s="10" t="s">
        <v>1379</v>
      </c>
      <c r="N592" s="10" t="s">
        <v>1380</v>
      </c>
      <c r="O592" s="8" t="s">
        <v>321</v>
      </c>
      <c r="P592" s="8"/>
      <c r="Q592" s="8"/>
      <c r="R592" s="8">
        <v>205776</v>
      </c>
      <c r="S592" s="8"/>
      <c r="T592" s="8"/>
      <c r="U592" s="8" t="s">
        <v>331</v>
      </c>
      <c r="V592" s="8"/>
      <c r="W592" s="8"/>
      <c r="X592" s="8"/>
      <c r="Y592" s="8"/>
      <c r="Z592" s="10" t="s">
        <v>1278</v>
      </c>
      <c r="AA592" s="8" t="s">
        <v>331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1093</v>
      </c>
      <c r="E593" s="8" t="s">
        <v>123</v>
      </c>
      <c r="F593" s="8" t="s">
        <v>2067</v>
      </c>
      <c r="G593" s="8" t="s">
        <v>1303</v>
      </c>
      <c r="H593" s="8" t="s">
        <v>1342</v>
      </c>
      <c r="I593" s="8" t="s">
        <v>1630</v>
      </c>
      <c r="J593" s="8" t="s">
        <v>1193</v>
      </c>
      <c r="K593" s="8" t="s">
        <v>1099</v>
      </c>
      <c r="L593" s="10" t="s">
        <v>1378</v>
      </c>
      <c r="M593" s="10" t="s">
        <v>1631</v>
      </c>
      <c r="N593" s="10" t="s">
        <v>1632</v>
      </c>
      <c r="O593" s="8" t="s">
        <v>321</v>
      </c>
      <c r="P593" s="8"/>
      <c r="Q593" s="8"/>
      <c r="R593" s="8">
        <v>166923</v>
      </c>
      <c r="S593" s="8"/>
      <c r="T593" s="8"/>
      <c r="U593" s="8" t="s">
        <v>331</v>
      </c>
      <c r="V593" s="8"/>
      <c r="W593" s="8"/>
      <c r="X593" s="8"/>
      <c r="Y593" s="8"/>
      <c r="Z593" s="10" t="s">
        <v>1278</v>
      </c>
      <c r="AA593" s="8" t="s">
        <v>331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1093</v>
      </c>
      <c r="E594" s="8" t="s">
        <v>123</v>
      </c>
      <c r="F594" s="8" t="s">
        <v>2057</v>
      </c>
      <c r="G594" s="8" t="s">
        <v>1196</v>
      </c>
      <c r="H594" s="8" t="s">
        <v>1279</v>
      </c>
      <c r="I594" s="8" t="s">
        <v>2088</v>
      </c>
      <c r="J594" s="8" t="s">
        <v>1193</v>
      </c>
      <c r="K594" s="8" t="s">
        <v>1099</v>
      </c>
      <c r="L594" s="10" t="s">
        <v>1186</v>
      </c>
      <c r="M594" s="10" t="s">
        <v>1412</v>
      </c>
      <c r="N594" s="10" t="s">
        <v>1413</v>
      </c>
      <c r="O594" s="8" t="s">
        <v>321</v>
      </c>
      <c r="P594" s="8"/>
      <c r="Q594" s="8"/>
      <c r="R594" s="8">
        <v>591</v>
      </c>
      <c r="S594" s="8" t="s">
        <v>331</v>
      </c>
      <c r="T594" s="8"/>
      <c r="U594" s="8"/>
      <c r="V594" s="8"/>
      <c r="W594" s="8"/>
      <c r="X594" s="8"/>
      <c r="Y594" s="8"/>
      <c r="Z594" s="10" t="s">
        <v>1738</v>
      </c>
      <c r="AA594" s="8" t="s">
        <v>331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1093</v>
      </c>
      <c r="E595" s="8" t="s">
        <v>123</v>
      </c>
      <c r="F595" s="8" t="s">
        <v>2055</v>
      </c>
      <c r="G595" s="8" t="s">
        <v>1343</v>
      </c>
      <c r="H595" s="8" t="s">
        <v>1302</v>
      </c>
      <c r="I595" s="8" t="s">
        <v>1386</v>
      </c>
      <c r="J595" s="8" t="s">
        <v>1387</v>
      </c>
      <c r="K595" s="8" t="s">
        <v>1099</v>
      </c>
      <c r="L595" s="10" t="s">
        <v>1388</v>
      </c>
      <c r="M595" s="10" t="s">
        <v>1326</v>
      </c>
      <c r="N595" s="10" t="s">
        <v>1358</v>
      </c>
      <c r="O595" s="8" t="s">
        <v>321</v>
      </c>
      <c r="P595" s="8"/>
      <c r="Q595" s="8"/>
      <c r="R595" s="8">
        <v>73008</v>
      </c>
      <c r="S595" s="8" t="s">
        <v>331</v>
      </c>
      <c r="T595" s="8"/>
      <c r="U595" s="8"/>
      <c r="V595" s="8"/>
      <c r="W595" s="8"/>
      <c r="X595" s="8"/>
      <c r="Y595" s="8"/>
      <c r="Z595" s="10" t="s">
        <v>1738</v>
      </c>
      <c r="AA595" s="8" t="s">
        <v>331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1093</v>
      </c>
      <c r="E596" s="8" t="s">
        <v>123</v>
      </c>
      <c r="F596" s="8" t="s">
        <v>2065</v>
      </c>
      <c r="G596" s="8" t="s">
        <v>1266</v>
      </c>
      <c r="H596" s="8" t="s">
        <v>1196</v>
      </c>
      <c r="I596" s="8" t="s">
        <v>1398</v>
      </c>
      <c r="J596" s="8" t="s">
        <v>1204</v>
      </c>
      <c r="K596" s="8" t="s">
        <v>1099</v>
      </c>
      <c r="L596" s="10" t="s">
        <v>1399</v>
      </c>
      <c r="M596" s="10" t="s">
        <v>1400</v>
      </c>
      <c r="N596" s="10" t="s">
        <v>1401</v>
      </c>
      <c r="O596" s="8" t="s">
        <v>321</v>
      </c>
      <c r="P596" s="8">
        <v>1572</v>
      </c>
      <c r="Q596" s="8">
        <v>4203</v>
      </c>
      <c r="R596" s="8">
        <v>28651</v>
      </c>
      <c r="S596" s="8" t="s">
        <v>331</v>
      </c>
      <c r="T596" s="8"/>
      <c r="U596" s="8"/>
      <c r="V596" s="8"/>
      <c r="W596" s="8"/>
      <c r="X596" s="8"/>
      <c r="Y596" s="8"/>
      <c r="Z596" s="10" t="s">
        <v>1738</v>
      </c>
      <c r="AA596" s="8" t="s">
        <v>331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1093</v>
      </c>
      <c r="E597" s="8" t="s">
        <v>123</v>
      </c>
      <c r="F597" s="8" t="s">
        <v>2067</v>
      </c>
      <c r="G597" s="8" t="s">
        <v>1279</v>
      </c>
      <c r="H597" s="8" t="s">
        <v>1472</v>
      </c>
      <c r="I597" s="8" t="s">
        <v>1418</v>
      </c>
      <c r="J597" s="8" t="s">
        <v>1214</v>
      </c>
      <c r="K597" s="8" t="s">
        <v>1099</v>
      </c>
      <c r="L597" s="10" t="s">
        <v>1419</v>
      </c>
      <c r="M597" s="10" t="s">
        <v>1420</v>
      </c>
      <c r="N597" s="10" t="s">
        <v>216</v>
      </c>
      <c r="O597" s="8" t="s">
        <v>362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2089</v>
      </c>
      <c r="AA597" s="8" t="s">
        <v>331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1093</v>
      </c>
      <c r="E598" s="8" t="s">
        <v>123</v>
      </c>
      <c r="F598" s="8" t="s">
        <v>2087</v>
      </c>
      <c r="G598" s="8" t="s">
        <v>1284</v>
      </c>
      <c r="H598" s="8" t="s">
        <v>1166</v>
      </c>
      <c r="I598" s="8" t="s">
        <v>1422</v>
      </c>
      <c r="J598" s="8" t="s">
        <v>1214</v>
      </c>
      <c r="K598" s="8" t="s">
        <v>1099</v>
      </c>
      <c r="L598" s="10" t="s">
        <v>1378</v>
      </c>
      <c r="M598" s="10" t="s">
        <v>1423</v>
      </c>
      <c r="N598" s="10" t="s">
        <v>1424</v>
      </c>
      <c r="O598" s="8" t="s">
        <v>321</v>
      </c>
      <c r="P598" s="8"/>
      <c r="Q598" s="8"/>
      <c r="R598" s="8">
        <v>115112</v>
      </c>
      <c r="S598" s="8"/>
      <c r="T598" s="8"/>
      <c r="U598" s="8" t="s">
        <v>331</v>
      </c>
      <c r="V598" s="8"/>
      <c r="W598" s="8"/>
      <c r="X598" s="8"/>
      <c r="Y598" s="8"/>
      <c r="Z598" s="10" t="s">
        <v>1278</v>
      </c>
      <c r="AA598" s="8" t="s">
        <v>331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1093</v>
      </c>
      <c r="E599" s="8" t="s">
        <v>123</v>
      </c>
      <c r="F599" s="8" t="s">
        <v>2078</v>
      </c>
      <c r="G599" s="8" t="s">
        <v>1317</v>
      </c>
      <c r="H599" s="8" t="s">
        <v>1494</v>
      </c>
      <c r="I599" s="8" t="s">
        <v>1426</v>
      </c>
      <c r="J599" s="8" t="s">
        <v>1214</v>
      </c>
      <c r="K599" s="8" t="s">
        <v>1099</v>
      </c>
      <c r="L599" s="10" t="s">
        <v>1314</v>
      </c>
      <c r="M599" s="10" t="s">
        <v>1427</v>
      </c>
      <c r="N599" s="10" t="s">
        <v>1428</v>
      </c>
      <c r="O599" s="8" t="s">
        <v>321</v>
      </c>
      <c r="P599" s="8"/>
      <c r="Q599" s="8"/>
      <c r="R599" s="8">
        <v>11127</v>
      </c>
      <c r="S599" s="8" t="s">
        <v>331</v>
      </c>
      <c r="T599" s="8"/>
      <c r="U599" s="8"/>
      <c r="V599" s="8"/>
      <c r="W599" s="8"/>
      <c r="X599" s="8"/>
      <c r="Y599" s="8"/>
      <c r="Z599" s="10" t="s">
        <v>1738</v>
      </c>
      <c r="AA599" s="8" t="s">
        <v>331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1093</v>
      </c>
      <c r="E600" s="8" t="s">
        <v>123</v>
      </c>
      <c r="F600" s="8" t="s">
        <v>2078</v>
      </c>
      <c r="G600" s="8" t="s">
        <v>2053</v>
      </c>
      <c r="H600" s="8" t="s">
        <v>1899</v>
      </c>
      <c r="I600" s="8" t="s">
        <v>1429</v>
      </c>
      <c r="J600" s="8" t="s">
        <v>1214</v>
      </c>
      <c r="K600" s="8" t="s">
        <v>1099</v>
      </c>
      <c r="L600" s="10" t="s">
        <v>1314</v>
      </c>
      <c r="M600" s="10" t="s">
        <v>1430</v>
      </c>
      <c r="N600" s="10" t="s">
        <v>1295</v>
      </c>
      <c r="O600" s="8" t="s">
        <v>321</v>
      </c>
      <c r="P600" s="8"/>
      <c r="Q600" s="8"/>
      <c r="R600" s="8">
        <v>142003</v>
      </c>
      <c r="S600" s="8" t="s">
        <v>331</v>
      </c>
      <c r="T600" s="8"/>
      <c r="U600" s="8"/>
      <c r="V600" s="8"/>
      <c r="W600" s="8"/>
      <c r="X600" s="8"/>
      <c r="Y600" s="8"/>
      <c r="Z600" s="10" t="s">
        <v>1738</v>
      </c>
      <c r="AA600" s="8" t="s">
        <v>331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1093</v>
      </c>
      <c r="E601" s="8" t="s">
        <v>123</v>
      </c>
      <c r="F601" s="8" t="s">
        <v>2041</v>
      </c>
      <c r="G601" s="8" t="s">
        <v>1343</v>
      </c>
      <c r="H601" s="8" t="s">
        <v>2090</v>
      </c>
      <c r="I601" s="8" t="s">
        <v>1429</v>
      </c>
      <c r="J601" s="8" t="s">
        <v>1214</v>
      </c>
      <c r="K601" s="8" t="s">
        <v>1099</v>
      </c>
      <c r="L601" s="10" t="s">
        <v>1314</v>
      </c>
      <c r="M601" s="10" t="s">
        <v>1430</v>
      </c>
      <c r="N601" s="10" t="s">
        <v>1295</v>
      </c>
      <c r="O601" s="8" t="s">
        <v>362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2091</v>
      </c>
      <c r="AA601" s="8" t="s">
        <v>331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1093</v>
      </c>
      <c r="E602" s="8" t="s">
        <v>123</v>
      </c>
      <c r="F602" s="8" t="s">
        <v>2078</v>
      </c>
      <c r="G602" s="8" t="s">
        <v>1149</v>
      </c>
      <c r="H602" s="8" t="s">
        <v>2030</v>
      </c>
      <c r="I602" s="8" t="s">
        <v>1434</v>
      </c>
      <c r="J602" s="8" t="s">
        <v>1214</v>
      </c>
      <c r="K602" s="8" t="s">
        <v>1099</v>
      </c>
      <c r="L602" s="10" t="s">
        <v>1314</v>
      </c>
      <c r="M602" s="10" t="s">
        <v>1435</v>
      </c>
      <c r="N602" s="10" t="s">
        <v>1436</v>
      </c>
      <c r="O602" s="8" t="s">
        <v>321</v>
      </c>
      <c r="P602" s="8"/>
      <c r="Q602" s="8"/>
      <c r="R602" s="8">
        <v>242354</v>
      </c>
      <c r="S602" s="8" t="s">
        <v>331</v>
      </c>
      <c r="T602" s="8"/>
      <c r="U602" s="8"/>
      <c r="V602" s="8"/>
      <c r="W602" s="8"/>
      <c r="X602" s="8"/>
      <c r="Y602" s="8"/>
      <c r="Z602" s="10" t="s">
        <v>1738</v>
      </c>
      <c r="AA602" s="8" t="s">
        <v>331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1093</v>
      </c>
      <c r="E603" s="8" t="s">
        <v>123</v>
      </c>
      <c r="F603" s="8" t="s">
        <v>2039</v>
      </c>
      <c r="G603" s="8" t="s">
        <v>2092</v>
      </c>
      <c r="H603" s="8" t="s">
        <v>2093</v>
      </c>
      <c r="I603" s="8" t="s">
        <v>1434</v>
      </c>
      <c r="J603" s="8" t="s">
        <v>1214</v>
      </c>
      <c r="K603" s="8" t="s">
        <v>1099</v>
      </c>
      <c r="L603" s="10" t="s">
        <v>1314</v>
      </c>
      <c r="M603" s="10" t="s">
        <v>1435</v>
      </c>
      <c r="N603" s="10" t="s">
        <v>1436</v>
      </c>
      <c r="O603" s="8" t="s">
        <v>321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331</v>
      </c>
      <c r="Z603" s="10" t="s">
        <v>2004</v>
      </c>
      <c r="AA603" s="8" t="s">
        <v>331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1093</v>
      </c>
      <c r="E604" s="8" t="s">
        <v>123</v>
      </c>
      <c r="F604" s="8" t="s">
        <v>2034</v>
      </c>
      <c r="G604" s="8" t="s">
        <v>1196</v>
      </c>
      <c r="H604" s="8" t="s">
        <v>1279</v>
      </c>
      <c r="I604" s="8" t="s">
        <v>1434</v>
      </c>
      <c r="J604" s="8" t="s">
        <v>1214</v>
      </c>
      <c r="K604" s="8" t="s">
        <v>1099</v>
      </c>
      <c r="L604" s="10" t="s">
        <v>1314</v>
      </c>
      <c r="M604" s="10" t="s">
        <v>1435</v>
      </c>
      <c r="N604" s="10" t="s">
        <v>1436</v>
      </c>
      <c r="O604" s="8" t="s">
        <v>362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2094</v>
      </c>
      <c r="AA604" s="8" t="s">
        <v>331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1093</v>
      </c>
      <c r="E605" s="8" t="s">
        <v>123</v>
      </c>
      <c r="F605" s="8" t="s">
        <v>2078</v>
      </c>
      <c r="G605" s="8" t="s">
        <v>1555</v>
      </c>
      <c r="H605" s="8" t="s">
        <v>1317</v>
      </c>
      <c r="I605" s="8" t="s">
        <v>1437</v>
      </c>
      <c r="J605" s="8" t="s">
        <v>1214</v>
      </c>
      <c r="K605" s="8" t="s">
        <v>1099</v>
      </c>
      <c r="L605" s="10" t="s">
        <v>1314</v>
      </c>
      <c r="M605" s="10" t="s">
        <v>1438</v>
      </c>
      <c r="N605" s="10" t="s">
        <v>1439</v>
      </c>
      <c r="O605" s="8" t="s">
        <v>321</v>
      </c>
      <c r="P605" s="8"/>
      <c r="Q605" s="8"/>
      <c r="R605" s="8">
        <v>118487</v>
      </c>
      <c r="S605" s="8" t="s">
        <v>331</v>
      </c>
      <c r="T605" s="8"/>
      <c r="U605" s="8"/>
      <c r="V605" s="8"/>
      <c r="W605" s="8"/>
      <c r="X605" s="8"/>
      <c r="Y605" s="8"/>
      <c r="Z605" s="10" t="s">
        <v>1738</v>
      </c>
      <c r="AA605" s="8" t="s">
        <v>331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1093</v>
      </c>
      <c r="E606" s="8" t="s">
        <v>123</v>
      </c>
      <c r="F606" s="8" t="s">
        <v>2028</v>
      </c>
      <c r="G606" s="8" t="s">
        <v>1120</v>
      </c>
      <c r="H606" s="8" t="s">
        <v>1302</v>
      </c>
      <c r="I606" s="8" t="s">
        <v>1446</v>
      </c>
      <c r="J606" s="8" t="s">
        <v>1214</v>
      </c>
      <c r="K606" s="8" t="s">
        <v>1099</v>
      </c>
      <c r="L606" s="10" t="s">
        <v>1378</v>
      </c>
      <c r="M606" s="10" t="s">
        <v>1447</v>
      </c>
      <c r="N606" s="10" t="s">
        <v>1448</v>
      </c>
      <c r="O606" s="8" t="s">
        <v>362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2095</v>
      </c>
      <c r="AA606" s="8" t="s">
        <v>331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1093</v>
      </c>
      <c r="E607" s="8" t="s">
        <v>123</v>
      </c>
      <c r="F607" s="8" t="s">
        <v>2071</v>
      </c>
      <c r="G607" s="8" t="s">
        <v>1149</v>
      </c>
      <c r="H607" s="8" t="s">
        <v>1132</v>
      </c>
      <c r="I607" s="8" t="s">
        <v>1446</v>
      </c>
      <c r="J607" s="8" t="s">
        <v>1214</v>
      </c>
      <c r="K607" s="8" t="s">
        <v>1099</v>
      </c>
      <c r="L607" s="10" t="s">
        <v>1378</v>
      </c>
      <c r="M607" s="10" t="s">
        <v>1447</v>
      </c>
      <c r="N607" s="10" t="s">
        <v>1448</v>
      </c>
      <c r="O607" s="8" t="s">
        <v>321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331</v>
      </c>
      <c r="Z607" s="10" t="s">
        <v>1747</v>
      </c>
      <c r="AA607" s="8" t="s">
        <v>331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1093</v>
      </c>
      <c r="E608" s="8" t="s">
        <v>123</v>
      </c>
      <c r="F608" s="8" t="s">
        <v>2078</v>
      </c>
      <c r="G608" s="8" t="s">
        <v>1899</v>
      </c>
      <c r="H608" s="8" t="s">
        <v>1149</v>
      </c>
      <c r="I608" s="8" t="s">
        <v>1450</v>
      </c>
      <c r="J608" s="8" t="s">
        <v>1214</v>
      </c>
      <c r="K608" s="8" t="s">
        <v>1099</v>
      </c>
      <c r="L608" s="10" t="s">
        <v>1314</v>
      </c>
      <c r="M608" s="10" t="s">
        <v>1451</v>
      </c>
      <c r="N608" s="10" t="s">
        <v>1410</v>
      </c>
      <c r="O608" s="8" t="s">
        <v>321</v>
      </c>
      <c r="P608" s="8"/>
      <c r="Q608" s="8"/>
      <c r="R608" s="8">
        <v>188445</v>
      </c>
      <c r="S608" s="8" t="s">
        <v>331</v>
      </c>
      <c r="T608" s="8"/>
      <c r="U608" s="8"/>
      <c r="V608" s="8"/>
      <c r="W608" s="8"/>
      <c r="X608" s="8"/>
      <c r="Y608" s="8"/>
      <c r="Z608" s="10" t="s">
        <v>1738</v>
      </c>
      <c r="AA608" s="8" t="s">
        <v>331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1093</v>
      </c>
      <c r="E609" s="8" t="s">
        <v>123</v>
      </c>
      <c r="F609" s="8" t="s">
        <v>2042</v>
      </c>
      <c r="G609" s="8" t="s">
        <v>2096</v>
      </c>
      <c r="H609" s="8" t="s">
        <v>2097</v>
      </c>
      <c r="I609" s="8" t="s">
        <v>1450</v>
      </c>
      <c r="J609" s="8" t="s">
        <v>1214</v>
      </c>
      <c r="K609" s="8" t="s">
        <v>1099</v>
      </c>
      <c r="L609" s="10" t="s">
        <v>1314</v>
      </c>
      <c r="M609" s="10" t="s">
        <v>1451</v>
      </c>
      <c r="N609" s="10" t="s">
        <v>1410</v>
      </c>
      <c r="O609" s="8" t="s">
        <v>321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331</v>
      </c>
      <c r="Z609" s="10" t="s">
        <v>2098</v>
      </c>
      <c r="AA609" s="8" t="s">
        <v>331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1093</v>
      </c>
      <c r="E610" s="8" t="s">
        <v>123</v>
      </c>
      <c r="F610" s="8" t="s">
        <v>2057</v>
      </c>
      <c r="G610" s="8" t="s">
        <v>1303</v>
      </c>
      <c r="H610" s="8" t="s">
        <v>1342</v>
      </c>
      <c r="I610" s="8" t="s">
        <v>1452</v>
      </c>
      <c r="J610" s="8" t="s">
        <v>1214</v>
      </c>
      <c r="K610" s="8" t="s">
        <v>1099</v>
      </c>
      <c r="L610" s="10" t="s">
        <v>1453</v>
      </c>
      <c r="M610" s="10" t="s">
        <v>1454</v>
      </c>
      <c r="N610" s="10"/>
      <c r="O610" s="8" t="s">
        <v>321</v>
      </c>
      <c r="P610" s="8"/>
      <c r="Q610" s="8"/>
      <c r="R610" s="8">
        <v>124635</v>
      </c>
      <c r="S610" s="8" t="s">
        <v>331</v>
      </c>
      <c r="T610" s="8"/>
      <c r="U610" s="8"/>
      <c r="V610" s="8"/>
      <c r="W610" s="8"/>
      <c r="X610" s="8"/>
      <c r="Y610" s="8"/>
      <c r="Z610" s="10" t="s">
        <v>1738</v>
      </c>
      <c r="AA610" s="8" t="s">
        <v>331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1093</v>
      </c>
      <c r="E611" s="8" t="s">
        <v>123</v>
      </c>
      <c r="F611" s="8" t="s">
        <v>2057</v>
      </c>
      <c r="G611" s="8" t="s">
        <v>1149</v>
      </c>
      <c r="H611" s="8" t="s">
        <v>1555</v>
      </c>
      <c r="I611" s="8" t="s">
        <v>1455</v>
      </c>
      <c r="J611" s="8" t="s">
        <v>1214</v>
      </c>
      <c r="K611" s="8" t="s">
        <v>1099</v>
      </c>
      <c r="L611" s="10" t="s">
        <v>1456</v>
      </c>
      <c r="M611" s="10" t="s">
        <v>1457</v>
      </c>
      <c r="N611" s="10"/>
      <c r="O611" s="8" t="s">
        <v>362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2099</v>
      </c>
      <c r="AA611" s="8" t="s">
        <v>331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1093</v>
      </c>
      <c r="E612" s="8" t="s">
        <v>123</v>
      </c>
      <c r="F612" s="8" t="s">
        <v>2065</v>
      </c>
      <c r="G612" s="8" t="s">
        <v>1196</v>
      </c>
      <c r="H612" s="8" t="s">
        <v>1279</v>
      </c>
      <c r="I612" s="8" t="s">
        <v>1455</v>
      </c>
      <c r="J612" s="8" t="s">
        <v>1214</v>
      </c>
      <c r="K612" s="8" t="s">
        <v>1099</v>
      </c>
      <c r="L612" s="10" t="s">
        <v>1456</v>
      </c>
      <c r="M612" s="10" t="s">
        <v>1457</v>
      </c>
      <c r="N612" s="10"/>
      <c r="O612" s="8" t="s">
        <v>321</v>
      </c>
      <c r="P612" s="8"/>
      <c r="Q612" s="8"/>
      <c r="R612" s="8">
        <v>74451</v>
      </c>
      <c r="S612" s="8" t="s">
        <v>331</v>
      </c>
      <c r="T612" s="8"/>
      <c r="U612" s="8"/>
      <c r="V612" s="8"/>
      <c r="W612" s="8"/>
      <c r="X612" s="8"/>
      <c r="Y612" s="8"/>
      <c r="Z612" s="10" t="s">
        <v>1738</v>
      </c>
      <c r="AA612" s="8" t="s">
        <v>331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1093</v>
      </c>
      <c r="E613" s="8" t="s">
        <v>123</v>
      </c>
      <c r="F613" s="8" t="s">
        <v>2062</v>
      </c>
      <c r="G613" s="8" t="s">
        <v>1196</v>
      </c>
      <c r="H613" s="8" t="s">
        <v>1279</v>
      </c>
      <c r="I613" s="8" t="s">
        <v>1895</v>
      </c>
      <c r="J613" s="8" t="s">
        <v>1217</v>
      </c>
      <c r="K613" s="8" t="s">
        <v>1099</v>
      </c>
      <c r="L613" s="10" t="s">
        <v>1896</v>
      </c>
      <c r="M613" s="10" t="s">
        <v>1897</v>
      </c>
      <c r="N613" s="10" t="s">
        <v>1413</v>
      </c>
      <c r="O613" s="8" t="s">
        <v>1106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1738</v>
      </c>
      <c r="AA613" s="8" t="s">
        <v>331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1093</v>
      </c>
      <c r="E614" s="8" t="s">
        <v>123</v>
      </c>
      <c r="F614" s="8" t="s">
        <v>2100</v>
      </c>
      <c r="G614" s="8" t="s">
        <v>1279</v>
      </c>
      <c r="H614" s="8" t="s">
        <v>1149</v>
      </c>
      <c r="I614" s="8" t="s">
        <v>2010</v>
      </c>
      <c r="J614" s="8" t="s">
        <v>1459</v>
      </c>
      <c r="K614" s="8" t="s">
        <v>1099</v>
      </c>
      <c r="L614" s="10" t="s">
        <v>2011</v>
      </c>
      <c r="M614" s="10" t="s">
        <v>2012</v>
      </c>
      <c r="N614" s="10" t="s">
        <v>1340</v>
      </c>
      <c r="O614" s="8" t="s">
        <v>321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331</v>
      </c>
      <c r="Z614" s="10" t="s">
        <v>2101</v>
      </c>
      <c r="AA614" s="8" t="s">
        <v>331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1093</v>
      </c>
      <c r="E615" s="8" t="s">
        <v>123</v>
      </c>
      <c r="F615" s="8" t="s">
        <v>2070</v>
      </c>
      <c r="G615" s="8" t="s">
        <v>1342</v>
      </c>
      <c r="H615" s="8" t="s">
        <v>2102</v>
      </c>
      <c r="I615" s="8" t="s">
        <v>1663</v>
      </c>
      <c r="J615" s="8" t="s">
        <v>1459</v>
      </c>
      <c r="K615" s="8" t="s">
        <v>1099</v>
      </c>
      <c r="L615" s="10" t="s">
        <v>1170</v>
      </c>
      <c r="M615" s="10" t="s">
        <v>1463</v>
      </c>
      <c r="N615" s="10" t="s">
        <v>1664</v>
      </c>
      <c r="O615" s="8" t="s">
        <v>362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2103</v>
      </c>
      <c r="AA615" s="8" t="s">
        <v>331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1093</v>
      </c>
      <c r="E616" s="8" t="s">
        <v>123</v>
      </c>
      <c r="F616" s="8" t="s">
        <v>2055</v>
      </c>
      <c r="G616" s="8" t="s">
        <v>1317</v>
      </c>
      <c r="H616" s="8" t="s">
        <v>1556</v>
      </c>
      <c r="I616" s="8" t="s">
        <v>1663</v>
      </c>
      <c r="J616" s="8" t="s">
        <v>1459</v>
      </c>
      <c r="K616" s="8" t="s">
        <v>1099</v>
      </c>
      <c r="L616" s="10" t="s">
        <v>1170</v>
      </c>
      <c r="M616" s="10" t="s">
        <v>1463</v>
      </c>
      <c r="N616" s="10" t="s">
        <v>1664</v>
      </c>
      <c r="O616" s="8" t="s">
        <v>362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2104</v>
      </c>
      <c r="AA616" s="8" t="s">
        <v>331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1093</v>
      </c>
      <c r="E617" s="8" t="s">
        <v>123</v>
      </c>
      <c r="F617" s="8" t="s">
        <v>2037</v>
      </c>
      <c r="G617" s="8" t="s">
        <v>1279</v>
      </c>
      <c r="H617" s="8" t="s">
        <v>1149</v>
      </c>
      <c r="I617" s="8" t="s">
        <v>1484</v>
      </c>
      <c r="J617" s="8" t="s">
        <v>1479</v>
      </c>
      <c r="K617" s="8" t="s">
        <v>1099</v>
      </c>
      <c r="L617" s="10" t="s">
        <v>1170</v>
      </c>
      <c r="M617" s="10" t="s">
        <v>1463</v>
      </c>
      <c r="N617" s="10" t="s">
        <v>1485</v>
      </c>
      <c r="O617" s="8" t="s">
        <v>321</v>
      </c>
      <c r="P617" s="8"/>
      <c r="Q617" s="8"/>
      <c r="R617" s="8">
        <v>67410</v>
      </c>
      <c r="S617" s="8"/>
      <c r="T617" s="8"/>
      <c r="U617" s="8" t="s">
        <v>331</v>
      </c>
      <c r="V617" s="8"/>
      <c r="W617" s="8"/>
      <c r="X617" s="8"/>
      <c r="Y617" s="8"/>
      <c r="Z617" s="10" t="s">
        <v>1278</v>
      </c>
      <c r="AA617" s="8" t="s">
        <v>331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1093</v>
      </c>
      <c r="E618" s="8" t="s">
        <v>123</v>
      </c>
      <c r="F618" s="8" t="s">
        <v>2037</v>
      </c>
      <c r="G618" s="8" t="s">
        <v>1196</v>
      </c>
      <c r="H618" s="8" t="s">
        <v>1279</v>
      </c>
      <c r="I618" s="8" t="s">
        <v>1487</v>
      </c>
      <c r="J618" s="8" t="s">
        <v>1479</v>
      </c>
      <c r="K618" s="8" t="s">
        <v>1099</v>
      </c>
      <c r="L618" s="10" t="s">
        <v>1170</v>
      </c>
      <c r="M618" s="10" t="s">
        <v>1463</v>
      </c>
      <c r="N618" s="10" t="s">
        <v>1488</v>
      </c>
      <c r="O618" s="8" t="s">
        <v>321</v>
      </c>
      <c r="P618" s="8"/>
      <c r="Q618" s="8"/>
      <c r="R618" s="8">
        <v>298748</v>
      </c>
      <c r="S618" s="8"/>
      <c r="T618" s="8"/>
      <c r="U618" s="8" t="s">
        <v>331</v>
      </c>
      <c r="V618" s="8"/>
      <c r="W618" s="8"/>
      <c r="X618" s="8"/>
      <c r="Y618" s="8"/>
      <c r="Z618" s="10" t="s">
        <v>1278</v>
      </c>
      <c r="AA618" s="8" t="s">
        <v>331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1093</v>
      </c>
      <c r="E619" s="8" t="s">
        <v>123</v>
      </c>
      <c r="F619" s="8" t="s">
        <v>2070</v>
      </c>
      <c r="G619" s="8" t="s">
        <v>1302</v>
      </c>
      <c r="H619" s="8" t="s">
        <v>1342</v>
      </c>
      <c r="I619" s="8" t="s">
        <v>1487</v>
      </c>
      <c r="J619" s="8" t="s">
        <v>1479</v>
      </c>
      <c r="K619" s="8" t="s">
        <v>1099</v>
      </c>
      <c r="L619" s="10" t="s">
        <v>1170</v>
      </c>
      <c r="M619" s="10" t="s">
        <v>1463</v>
      </c>
      <c r="N619" s="10" t="s">
        <v>1488</v>
      </c>
      <c r="O619" s="8" t="s">
        <v>362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2105</v>
      </c>
      <c r="AA619" s="8" t="s">
        <v>331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1093</v>
      </c>
      <c r="E620" s="8" t="s">
        <v>123</v>
      </c>
      <c r="F620" s="8" t="s">
        <v>2055</v>
      </c>
      <c r="G620" s="8" t="s">
        <v>1302</v>
      </c>
      <c r="H620" s="8" t="s">
        <v>1303</v>
      </c>
      <c r="I620" s="8" t="s">
        <v>1489</v>
      </c>
      <c r="J620" s="8" t="s">
        <v>1479</v>
      </c>
      <c r="K620" s="8" t="s">
        <v>1099</v>
      </c>
      <c r="L620" s="10" t="s">
        <v>1388</v>
      </c>
      <c r="M620" s="10" t="s">
        <v>1326</v>
      </c>
      <c r="N620" s="10" t="s">
        <v>1358</v>
      </c>
      <c r="O620" s="8" t="s">
        <v>321</v>
      </c>
      <c r="P620" s="8"/>
      <c r="Q620" s="8"/>
      <c r="R620" s="8">
        <v>71144</v>
      </c>
      <c r="S620" s="8" t="s">
        <v>331</v>
      </c>
      <c r="T620" s="8"/>
      <c r="U620" s="8"/>
      <c r="V620" s="8"/>
      <c r="W620" s="8"/>
      <c r="X620" s="8"/>
      <c r="Y620" s="8"/>
      <c r="Z620" s="10" t="s">
        <v>1738</v>
      </c>
      <c r="AA620" s="8" t="s">
        <v>331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1093</v>
      </c>
      <c r="E621" s="8" t="s">
        <v>123</v>
      </c>
      <c r="F621" s="8" t="s">
        <v>2106</v>
      </c>
      <c r="G621" s="8" t="s">
        <v>1302</v>
      </c>
      <c r="H621" s="8" t="s">
        <v>1303</v>
      </c>
      <c r="I621" s="8" t="s">
        <v>1674</v>
      </c>
      <c r="J621" s="8" t="s">
        <v>1675</v>
      </c>
      <c r="K621" s="8" t="s">
        <v>1099</v>
      </c>
      <c r="L621" s="10" t="s">
        <v>1676</v>
      </c>
      <c r="M621" s="10" t="s">
        <v>1677</v>
      </c>
      <c r="N621" s="10" t="s">
        <v>1678</v>
      </c>
      <c r="O621" s="8" t="s">
        <v>321</v>
      </c>
      <c r="P621" s="8"/>
      <c r="Q621" s="8">
        <v>1763</v>
      </c>
      <c r="R621" s="8">
        <v>144559</v>
      </c>
      <c r="S621" s="8"/>
      <c r="T621" s="8"/>
      <c r="U621" s="8" t="s">
        <v>331</v>
      </c>
      <c r="V621" s="8"/>
      <c r="W621" s="8"/>
      <c r="X621" s="8"/>
      <c r="Y621" s="8"/>
      <c r="Z621" s="10" t="s">
        <v>1278</v>
      </c>
      <c r="AA621" s="8" t="s">
        <v>331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1093</v>
      </c>
      <c r="E622" s="8" t="s">
        <v>123</v>
      </c>
      <c r="F622" s="8" t="s">
        <v>2106</v>
      </c>
      <c r="G622" s="8" t="s">
        <v>1303</v>
      </c>
      <c r="H622" s="8" t="s">
        <v>1342</v>
      </c>
      <c r="I622" s="8" t="s">
        <v>1680</v>
      </c>
      <c r="J622" s="8" t="s">
        <v>1675</v>
      </c>
      <c r="K622" s="8" t="s">
        <v>1099</v>
      </c>
      <c r="L622" s="10" t="s">
        <v>1676</v>
      </c>
      <c r="M622" s="10" t="s">
        <v>1677</v>
      </c>
      <c r="N622" s="10" t="s">
        <v>1681</v>
      </c>
      <c r="O622" s="8" t="s">
        <v>321</v>
      </c>
      <c r="P622" s="8"/>
      <c r="Q622" s="8">
        <v>8152</v>
      </c>
      <c r="R622" s="8">
        <v>275300</v>
      </c>
      <c r="S622" s="8"/>
      <c r="T622" s="8"/>
      <c r="U622" s="8" t="s">
        <v>331</v>
      </c>
      <c r="V622" s="8"/>
      <c r="W622" s="8"/>
      <c r="X622" s="8"/>
      <c r="Y622" s="8"/>
      <c r="Z622" s="10" t="s">
        <v>1278</v>
      </c>
      <c r="AA622" s="8" t="s">
        <v>331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1093</v>
      </c>
      <c r="E623" s="8" t="s">
        <v>123</v>
      </c>
      <c r="F623" s="8" t="s">
        <v>2078</v>
      </c>
      <c r="G623" s="8" t="s">
        <v>1494</v>
      </c>
      <c r="H623" s="8" t="s">
        <v>1643</v>
      </c>
      <c r="I623" s="8" t="s">
        <v>1490</v>
      </c>
      <c r="J623" s="8" t="s">
        <v>1491</v>
      </c>
      <c r="K623" s="8" t="s">
        <v>1099</v>
      </c>
      <c r="L623" s="10" t="s">
        <v>1314</v>
      </c>
      <c r="M623" s="10" t="s">
        <v>1492</v>
      </c>
      <c r="N623" s="10" t="s">
        <v>1493</v>
      </c>
      <c r="O623" s="8" t="s">
        <v>321</v>
      </c>
      <c r="P623" s="8"/>
      <c r="Q623" s="8"/>
      <c r="R623" s="8">
        <v>24517</v>
      </c>
      <c r="S623" s="8" t="s">
        <v>331</v>
      </c>
      <c r="T623" s="8"/>
      <c r="U623" s="8"/>
      <c r="V623" s="8"/>
      <c r="W623" s="8"/>
      <c r="X623" s="8"/>
      <c r="Y623" s="8"/>
      <c r="Z623" s="10" t="s">
        <v>1738</v>
      </c>
      <c r="AA623" s="8" t="s">
        <v>331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1093</v>
      </c>
      <c r="E624" s="8" t="s">
        <v>123</v>
      </c>
      <c r="F624" s="8" t="s">
        <v>2057</v>
      </c>
      <c r="G624" s="8" t="s">
        <v>1166</v>
      </c>
      <c r="H624" s="8" t="s">
        <v>1343</v>
      </c>
      <c r="I624" s="8" t="s">
        <v>1495</v>
      </c>
      <c r="J624" s="8" t="s">
        <v>1788</v>
      </c>
      <c r="K624" s="8" t="s">
        <v>1496</v>
      </c>
      <c r="L624" s="10" t="s">
        <v>1497</v>
      </c>
      <c r="M624" s="10" t="s">
        <v>1498</v>
      </c>
      <c r="N624" s="10" t="s">
        <v>1499</v>
      </c>
      <c r="O624" s="8" t="s">
        <v>321</v>
      </c>
      <c r="P624" s="8"/>
      <c r="Q624" s="8"/>
      <c r="R624" s="8">
        <v>50</v>
      </c>
      <c r="S624" s="8" t="s">
        <v>331</v>
      </c>
      <c r="T624" s="8"/>
      <c r="U624" s="8"/>
      <c r="V624" s="8"/>
      <c r="W624" s="8"/>
      <c r="X624" s="8"/>
      <c r="Y624" s="8"/>
      <c r="Z624" s="10" t="s">
        <v>2059</v>
      </c>
      <c r="AA624" s="8" t="s">
        <v>331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1093</v>
      </c>
      <c r="E625" s="8" t="s">
        <v>123</v>
      </c>
      <c r="F625" s="8" t="s">
        <v>2055</v>
      </c>
      <c r="G625" s="8" t="s">
        <v>2052</v>
      </c>
      <c r="H625" s="8" t="s">
        <v>1149</v>
      </c>
      <c r="I625" s="8" t="s">
        <v>1495</v>
      </c>
      <c r="J625" s="8" t="s">
        <v>1788</v>
      </c>
      <c r="K625" s="8" t="s">
        <v>1496</v>
      </c>
      <c r="L625" s="10" t="s">
        <v>1497</v>
      </c>
      <c r="M625" s="10" t="s">
        <v>1498</v>
      </c>
      <c r="N625" s="10" t="s">
        <v>1499</v>
      </c>
      <c r="O625" s="8" t="s">
        <v>321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331</v>
      </c>
      <c r="Z625" s="10" t="s">
        <v>2107</v>
      </c>
      <c r="AA625" s="8" t="s">
        <v>331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1093</v>
      </c>
      <c r="E626" s="8" t="s">
        <v>139</v>
      </c>
      <c r="F626" s="8" t="s">
        <v>2042</v>
      </c>
      <c r="G626" s="8" t="s">
        <v>1273</v>
      </c>
      <c r="H626" s="8" t="s">
        <v>2108</v>
      </c>
      <c r="I626" s="8" t="s">
        <v>1634</v>
      </c>
      <c r="J626" s="8" t="s">
        <v>1193</v>
      </c>
      <c r="K626" s="8" t="s">
        <v>1099</v>
      </c>
      <c r="L626" s="10" t="s">
        <v>1635</v>
      </c>
      <c r="M626" s="10" t="s">
        <v>1636</v>
      </c>
      <c r="N626" s="10" t="s">
        <v>1413</v>
      </c>
      <c r="O626" s="8" t="s">
        <v>362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2109</v>
      </c>
      <c r="AA626" s="8" t="s">
        <v>331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1093</v>
      </c>
      <c r="E627" s="8" t="s">
        <v>139</v>
      </c>
      <c r="F627" s="8" t="s">
        <v>2085</v>
      </c>
      <c r="G627" s="8" t="s">
        <v>1722</v>
      </c>
      <c r="H627" s="8" t="s">
        <v>1533</v>
      </c>
      <c r="I627" s="8" t="s">
        <v>1441</v>
      </c>
      <c r="J627" s="8" t="s">
        <v>1214</v>
      </c>
      <c r="K627" s="8" t="s">
        <v>1099</v>
      </c>
      <c r="L627" s="10" t="s">
        <v>1378</v>
      </c>
      <c r="M627" s="10" t="s">
        <v>1442</v>
      </c>
      <c r="N627" s="10" t="s">
        <v>1424</v>
      </c>
      <c r="O627" s="8" t="s">
        <v>362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2110</v>
      </c>
      <c r="AA627" s="8" t="s">
        <v>331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1093</v>
      </c>
      <c r="E628" s="8" t="s">
        <v>139</v>
      </c>
      <c r="F628" s="8" t="s">
        <v>2071</v>
      </c>
      <c r="G628" s="8" t="s">
        <v>1342</v>
      </c>
      <c r="H628" s="8" t="s">
        <v>1347</v>
      </c>
      <c r="I628" s="8" t="s">
        <v>1502</v>
      </c>
      <c r="J628" s="8" t="s">
        <v>1217</v>
      </c>
      <c r="K628" s="8" t="s">
        <v>1099</v>
      </c>
      <c r="L628" s="10" t="s">
        <v>1503</v>
      </c>
      <c r="M628" s="10" t="s">
        <v>1504</v>
      </c>
      <c r="N628" s="10" t="s">
        <v>1346</v>
      </c>
      <c r="O628" s="8" t="s">
        <v>362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2111</v>
      </c>
      <c r="AA628" s="8" t="s">
        <v>331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1093</v>
      </c>
      <c r="E629" s="8" t="s">
        <v>139</v>
      </c>
      <c r="F629" s="8" t="s">
        <v>2071</v>
      </c>
      <c r="G629" s="8" t="s">
        <v>1843</v>
      </c>
      <c r="H629" s="8" t="s">
        <v>2112</v>
      </c>
      <c r="I629" s="8" t="s">
        <v>1509</v>
      </c>
      <c r="J629" s="8" t="s">
        <v>1217</v>
      </c>
      <c r="K629" s="8" t="s">
        <v>1099</v>
      </c>
      <c r="L629" s="10" t="s">
        <v>1503</v>
      </c>
      <c r="M629" s="10" t="s">
        <v>1504</v>
      </c>
      <c r="N629" s="10" t="s">
        <v>1346</v>
      </c>
      <c r="O629" s="8" t="s">
        <v>1106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331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1093</v>
      </c>
      <c r="E630" s="8" t="s">
        <v>128</v>
      </c>
      <c r="F630" s="8" t="s">
        <v>2113</v>
      </c>
      <c r="G630" s="8" t="s">
        <v>2114</v>
      </c>
      <c r="H630" s="8" t="s">
        <v>1928</v>
      </c>
      <c r="I630" s="8" t="s">
        <v>1097</v>
      </c>
      <c r="J630" s="8" t="s">
        <v>1098</v>
      </c>
      <c r="K630" s="8" t="s">
        <v>1099</v>
      </c>
      <c r="L630" s="10" t="s">
        <v>1100</v>
      </c>
      <c r="M630" s="10" t="s">
        <v>1101</v>
      </c>
      <c r="N630" s="10" t="s">
        <v>128</v>
      </c>
      <c r="O630" s="8" t="s">
        <v>321</v>
      </c>
      <c r="P630" s="8"/>
      <c r="Q630" s="8">
        <v>4804</v>
      </c>
      <c r="R630" s="8">
        <v>33776</v>
      </c>
      <c r="S630" s="8" t="s">
        <v>331</v>
      </c>
      <c r="T630" s="8"/>
      <c r="U630" s="8"/>
      <c r="V630" s="8"/>
      <c r="W630" s="8"/>
      <c r="X630" s="8"/>
      <c r="Y630" s="8"/>
      <c r="Z630" s="10" t="s">
        <v>1102</v>
      </c>
      <c r="AA630" s="8" t="s">
        <v>331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1093</v>
      </c>
      <c r="E631" s="8" t="s">
        <v>128</v>
      </c>
      <c r="F631" s="8" t="s">
        <v>2115</v>
      </c>
      <c r="G631" s="8" t="s">
        <v>1297</v>
      </c>
      <c r="H631" s="8" t="s">
        <v>1270</v>
      </c>
      <c r="I631" s="8" t="s">
        <v>1110</v>
      </c>
      <c r="J631" s="8" t="s">
        <v>1111</v>
      </c>
      <c r="K631" s="8" t="s">
        <v>1099</v>
      </c>
      <c r="L631" s="10" t="s">
        <v>1112</v>
      </c>
      <c r="M631" s="10" t="s">
        <v>1113</v>
      </c>
      <c r="N631" s="10" t="s">
        <v>128</v>
      </c>
      <c r="O631" s="8" t="s">
        <v>321</v>
      </c>
      <c r="P631" s="8"/>
      <c r="Q631" s="8">
        <v>82</v>
      </c>
      <c r="R631" s="8">
        <v>3376</v>
      </c>
      <c r="S631" s="8" t="s">
        <v>331</v>
      </c>
      <c r="T631" s="8"/>
      <c r="U631" s="8"/>
      <c r="V631" s="8"/>
      <c r="W631" s="8"/>
      <c r="X631" s="8"/>
      <c r="Y631" s="8"/>
      <c r="Z631" s="10" t="s">
        <v>1102</v>
      </c>
      <c r="AA631" s="8" t="s">
        <v>331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1093</v>
      </c>
      <c r="E632" s="8" t="s">
        <v>128</v>
      </c>
      <c r="F632" s="8" t="s">
        <v>2115</v>
      </c>
      <c r="G632" s="8" t="s">
        <v>1246</v>
      </c>
      <c r="H632" s="8" t="s">
        <v>1572</v>
      </c>
      <c r="I632" s="8" t="s">
        <v>1116</v>
      </c>
      <c r="J632" s="8" t="s">
        <v>1111</v>
      </c>
      <c r="K632" s="8" t="s">
        <v>1099</v>
      </c>
      <c r="L632" s="10" t="s">
        <v>1117</v>
      </c>
      <c r="M632" s="10" t="s">
        <v>1118</v>
      </c>
      <c r="N632" s="10" t="s">
        <v>1802</v>
      </c>
      <c r="O632" s="8" t="s">
        <v>321</v>
      </c>
      <c r="P632" s="8"/>
      <c r="Q632" s="8">
        <v>2185</v>
      </c>
      <c r="R632" s="8">
        <v>17147</v>
      </c>
      <c r="S632" s="8" t="s">
        <v>331</v>
      </c>
      <c r="T632" s="8"/>
      <c r="U632" s="8"/>
      <c r="V632" s="8"/>
      <c r="W632" s="8"/>
      <c r="X632" s="8"/>
      <c r="Y632" s="8"/>
      <c r="Z632" s="10" t="s">
        <v>1102</v>
      </c>
      <c r="AA632" s="8" t="s">
        <v>331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1093</v>
      </c>
      <c r="E633" s="8" t="s">
        <v>128</v>
      </c>
      <c r="F633" s="8" t="s">
        <v>2116</v>
      </c>
      <c r="G633" s="8" t="s">
        <v>1694</v>
      </c>
      <c r="H633" s="8" t="s">
        <v>1302</v>
      </c>
      <c r="I633" s="8" t="s">
        <v>1122</v>
      </c>
      <c r="J633" s="8" t="s">
        <v>1111</v>
      </c>
      <c r="K633" s="8" t="s">
        <v>1099</v>
      </c>
      <c r="L633" s="10" t="s">
        <v>1123</v>
      </c>
      <c r="M633" s="10" t="s">
        <v>1124</v>
      </c>
      <c r="N633" s="10" t="s">
        <v>1125</v>
      </c>
      <c r="O633" s="8" t="s">
        <v>1106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1102</v>
      </c>
      <c r="AA633" s="8" t="s">
        <v>331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1093</v>
      </c>
      <c r="E634" s="8" t="s">
        <v>128</v>
      </c>
      <c r="F634" s="8" t="s">
        <v>2115</v>
      </c>
      <c r="G634" s="8" t="s">
        <v>2026</v>
      </c>
      <c r="H634" s="8" t="s">
        <v>1684</v>
      </c>
      <c r="I634" s="8" t="s">
        <v>1128</v>
      </c>
      <c r="J634" s="8" t="s">
        <v>1111</v>
      </c>
      <c r="K634" s="8" t="s">
        <v>1099</v>
      </c>
      <c r="L634" s="10" t="s">
        <v>1129</v>
      </c>
      <c r="M634" s="10" t="s">
        <v>1130</v>
      </c>
      <c r="N634" s="10" t="s">
        <v>1131</v>
      </c>
      <c r="O634" s="8" t="s">
        <v>321</v>
      </c>
      <c r="P634" s="8"/>
      <c r="Q634" s="8">
        <v>128</v>
      </c>
      <c r="R634" s="8">
        <v>865</v>
      </c>
      <c r="S634" s="8" t="s">
        <v>331</v>
      </c>
      <c r="T634" s="8"/>
      <c r="U634" s="8"/>
      <c r="V634" s="8"/>
      <c r="W634" s="8"/>
      <c r="X634" s="8"/>
      <c r="Y634" s="8"/>
      <c r="Z634" s="10" t="s">
        <v>1102</v>
      </c>
      <c r="AA634" s="8" t="s">
        <v>331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1093</v>
      </c>
      <c r="E635" s="8" t="s">
        <v>128</v>
      </c>
      <c r="F635" s="8" t="s">
        <v>2115</v>
      </c>
      <c r="G635" s="8" t="s">
        <v>1258</v>
      </c>
      <c r="H635" s="8" t="s">
        <v>2026</v>
      </c>
      <c r="I635" s="8" t="s">
        <v>1134</v>
      </c>
      <c r="J635" s="8" t="s">
        <v>1111</v>
      </c>
      <c r="K635" s="8" t="s">
        <v>1099</v>
      </c>
      <c r="L635" s="10" t="s">
        <v>1135</v>
      </c>
      <c r="M635" s="10" t="s">
        <v>1136</v>
      </c>
      <c r="N635" s="10"/>
      <c r="O635" s="8" t="s">
        <v>321</v>
      </c>
      <c r="P635" s="8"/>
      <c r="Q635" s="8">
        <v>155</v>
      </c>
      <c r="R635" s="8">
        <v>6819</v>
      </c>
      <c r="S635" s="8" t="s">
        <v>331</v>
      </c>
      <c r="T635" s="8"/>
      <c r="U635" s="8"/>
      <c r="V635" s="8"/>
      <c r="W635" s="8"/>
      <c r="X635" s="8"/>
      <c r="Y635" s="8"/>
      <c r="Z635" s="10" t="s">
        <v>1102</v>
      </c>
      <c r="AA635" s="8" t="s">
        <v>331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1093</v>
      </c>
      <c r="E636" s="8" t="s">
        <v>128</v>
      </c>
      <c r="F636" s="8" t="s">
        <v>2115</v>
      </c>
      <c r="G636" s="8" t="s">
        <v>2117</v>
      </c>
      <c r="H636" s="8" t="s">
        <v>1183</v>
      </c>
      <c r="I636" s="8" t="s">
        <v>1139</v>
      </c>
      <c r="J636" s="8" t="s">
        <v>1140</v>
      </c>
      <c r="K636" s="8" t="s">
        <v>1099</v>
      </c>
      <c r="L636" s="10" t="s">
        <v>1141</v>
      </c>
      <c r="M636" s="10" t="s">
        <v>1142</v>
      </c>
      <c r="N636" s="10" t="s">
        <v>1143</v>
      </c>
      <c r="O636" s="8" t="s">
        <v>321</v>
      </c>
      <c r="P636" s="8"/>
      <c r="Q636" s="8">
        <v>330</v>
      </c>
      <c r="R636" s="8">
        <v>1554</v>
      </c>
      <c r="S636" s="8" t="s">
        <v>331</v>
      </c>
      <c r="T636" s="8"/>
      <c r="U636" s="8"/>
      <c r="V636" s="8"/>
      <c r="W636" s="8"/>
      <c r="X636" s="8"/>
      <c r="Y636" s="8"/>
      <c r="Z636" s="10" t="s">
        <v>1102</v>
      </c>
      <c r="AA636" s="8" t="s">
        <v>331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1093</v>
      </c>
      <c r="E637" s="8" t="s">
        <v>128</v>
      </c>
      <c r="F637" s="8" t="s">
        <v>2115</v>
      </c>
      <c r="G637" s="8" t="s">
        <v>1819</v>
      </c>
      <c r="H637" s="8" t="s">
        <v>1816</v>
      </c>
      <c r="I637" s="8" t="s">
        <v>1145</v>
      </c>
      <c r="J637" s="8" t="s">
        <v>1140</v>
      </c>
      <c r="K637" s="8" t="s">
        <v>1099</v>
      </c>
      <c r="L637" s="10" t="s">
        <v>1146</v>
      </c>
      <c r="M637" s="10" t="s">
        <v>1147</v>
      </c>
      <c r="N637" s="10" t="s">
        <v>1131</v>
      </c>
      <c r="O637" s="8" t="s">
        <v>321</v>
      </c>
      <c r="P637" s="8"/>
      <c r="Q637" s="8">
        <v>3870</v>
      </c>
      <c r="R637" s="8">
        <v>3232</v>
      </c>
      <c r="S637" s="8" t="s">
        <v>331</v>
      </c>
      <c r="T637" s="8"/>
      <c r="U637" s="8"/>
      <c r="V637" s="8"/>
      <c r="W637" s="8"/>
      <c r="X637" s="8"/>
      <c r="Y637" s="8"/>
      <c r="Z637" s="10" t="s">
        <v>1102</v>
      </c>
      <c r="AA637" s="8" t="s">
        <v>331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1093</v>
      </c>
      <c r="E638" s="8" t="s">
        <v>128</v>
      </c>
      <c r="F638" s="8" t="s">
        <v>2118</v>
      </c>
      <c r="G638" s="8" t="s">
        <v>1583</v>
      </c>
      <c r="H638" s="8" t="s">
        <v>2119</v>
      </c>
      <c r="I638" s="8" t="s">
        <v>1150</v>
      </c>
      <c r="J638" s="8" t="s">
        <v>1140</v>
      </c>
      <c r="K638" s="8" t="s">
        <v>1099</v>
      </c>
      <c r="L638" s="10" t="s">
        <v>1151</v>
      </c>
      <c r="M638" s="10" t="s">
        <v>1152</v>
      </c>
      <c r="N638" s="10" t="s">
        <v>1153</v>
      </c>
      <c r="O638" s="8" t="s">
        <v>321</v>
      </c>
      <c r="P638" s="8"/>
      <c r="Q638" s="8">
        <v>1415</v>
      </c>
      <c r="R638" s="8">
        <v>60669</v>
      </c>
      <c r="S638" s="8" t="s">
        <v>331</v>
      </c>
      <c r="T638" s="8"/>
      <c r="U638" s="8"/>
      <c r="V638" s="8"/>
      <c r="W638" s="8"/>
      <c r="X638" s="8"/>
      <c r="Y638" s="8"/>
      <c r="Z638" s="10" t="s">
        <v>1102</v>
      </c>
      <c r="AA638" s="8" t="s">
        <v>331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1093</v>
      </c>
      <c r="E639" s="8" t="s">
        <v>128</v>
      </c>
      <c r="F639" s="8" t="s">
        <v>2115</v>
      </c>
      <c r="G639" s="8" t="s">
        <v>1627</v>
      </c>
      <c r="H639" s="8" t="s">
        <v>1343</v>
      </c>
      <c r="I639" s="8" t="s">
        <v>1156</v>
      </c>
      <c r="J639" s="8" t="s">
        <v>1140</v>
      </c>
      <c r="K639" s="8" t="s">
        <v>1099</v>
      </c>
      <c r="L639" s="10" t="s">
        <v>1157</v>
      </c>
      <c r="M639" s="10" t="s">
        <v>1158</v>
      </c>
      <c r="N639" s="10"/>
      <c r="O639" s="8" t="s">
        <v>321</v>
      </c>
      <c r="P639" s="8"/>
      <c r="Q639" s="8">
        <v>2163</v>
      </c>
      <c r="R639" s="8">
        <v>1238</v>
      </c>
      <c r="S639" s="8" t="s">
        <v>331</v>
      </c>
      <c r="T639" s="8"/>
      <c r="U639" s="8"/>
      <c r="V639" s="8"/>
      <c r="W639" s="8"/>
      <c r="X639" s="8"/>
      <c r="Y639" s="8"/>
      <c r="Z639" s="10" t="s">
        <v>1102</v>
      </c>
      <c r="AA639" s="8" t="s">
        <v>331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1093</v>
      </c>
      <c r="E640" s="8" t="s">
        <v>128</v>
      </c>
      <c r="F640" s="8" t="s">
        <v>2118</v>
      </c>
      <c r="G640" s="8" t="s">
        <v>2068</v>
      </c>
      <c r="H640" s="8" t="s">
        <v>2120</v>
      </c>
      <c r="I640" s="8" t="s">
        <v>1162</v>
      </c>
      <c r="J640" s="8" t="s">
        <v>1140</v>
      </c>
      <c r="K640" s="8" t="s">
        <v>1099</v>
      </c>
      <c r="L640" s="10" t="s">
        <v>1163</v>
      </c>
      <c r="M640" s="10" t="s">
        <v>1164</v>
      </c>
      <c r="N640" s="10" t="s">
        <v>1131</v>
      </c>
      <c r="O640" s="8" t="s">
        <v>321</v>
      </c>
      <c r="P640" s="8"/>
      <c r="Q640" s="8">
        <v>643</v>
      </c>
      <c r="R640" s="8">
        <v>1696</v>
      </c>
      <c r="S640" s="8" t="s">
        <v>331</v>
      </c>
      <c r="T640" s="8"/>
      <c r="U640" s="8"/>
      <c r="V640" s="8"/>
      <c r="W640" s="8"/>
      <c r="X640" s="8"/>
      <c r="Y640" s="8"/>
      <c r="Z640" s="10" t="s">
        <v>1102</v>
      </c>
      <c r="AA640" s="8" t="s">
        <v>331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1093</v>
      </c>
      <c r="E641" s="8" t="s">
        <v>128</v>
      </c>
      <c r="F641" s="8" t="s">
        <v>2116</v>
      </c>
      <c r="G641" s="8" t="s">
        <v>1343</v>
      </c>
      <c r="H641" s="8" t="s">
        <v>1174</v>
      </c>
      <c r="I641" s="8" t="s">
        <v>1175</v>
      </c>
      <c r="J641" s="8" t="s">
        <v>1169</v>
      </c>
      <c r="K641" s="8" t="s">
        <v>1099</v>
      </c>
      <c r="L641" s="10" t="s">
        <v>1123</v>
      </c>
      <c r="M641" s="10" t="s">
        <v>1124</v>
      </c>
      <c r="N641" s="10" t="s">
        <v>1176</v>
      </c>
      <c r="O641" s="8" t="s">
        <v>321</v>
      </c>
      <c r="P641" s="8"/>
      <c r="Q641" s="8"/>
      <c r="R641" s="8">
        <v>85730</v>
      </c>
      <c r="S641" s="8" t="s">
        <v>331</v>
      </c>
      <c r="T641" s="8"/>
      <c r="U641" s="8"/>
      <c r="V641" s="8"/>
      <c r="W641" s="8"/>
      <c r="X641" s="8"/>
      <c r="Y641" s="8"/>
      <c r="Z641" s="10" t="s">
        <v>1102</v>
      </c>
      <c r="AA641" s="8" t="s">
        <v>331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1093</v>
      </c>
      <c r="E642" s="8" t="s">
        <v>128</v>
      </c>
      <c r="F642" s="8" t="s">
        <v>2118</v>
      </c>
      <c r="G642" s="8" t="s">
        <v>1574</v>
      </c>
      <c r="H642" s="8" t="s">
        <v>2121</v>
      </c>
      <c r="I642" s="8" t="s">
        <v>1179</v>
      </c>
      <c r="J642" s="8" t="s">
        <v>1169</v>
      </c>
      <c r="K642" s="8" t="s">
        <v>1099</v>
      </c>
      <c r="L642" s="10" t="s">
        <v>1180</v>
      </c>
      <c r="M642" s="10" t="s">
        <v>1181</v>
      </c>
      <c r="N642" s="10" t="s">
        <v>128</v>
      </c>
      <c r="O642" s="8" t="s">
        <v>321</v>
      </c>
      <c r="P642" s="8"/>
      <c r="Q642" s="8"/>
      <c r="R642" s="8">
        <v>49807</v>
      </c>
      <c r="S642" s="8" t="s">
        <v>331</v>
      </c>
      <c r="T642" s="8"/>
      <c r="U642" s="8"/>
      <c r="V642" s="8"/>
      <c r="W642" s="8"/>
      <c r="X642" s="8"/>
      <c r="Y642" s="8"/>
      <c r="Z642" s="10" t="s">
        <v>1102</v>
      </c>
      <c r="AA642" s="8" t="s">
        <v>331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1093</v>
      </c>
      <c r="E643" s="8" t="s">
        <v>128</v>
      </c>
      <c r="F643" s="8" t="s">
        <v>2122</v>
      </c>
      <c r="G643" s="8" t="s">
        <v>2123</v>
      </c>
      <c r="H643" s="8" t="s">
        <v>2124</v>
      </c>
      <c r="I643" s="8" t="s">
        <v>1185</v>
      </c>
      <c r="J643" s="8" t="s">
        <v>1169</v>
      </c>
      <c r="K643" s="8" t="s">
        <v>1099</v>
      </c>
      <c r="L643" s="10" t="s">
        <v>1186</v>
      </c>
      <c r="M643" s="10" t="s">
        <v>1187</v>
      </c>
      <c r="N643" s="10" t="s">
        <v>1188</v>
      </c>
      <c r="O643" s="8" t="s">
        <v>1106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1102</v>
      </c>
      <c r="AA643" s="8" t="s">
        <v>331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1093</v>
      </c>
      <c r="E644" s="8" t="s">
        <v>128</v>
      </c>
      <c r="F644" s="8" t="s">
        <v>2125</v>
      </c>
      <c r="G644" s="8" t="s">
        <v>2126</v>
      </c>
      <c r="H644" s="8" t="s">
        <v>1913</v>
      </c>
      <c r="I644" s="8" t="s">
        <v>1825</v>
      </c>
      <c r="J644" s="8" t="s">
        <v>1169</v>
      </c>
      <c r="K644" s="8" t="s">
        <v>1099</v>
      </c>
      <c r="L644" s="10" t="s">
        <v>1546</v>
      </c>
      <c r="M644" s="10" t="s">
        <v>1826</v>
      </c>
      <c r="N644" s="10" t="s">
        <v>128</v>
      </c>
      <c r="O644" s="8" t="s">
        <v>1106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1102</v>
      </c>
      <c r="AA644" s="8" t="s">
        <v>331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1093</v>
      </c>
      <c r="E645" s="8" t="s">
        <v>128</v>
      </c>
      <c r="F645" s="8" t="s">
        <v>2127</v>
      </c>
      <c r="G645" s="8" t="s">
        <v>1823</v>
      </c>
      <c r="H645" s="8" t="s">
        <v>1824</v>
      </c>
      <c r="I645" s="8" t="s">
        <v>1192</v>
      </c>
      <c r="J645" s="8" t="s">
        <v>1193</v>
      </c>
      <c r="K645" s="8" t="s">
        <v>1099</v>
      </c>
      <c r="L645" s="10" t="s">
        <v>1194</v>
      </c>
      <c r="M645" s="10" t="s">
        <v>1195</v>
      </c>
      <c r="N645" s="10" t="s">
        <v>128</v>
      </c>
      <c r="O645" s="8" t="s">
        <v>321</v>
      </c>
      <c r="P645" s="8"/>
      <c r="Q645" s="8"/>
      <c r="R645" s="8">
        <v>62842</v>
      </c>
      <c r="S645" s="8" t="s">
        <v>331</v>
      </c>
      <c r="T645" s="8"/>
      <c r="U645" s="8"/>
      <c r="V645" s="8"/>
      <c r="W645" s="8"/>
      <c r="X645" s="8"/>
      <c r="Y645" s="8"/>
      <c r="Z645" s="10" t="s">
        <v>1102</v>
      </c>
      <c r="AA645" s="8" t="s">
        <v>331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1093</v>
      </c>
      <c r="E646" s="8" t="s">
        <v>128</v>
      </c>
      <c r="F646" s="8" t="s">
        <v>2122</v>
      </c>
      <c r="G646" s="8" t="s">
        <v>2026</v>
      </c>
      <c r="H646" s="8" t="s">
        <v>1684</v>
      </c>
      <c r="I646" s="8" t="s">
        <v>1198</v>
      </c>
      <c r="J646" s="8" t="s">
        <v>1193</v>
      </c>
      <c r="K646" s="8" t="s">
        <v>1099</v>
      </c>
      <c r="L646" s="10" t="s">
        <v>1199</v>
      </c>
      <c r="M646" s="10" t="s">
        <v>1200</v>
      </c>
      <c r="N646" s="10"/>
      <c r="O646" s="8" t="s">
        <v>321</v>
      </c>
      <c r="P646" s="8"/>
      <c r="Q646" s="8"/>
      <c r="R646" s="8">
        <v>25400</v>
      </c>
      <c r="S646" s="8" t="s">
        <v>331</v>
      </c>
      <c r="T646" s="8"/>
      <c r="U646" s="8"/>
      <c r="V646" s="8"/>
      <c r="W646" s="8"/>
      <c r="X646" s="8"/>
      <c r="Y646" s="8"/>
      <c r="Z646" s="10" t="s">
        <v>1102</v>
      </c>
      <c r="AA646" s="8" t="s">
        <v>331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1093</v>
      </c>
      <c r="E647" s="8" t="s">
        <v>128</v>
      </c>
      <c r="F647" s="8" t="s">
        <v>2128</v>
      </c>
      <c r="G647" s="8" t="s">
        <v>1149</v>
      </c>
      <c r="H647" s="8" t="s">
        <v>2129</v>
      </c>
      <c r="I647" s="8" t="s">
        <v>1757</v>
      </c>
      <c r="J647" s="8" t="s">
        <v>1204</v>
      </c>
      <c r="K647" s="8" t="s">
        <v>1099</v>
      </c>
      <c r="L647" s="10" t="s">
        <v>1758</v>
      </c>
      <c r="M647" s="10" t="s">
        <v>2130</v>
      </c>
      <c r="N647" s="10" t="s">
        <v>2131</v>
      </c>
      <c r="O647" s="8" t="s">
        <v>321</v>
      </c>
      <c r="P647" s="8"/>
      <c r="Q647" s="8">
        <v>876</v>
      </c>
      <c r="R647" s="8">
        <v>3012</v>
      </c>
      <c r="S647" s="8"/>
      <c r="T647" s="8" t="s">
        <v>331</v>
      </c>
      <c r="U647" s="8"/>
      <c r="V647" s="8"/>
      <c r="W647" s="8"/>
      <c r="X647" s="8"/>
      <c r="Y647" s="8" t="s">
        <v>331</v>
      </c>
      <c r="Z647" s="10" t="s">
        <v>2132</v>
      </c>
      <c r="AA647" s="8" t="s">
        <v>331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1093</v>
      </c>
      <c r="E648" s="8" t="s">
        <v>128</v>
      </c>
      <c r="F648" s="8" t="s">
        <v>2118</v>
      </c>
      <c r="G648" s="8" t="s">
        <v>2133</v>
      </c>
      <c r="H648" s="8" t="s">
        <v>2134</v>
      </c>
      <c r="I648" s="8" t="s">
        <v>1203</v>
      </c>
      <c r="J648" s="8" t="s">
        <v>1204</v>
      </c>
      <c r="K648" s="8" t="s">
        <v>1099</v>
      </c>
      <c r="L648" s="10" t="s">
        <v>1205</v>
      </c>
      <c r="M648" s="10" t="s">
        <v>1206</v>
      </c>
      <c r="N648" s="10"/>
      <c r="O648" s="8" t="s">
        <v>321</v>
      </c>
      <c r="P648" s="8"/>
      <c r="Q648" s="8">
        <v>11729</v>
      </c>
      <c r="R648" s="8">
        <v>155457</v>
      </c>
      <c r="S648" s="8" t="s">
        <v>331</v>
      </c>
      <c r="T648" s="8"/>
      <c r="U648" s="8"/>
      <c r="V648" s="8"/>
      <c r="W648" s="8"/>
      <c r="X648" s="8"/>
      <c r="Y648" s="8"/>
      <c r="Z648" s="10" t="s">
        <v>116</v>
      </c>
      <c r="AA648" s="8" t="s">
        <v>331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1093</v>
      </c>
      <c r="E649" s="8" t="s">
        <v>128</v>
      </c>
      <c r="F649" s="8" t="s">
        <v>2122</v>
      </c>
      <c r="G649" s="8" t="s">
        <v>2135</v>
      </c>
      <c r="H649" s="8" t="s">
        <v>2136</v>
      </c>
      <c r="I649" s="8" t="s">
        <v>1209</v>
      </c>
      <c r="J649" s="8" t="s">
        <v>1204</v>
      </c>
      <c r="K649" s="8" t="s">
        <v>1099</v>
      </c>
      <c r="L649" s="10" t="s">
        <v>1210</v>
      </c>
      <c r="M649" s="10" t="s">
        <v>1211</v>
      </c>
      <c r="N649" s="10" t="s">
        <v>1188</v>
      </c>
      <c r="O649" s="8" t="s">
        <v>1106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2137</v>
      </c>
      <c r="AA649" s="8" t="s">
        <v>331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1093</v>
      </c>
      <c r="E650" s="8" t="s">
        <v>128</v>
      </c>
      <c r="F650" s="8" t="s">
        <v>2048</v>
      </c>
      <c r="G650" s="8" t="s">
        <v>1166</v>
      </c>
      <c r="H650" s="8" t="s">
        <v>2138</v>
      </c>
      <c r="I650" s="8" t="s">
        <v>1213</v>
      </c>
      <c r="J650" s="8" t="s">
        <v>1214</v>
      </c>
      <c r="K650" s="8" t="s">
        <v>1099</v>
      </c>
      <c r="L650" s="10" t="s">
        <v>1123</v>
      </c>
      <c r="M650" s="10" t="s">
        <v>1124</v>
      </c>
      <c r="N650" s="10" t="s">
        <v>1215</v>
      </c>
      <c r="O650" s="8" t="s">
        <v>321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331</v>
      </c>
      <c r="Z650" s="10" t="s">
        <v>2139</v>
      </c>
      <c r="AA650" s="8" t="s">
        <v>331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1093</v>
      </c>
      <c r="E651" s="8" t="s">
        <v>128</v>
      </c>
      <c r="F651" s="8" t="s">
        <v>2116</v>
      </c>
      <c r="G651" s="8" t="s">
        <v>1844</v>
      </c>
      <c r="H651" s="8" t="s">
        <v>1536</v>
      </c>
      <c r="I651" s="8" t="s">
        <v>1213</v>
      </c>
      <c r="J651" s="8" t="s">
        <v>1214</v>
      </c>
      <c r="K651" s="8" t="s">
        <v>1099</v>
      </c>
      <c r="L651" s="10" t="s">
        <v>1123</v>
      </c>
      <c r="M651" s="10" t="s">
        <v>1124</v>
      </c>
      <c r="N651" s="10" t="s">
        <v>1215</v>
      </c>
      <c r="O651" s="8" t="s">
        <v>321</v>
      </c>
      <c r="P651" s="8"/>
      <c r="Q651" s="8"/>
      <c r="R651" s="8">
        <v>126234</v>
      </c>
      <c r="S651" s="8" t="s">
        <v>331</v>
      </c>
      <c r="T651" s="8"/>
      <c r="U651" s="8"/>
      <c r="V651" s="8"/>
      <c r="W651" s="8"/>
      <c r="X651" s="8"/>
      <c r="Y651" s="8"/>
      <c r="Z651" s="10" t="s">
        <v>1102</v>
      </c>
      <c r="AA651" s="8" t="s">
        <v>331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1093</v>
      </c>
      <c r="E652" s="8" t="s">
        <v>128</v>
      </c>
      <c r="F652" s="8" t="s">
        <v>2125</v>
      </c>
      <c r="G652" s="8" t="s">
        <v>1317</v>
      </c>
      <c r="H652" s="8" t="s">
        <v>1109</v>
      </c>
      <c r="I652" s="8" t="s">
        <v>1216</v>
      </c>
      <c r="J652" s="8" t="s">
        <v>1217</v>
      </c>
      <c r="K652" s="8" t="s">
        <v>1099</v>
      </c>
      <c r="L652" s="10" t="s">
        <v>1218</v>
      </c>
      <c r="M652" s="10" t="s">
        <v>1219</v>
      </c>
      <c r="N652" s="10" t="s">
        <v>1220</v>
      </c>
      <c r="O652" s="8" t="s">
        <v>321</v>
      </c>
      <c r="P652" s="8"/>
      <c r="Q652" s="8">
        <v>34873</v>
      </c>
      <c r="R652" s="8">
        <v>33264</v>
      </c>
      <c r="S652" s="8" t="s">
        <v>331</v>
      </c>
      <c r="T652" s="8"/>
      <c r="U652" s="8"/>
      <c r="V652" s="8"/>
      <c r="W652" s="8"/>
      <c r="X652" s="8"/>
      <c r="Y652" s="8"/>
      <c r="Z652" s="10" t="s">
        <v>1102</v>
      </c>
      <c r="AA652" s="8" t="s">
        <v>331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1093</v>
      </c>
      <c r="E653" s="8" t="s">
        <v>128</v>
      </c>
      <c r="F653" s="8" t="s">
        <v>2115</v>
      </c>
      <c r="G653" s="8" t="s">
        <v>1824</v>
      </c>
      <c r="H653" s="8" t="s">
        <v>2140</v>
      </c>
      <c r="I653" s="8" t="s">
        <v>1223</v>
      </c>
      <c r="J653" s="8" t="s">
        <v>1217</v>
      </c>
      <c r="K653" s="8" t="s">
        <v>1099</v>
      </c>
      <c r="L653" s="10" t="s">
        <v>1224</v>
      </c>
      <c r="M653" s="10" t="s">
        <v>1225</v>
      </c>
      <c r="N653" s="10" t="s">
        <v>1226</v>
      </c>
      <c r="O653" s="8" t="s">
        <v>1106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1102</v>
      </c>
      <c r="AA653" s="8" t="s">
        <v>331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1093</v>
      </c>
      <c r="E654" s="8" t="s">
        <v>128</v>
      </c>
      <c r="F654" s="8" t="s">
        <v>2115</v>
      </c>
      <c r="G654" s="8" t="s">
        <v>1342</v>
      </c>
      <c r="H654" s="8" t="s">
        <v>2108</v>
      </c>
      <c r="I654" s="8" t="s">
        <v>1229</v>
      </c>
      <c r="J654" s="8" t="s">
        <v>1217</v>
      </c>
      <c r="K654" s="8" t="s">
        <v>1099</v>
      </c>
      <c r="L654" s="10" t="s">
        <v>1230</v>
      </c>
      <c r="M654" s="10" t="s">
        <v>1231</v>
      </c>
      <c r="N654" s="10"/>
      <c r="O654" s="8" t="s">
        <v>321</v>
      </c>
      <c r="P654" s="8"/>
      <c r="Q654" s="8">
        <v>17954</v>
      </c>
      <c r="R654" s="8">
        <v>24455</v>
      </c>
      <c r="S654" s="8" t="s">
        <v>331</v>
      </c>
      <c r="T654" s="8"/>
      <c r="U654" s="8"/>
      <c r="V654" s="8"/>
      <c r="W654" s="8"/>
      <c r="X654" s="8"/>
      <c r="Y654" s="8"/>
      <c r="Z654" s="10" t="s">
        <v>2141</v>
      </c>
      <c r="AA654" s="8" t="s">
        <v>331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1093</v>
      </c>
      <c r="E655" s="8" t="s">
        <v>128</v>
      </c>
      <c r="F655" s="8" t="s">
        <v>2142</v>
      </c>
      <c r="G655" s="8" t="s">
        <v>2143</v>
      </c>
      <c r="H655" s="8" t="s">
        <v>1661</v>
      </c>
      <c r="I655" s="8" t="s">
        <v>2144</v>
      </c>
      <c r="J655" s="8" t="s">
        <v>1217</v>
      </c>
      <c r="K655" s="8" t="s">
        <v>1099</v>
      </c>
      <c r="L655" s="10" t="s">
        <v>1205</v>
      </c>
      <c r="M655" s="10" t="s">
        <v>1206</v>
      </c>
      <c r="N655" s="10"/>
      <c r="O655" s="8" t="s">
        <v>1106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1106</v>
      </c>
      <c r="AA655" s="8" t="s">
        <v>331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1093</v>
      </c>
      <c r="E656" s="8" t="s">
        <v>128</v>
      </c>
      <c r="F656" s="8" t="s">
        <v>2145</v>
      </c>
      <c r="G656" s="8" t="s">
        <v>2146</v>
      </c>
      <c r="H656" s="8" t="s">
        <v>1096</v>
      </c>
      <c r="I656" s="8" t="s">
        <v>2147</v>
      </c>
      <c r="J656" s="8" t="s">
        <v>1244</v>
      </c>
      <c r="K656" s="8" t="s">
        <v>1099</v>
      </c>
      <c r="L656" s="10" t="s">
        <v>1230</v>
      </c>
      <c r="M656" s="10" t="s">
        <v>1231</v>
      </c>
      <c r="N656" s="10"/>
      <c r="O656" s="8" t="s">
        <v>1106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1106</v>
      </c>
      <c r="AA656" s="8" t="s">
        <v>331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1093</v>
      </c>
      <c r="E657" s="8" t="s">
        <v>128</v>
      </c>
      <c r="F657" s="8" t="s">
        <v>2118</v>
      </c>
      <c r="G657" s="8" t="s">
        <v>1927</v>
      </c>
      <c r="H657" s="8" t="s">
        <v>2148</v>
      </c>
      <c r="I657" s="8" t="s">
        <v>1724</v>
      </c>
      <c r="J657" s="8" t="s">
        <v>1725</v>
      </c>
      <c r="K657" s="8" t="s">
        <v>1099</v>
      </c>
      <c r="L657" s="10" t="s">
        <v>1249</v>
      </c>
      <c r="M657" s="10" t="s">
        <v>1250</v>
      </c>
      <c r="N657" s="10"/>
      <c r="O657" s="8" t="s">
        <v>321</v>
      </c>
      <c r="P657" s="8"/>
      <c r="Q657" s="8"/>
      <c r="R657" s="8">
        <v>30116</v>
      </c>
      <c r="S657" s="8" t="s">
        <v>331</v>
      </c>
      <c r="T657" s="8"/>
      <c r="U657" s="8"/>
      <c r="V657" s="8"/>
      <c r="W657" s="8"/>
      <c r="X657" s="8"/>
      <c r="Y657" s="8"/>
      <c r="Z657" s="10" t="s">
        <v>1102</v>
      </c>
      <c r="AA657" s="8" t="s">
        <v>331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1093</v>
      </c>
      <c r="E658" s="8" t="s">
        <v>123</v>
      </c>
      <c r="F658" s="8" t="s">
        <v>2149</v>
      </c>
      <c r="G658" s="8" t="s">
        <v>1279</v>
      </c>
      <c r="H658" s="8" t="s">
        <v>1149</v>
      </c>
      <c r="I658" s="8" t="s">
        <v>1267</v>
      </c>
      <c r="J658" s="8" t="s">
        <v>1111</v>
      </c>
      <c r="K658" s="8" t="s">
        <v>1099</v>
      </c>
      <c r="L658" s="10" t="s">
        <v>1268</v>
      </c>
      <c r="M658" s="10" t="s">
        <v>1269</v>
      </c>
      <c r="N658" s="10" t="s">
        <v>1584</v>
      </c>
      <c r="O658" s="8" t="s">
        <v>321</v>
      </c>
      <c r="P658" s="8"/>
      <c r="Q658" s="8">
        <v>10117</v>
      </c>
      <c r="R658" s="8">
        <v>69822</v>
      </c>
      <c r="S658" s="8" t="s">
        <v>331</v>
      </c>
      <c r="T658" s="8"/>
      <c r="U658" s="8"/>
      <c r="V658" s="8"/>
      <c r="W658" s="8"/>
      <c r="X658" s="8"/>
      <c r="Y658" s="8"/>
      <c r="Z658" s="10" t="s">
        <v>1613</v>
      </c>
      <c r="AA658" s="8" t="s">
        <v>331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1093</v>
      </c>
      <c r="E659" s="8" t="s">
        <v>123</v>
      </c>
      <c r="F659" s="8" t="s">
        <v>2150</v>
      </c>
      <c r="G659" s="8" t="s">
        <v>1196</v>
      </c>
      <c r="H659" s="8" t="s">
        <v>1425</v>
      </c>
      <c r="I659" s="8" t="s">
        <v>1274</v>
      </c>
      <c r="J659" s="8" t="s">
        <v>1111</v>
      </c>
      <c r="K659" s="8" t="s">
        <v>1099</v>
      </c>
      <c r="L659" s="10" t="s">
        <v>1275</v>
      </c>
      <c r="M659" s="10" t="s">
        <v>1276</v>
      </c>
      <c r="N659" s="10" t="s">
        <v>1277</v>
      </c>
      <c r="O659" s="8" t="s">
        <v>362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2151</v>
      </c>
      <c r="AA659" s="8" t="s">
        <v>331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1093</v>
      </c>
      <c r="E660" s="8" t="s">
        <v>123</v>
      </c>
      <c r="F660" s="8" t="s">
        <v>2115</v>
      </c>
      <c r="G660" s="8" t="s">
        <v>1343</v>
      </c>
      <c r="H660" s="8" t="s">
        <v>1302</v>
      </c>
      <c r="I660" s="8" t="s">
        <v>1274</v>
      </c>
      <c r="J660" s="8" t="s">
        <v>1111</v>
      </c>
      <c r="K660" s="8" t="s">
        <v>1099</v>
      </c>
      <c r="L660" s="10" t="s">
        <v>1275</v>
      </c>
      <c r="M660" s="10" t="s">
        <v>1276</v>
      </c>
      <c r="N660" s="10" t="s">
        <v>1277</v>
      </c>
      <c r="O660" s="8" t="s">
        <v>321</v>
      </c>
      <c r="P660" s="8"/>
      <c r="Q660" s="8">
        <v>21483</v>
      </c>
      <c r="R660" s="8">
        <v>84536</v>
      </c>
      <c r="S660" s="8" t="s">
        <v>331</v>
      </c>
      <c r="T660" s="8"/>
      <c r="U660" s="8"/>
      <c r="V660" s="8"/>
      <c r="W660" s="8"/>
      <c r="X660" s="8"/>
      <c r="Y660" s="8"/>
      <c r="Z660" s="10" t="s">
        <v>1738</v>
      </c>
      <c r="AA660" s="8" t="s">
        <v>331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1093</v>
      </c>
      <c r="E661" s="8" t="s">
        <v>123</v>
      </c>
      <c r="F661" s="8" t="s">
        <v>2127</v>
      </c>
      <c r="G661" s="8" t="s">
        <v>1120</v>
      </c>
      <c r="H661" s="8" t="s">
        <v>1343</v>
      </c>
      <c r="I661" s="8" t="s">
        <v>1281</v>
      </c>
      <c r="J661" s="8" t="s">
        <v>1111</v>
      </c>
      <c r="K661" s="8" t="s">
        <v>1099</v>
      </c>
      <c r="L661" s="10" t="s">
        <v>1282</v>
      </c>
      <c r="M661" s="10" t="s">
        <v>1283</v>
      </c>
      <c r="N661" s="10"/>
      <c r="O661" s="8" t="s">
        <v>321</v>
      </c>
      <c r="P661" s="8"/>
      <c r="Q661" s="8">
        <v>2000</v>
      </c>
      <c r="R661" s="8">
        <v>40000</v>
      </c>
      <c r="S661" s="8" t="s">
        <v>331</v>
      </c>
      <c r="T661" s="8"/>
      <c r="U661" s="8"/>
      <c r="V661" s="8"/>
      <c r="W661" s="8"/>
      <c r="X661" s="8"/>
      <c r="Y661" s="8"/>
      <c r="Z661" s="10" t="s">
        <v>1738</v>
      </c>
      <c r="AA661" s="8" t="s">
        <v>331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1093</v>
      </c>
      <c r="E662" s="8" t="s">
        <v>123</v>
      </c>
      <c r="F662" s="8" t="s">
        <v>2149</v>
      </c>
      <c r="G662" s="8" t="s">
        <v>1120</v>
      </c>
      <c r="H662" s="8" t="s">
        <v>1343</v>
      </c>
      <c r="I662" s="8" t="s">
        <v>1281</v>
      </c>
      <c r="J662" s="8" t="s">
        <v>1111</v>
      </c>
      <c r="K662" s="8" t="s">
        <v>1099</v>
      </c>
      <c r="L662" s="10" t="s">
        <v>1282</v>
      </c>
      <c r="M662" s="10" t="s">
        <v>1283</v>
      </c>
      <c r="N662" s="10"/>
      <c r="O662" s="8" t="s">
        <v>321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331</v>
      </c>
      <c r="X662" s="8"/>
      <c r="Y662" s="8"/>
      <c r="Z662" s="10" t="s">
        <v>1733</v>
      </c>
      <c r="AA662" s="8" t="s">
        <v>331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1093</v>
      </c>
      <c r="E663" s="8" t="s">
        <v>123</v>
      </c>
      <c r="F663" s="8" t="s">
        <v>2118</v>
      </c>
      <c r="G663" s="8" t="s">
        <v>1166</v>
      </c>
      <c r="H663" s="8" t="s">
        <v>1525</v>
      </c>
      <c r="I663" s="8" t="s">
        <v>1281</v>
      </c>
      <c r="J663" s="8" t="s">
        <v>1111</v>
      </c>
      <c r="K663" s="8" t="s">
        <v>1099</v>
      </c>
      <c r="L663" s="10" t="s">
        <v>1282</v>
      </c>
      <c r="M663" s="10" t="s">
        <v>1283</v>
      </c>
      <c r="N663" s="10"/>
      <c r="O663" s="8" t="s">
        <v>362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2152</v>
      </c>
      <c r="AA663" s="8" t="s">
        <v>331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1093</v>
      </c>
      <c r="E664" s="8" t="s">
        <v>123</v>
      </c>
      <c r="F664" s="8" t="s">
        <v>2149</v>
      </c>
      <c r="G664" s="8" t="s">
        <v>1196</v>
      </c>
      <c r="H664" s="8" t="s">
        <v>1279</v>
      </c>
      <c r="I664" s="8" t="s">
        <v>1286</v>
      </c>
      <c r="J664" s="8" t="s">
        <v>1111</v>
      </c>
      <c r="K664" s="8" t="s">
        <v>1099</v>
      </c>
      <c r="L664" s="10" t="s">
        <v>1287</v>
      </c>
      <c r="M664" s="10" t="s">
        <v>1288</v>
      </c>
      <c r="N664" s="10" t="s">
        <v>1289</v>
      </c>
      <c r="O664" s="8" t="s">
        <v>321</v>
      </c>
      <c r="P664" s="8"/>
      <c r="Q664" s="8">
        <v>15218</v>
      </c>
      <c r="R664" s="8">
        <v>135890</v>
      </c>
      <c r="S664" s="8" t="s">
        <v>331</v>
      </c>
      <c r="T664" s="8"/>
      <c r="U664" s="8"/>
      <c r="V664" s="8"/>
      <c r="W664" s="8"/>
      <c r="X664" s="8"/>
      <c r="Y664" s="8"/>
      <c r="Z664" s="10" t="s">
        <v>1613</v>
      </c>
      <c r="AA664" s="8" t="s">
        <v>331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1093</v>
      </c>
      <c r="E665" s="8" t="s">
        <v>123</v>
      </c>
      <c r="F665" s="8" t="s">
        <v>2153</v>
      </c>
      <c r="G665" s="8" t="s">
        <v>1273</v>
      </c>
      <c r="H665" s="8" t="s">
        <v>1258</v>
      </c>
      <c r="I665" s="8" t="s">
        <v>2154</v>
      </c>
      <c r="J665" s="8" t="s">
        <v>1111</v>
      </c>
      <c r="K665" s="8" t="s">
        <v>1099</v>
      </c>
      <c r="L665" s="10" t="s">
        <v>1997</v>
      </c>
      <c r="M665" s="10" t="s">
        <v>1998</v>
      </c>
      <c r="N665" s="10" t="s">
        <v>2155</v>
      </c>
      <c r="O665" s="8" t="s">
        <v>1106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1738</v>
      </c>
      <c r="AA665" s="8" t="s">
        <v>331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1093</v>
      </c>
      <c r="E666" s="8" t="s">
        <v>123</v>
      </c>
      <c r="F666" s="8" t="s">
        <v>2127</v>
      </c>
      <c r="G666" s="8" t="s">
        <v>1303</v>
      </c>
      <c r="H666" s="8" t="s">
        <v>2156</v>
      </c>
      <c r="I666" s="8" t="s">
        <v>1853</v>
      </c>
      <c r="J666" s="8" t="s">
        <v>1111</v>
      </c>
      <c r="K666" s="8" t="s">
        <v>1099</v>
      </c>
      <c r="L666" s="10" t="s">
        <v>1293</v>
      </c>
      <c r="M666" s="10" t="s">
        <v>1854</v>
      </c>
      <c r="N666" s="10" t="s">
        <v>1855</v>
      </c>
      <c r="O666" s="8" t="s">
        <v>362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2157</v>
      </c>
      <c r="AA666" s="8" t="s">
        <v>331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1093</v>
      </c>
      <c r="E667" s="8" t="s">
        <v>123</v>
      </c>
      <c r="F667" s="8" t="s">
        <v>2158</v>
      </c>
      <c r="G667" s="8" t="s">
        <v>1279</v>
      </c>
      <c r="H667" s="8" t="s">
        <v>1149</v>
      </c>
      <c r="I667" s="8" t="s">
        <v>1298</v>
      </c>
      <c r="J667" s="8" t="s">
        <v>1140</v>
      </c>
      <c r="K667" s="8" t="s">
        <v>1099</v>
      </c>
      <c r="L667" s="10" t="s">
        <v>1299</v>
      </c>
      <c r="M667" s="10" t="s">
        <v>1300</v>
      </c>
      <c r="N667" s="10" t="s">
        <v>1301</v>
      </c>
      <c r="O667" s="8" t="s">
        <v>321</v>
      </c>
      <c r="P667" s="8">
        <v>6225</v>
      </c>
      <c r="Q667" s="8">
        <v>14455</v>
      </c>
      <c r="R667" s="8">
        <v>18221</v>
      </c>
      <c r="S667" s="8" t="s">
        <v>331</v>
      </c>
      <c r="T667" s="8"/>
      <c r="U667" s="8"/>
      <c r="V667" s="8"/>
      <c r="W667" s="8"/>
      <c r="X667" s="8"/>
      <c r="Y667" s="8"/>
      <c r="Z667" s="10" t="s">
        <v>1738</v>
      </c>
      <c r="AA667" s="8" t="s">
        <v>331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1093</v>
      </c>
      <c r="E668" s="8" t="s">
        <v>123</v>
      </c>
      <c r="F668" s="8" t="s">
        <v>2159</v>
      </c>
      <c r="G668" s="8" t="s">
        <v>1279</v>
      </c>
      <c r="H668" s="8" t="s">
        <v>2160</v>
      </c>
      <c r="I668" s="8" t="s">
        <v>1298</v>
      </c>
      <c r="J668" s="8" t="s">
        <v>1140</v>
      </c>
      <c r="K668" s="8" t="s">
        <v>1099</v>
      </c>
      <c r="L668" s="10" t="s">
        <v>1299</v>
      </c>
      <c r="M668" s="10" t="s">
        <v>1300</v>
      </c>
      <c r="N668" s="10" t="s">
        <v>1301</v>
      </c>
      <c r="O668" s="8" t="s">
        <v>321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331</v>
      </c>
      <c r="Z668" s="10" t="s">
        <v>2161</v>
      </c>
      <c r="AA668" s="8" t="s">
        <v>331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1093</v>
      </c>
      <c r="E669" s="8" t="s">
        <v>123</v>
      </c>
      <c r="F669" s="8" t="s">
        <v>2158</v>
      </c>
      <c r="G669" s="8" t="s">
        <v>1196</v>
      </c>
      <c r="H669" s="8" t="s">
        <v>1279</v>
      </c>
      <c r="I669" s="8" t="s">
        <v>1600</v>
      </c>
      <c r="J669" s="8" t="s">
        <v>1140</v>
      </c>
      <c r="K669" s="8" t="s">
        <v>1099</v>
      </c>
      <c r="L669" s="10" t="s">
        <v>1299</v>
      </c>
      <c r="M669" s="10" t="s">
        <v>1601</v>
      </c>
      <c r="N669" s="10" t="s">
        <v>1602</v>
      </c>
      <c r="O669" s="8" t="s">
        <v>321</v>
      </c>
      <c r="P669" s="8">
        <v>1696</v>
      </c>
      <c r="Q669" s="8">
        <v>2263</v>
      </c>
      <c r="R669" s="8">
        <v>5390</v>
      </c>
      <c r="S669" s="8" t="s">
        <v>331</v>
      </c>
      <c r="T669" s="8"/>
      <c r="U669" s="8"/>
      <c r="V669" s="8"/>
      <c r="W669" s="8"/>
      <c r="X669" s="8"/>
      <c r="Y669" s="8"/>
      <c r="Z669" s="10" t="s">
        <v>1738</v>
      </c>
      <c r="AA669" s="8" t="s">
        <v>331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1093</v>
      </c>
      <c r="E670" s="8" t="s">
        <v>123</v>
      </c>
      <c r="F670" s="8" t="s">
        <v>2127</v>
      </c>
      <c r="G670" s="8" t="s">
        <v>1284</v>
      </c>
      <c r="H670" s="8" t="s">
        <v>1166</v>
      </c>
      <c r="I670" s="8" t="s">
        <v>1606</v>
      </c>
      <c r="J670" s="8" t="s">
        <v>1140</v>
      </c>
      <c r="K670" s="8" t="s">
        <v>1099</v>
      </c>
      <c r="L670" s="10" t="s">
        <v>1260</v>
      </c>
      <c r="M670" s="10" t="s">
        <v>1261</v>
      </c>
      <c r="N670" s="10" t="s">
        <v>1413</v>
      </c>
      <c r="O670" s="8" t="s">
        <v>321</v>
      </c>
      <c r="P670" s="8"/>
      <c r="Q670" s="8">
        <v>600</v>
      </c>
      <c r="R670" s="8">
        <v>9000</v>
      </c>
      <c r="S670" s="8" t="s">
        <v>331</v>
      </c>
      <c r="T670" s="8"/>
      <c r="U670" s="8"/>
      <c r="V670" s="8"/>
      <c r="W670" s="8"/>
      <c r="X670" s="8"/>
      <c r="Y670" s="8"/>
      <c r="Z670" s="10" t="s">
        <v>1738</v>
      </c>
      <c r="AA670" s="8" t="s">
        <v>331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1093</v>
      </c>
      <c r="E671" s="8" t="s">
        <v>123</v>
      </c>
      <c r="F671" s="8" t="s">
        <v>2115</v>
      </c>
      <c r="G671" s="8" t="s">
        <v>1303</v>
      </c>
      <c r="H671" s="8" t="s">
        <v>2138</v>
      </c>
      <c r="I671" s="8" t="s">
        <v>1606</v>
      </c>
      <c r="J671" s="8" t="s">
        <v>1140</v>
      </c>
      <c r="K671" s="8" t="s">
        <v>1099</v>
      </c>
      <c r="L671" s="10" t="s">
        <v>1260</v>
      </c>
      <c r="M671" s="10" t="s">
        <v>1261</v>
      </c>
      <c r="N671" s="10" t="s">
        <v>1413</v>
      </c>
      <c r="O671" s="8" t="s">
        <v>362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2162</v>
      </c>
      <c r="AA671" s="8" t="s">
        <v>331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1093</v>
      </c>
      <c r="E672" s="8" t="s">
        <v>123</v>
      </c>
      <c r="F672" s="8" t="s">
        <v>2158</v>
      </c>
      <c r="G672" s="8" t="s">
        <v>1149</v>
      </c>
      <c r="H672" s="8" t="s">
        <v>1297</v>
      </c>
      <c r="I672" s="8" t="s">
        <v>1857</v>
      </c>
      <c r="J672" s="8" t="s">
        <v>1140</v>
      </c>
      <c r="K672" s="8" t="s">
        <v>1099</v>
      </c>
      <c r="L672" s="10" t="s">
        <v>1299</v>
      </c>
      <c r="M672" s="10" t="s">
        <v>1858</v>
      </c>
      <c r="N672" s="10" t="s">
        <v>1859</v>
      </c>
      <c r="O672" s="8" t="s">
        <v>321</v>
      </c>
      <c r="P672" s="8">
        <v>43</v>
      </c>
      <c r="Q672" s="8">
        <v>575</v>
      </c>
      <c r="R672" s="8">
        <v>1909</v>
      </c>
      <c r="S672" s="8" t="s">
        <v>331</v>
      </c>
      <c r="T672" s="8"/>
      <c r="U672" s="8"/>
      <c r="V672" s="8"/>
      <c r="W672" s="8"/>
      <c r="X672" s="8"/>
      <c r="Y672" s="8"/>
      <c r="Z672" s="10" t="s">
        <v>1738</v>
      </c>
      <c r="AA672" s="8" t="s">
        <v>331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1093</v>
      </c>
      <c r="E673" s="8" t="s">
        <v>123</v>
      </c>
      <c r="F673" s="8" t="s">
        <v>2048</v>
      </c>
      <c r="G673" s="8" t="s">
        <v>1196</v>
      </c>
      <c r="H673" s="8" t="s">
        <v>1279</v>
      </c>
      <c r="I673" s="8" t="s">
        <v>2075</v>
      </c>
      <c r="J673" s="8" t="s">
        <v>1140</v>
      </c>
      <c r="K673" s="8" t="s">
        <v>1099</v>
      </c>
      <c r="L673" s="10" t="s">
        <v>1466</v>
      </c>
      <c r="M673" s="10" t="s">
        <v>2076</v>
      </c>
      <c r="N673" s="10" t="s">
        <v>1618</v>
      </c>
      <c r="O673" s="8" t="s">
        <v>1106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1738</v>
      </c>
      <c r="AA673" s="8" t="s">
        <v>331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1093</v>
      </c>
      <c r="E674" s="8" t="s">
        <v>123</v>
      </c>
      <c r="F674" s="8" t="s">
        <v>2158</v>
      </c>
      <c r="G674" s="8" t="s">
        <v>1266</v>
      </c>
      <c r="H674" s="8" t="s">
        <v>1312</v>
      </c>
      <c r="I674" s="8" t="s">
        <v>2075</v>
      </c>
      <c r="J674" s="8" t="s">
        <v>1140</v>
      </c>
      <c r="K674" s="8" t="s">
        <v>1099</v>
      </c>
      <c r="L674" s="10" t="s">
        <v>1466</v>
      </c>
      <c r="M674" s="10" t="s">
        <v>2076</v>
      </c>
      <c r="N674" s="10" t="s">
        <v>1618</v>
      </c>
      <c r="O674" s="8" t="s">
        <v>321</v>
      </c>
      <c r="P674" s="8"/>
      <c r="Q674" s="8">
        <v>187</v>
      </c>
      <c r="R674" s="8">
        <v>6434</v>
      </c>
      <c r="S674" s="8"/>
      <c r="T674" s="8"/>
      <c r="U674" s="8" t="s">
        <v>331</v>
      </c>
      <c r="V674" s="8"/>
      <c r="W674" s="8"/>
      <c r="X674" s="8"/>
      <c r="Y674" s="8"/>
      <c r="Z674" s="10" t="s">
        <v>1278</v>
      </c>
      <c r="AA674" s="8" t="s">
        <v>331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1093</v>
      </c>
      <c r="E675" s="8" t="s">
        <v>123</v>
      </c>
      <c r="F675" s="8" t="s">
        <v>2163</v>
      </c>
      <c r="G675" s="8" t="s">
        <v>1266</v>
      </c>
      <c r="H675" s="8" t="s">
        <v>1279</v>
      </c>
      <c r="I675" s="8" t="s">
        <v>2075</v>
      </c>
      <c r="J675" s="8" t="s">
        <v>1140</v>
      </c>
      <c r="K675" s="8" t="s">
        <v>1099</v>
      </c>
      <c r="L675" s="10" t="s">
        <v>1466</v>
      </c>
      <c r="M675" s="10" t="s">
        <v>2076</v>
      </c>
      <c r="N675" s="10" t="s">
        <v>1618</v>
      </c>
      <c r="O675" s="8" t="s">
        <v>362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2164</v>
      </c>
      <c r="AA675" s="8" t="s">
        <v>331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1093</v>
      </c>
      <c r="E676" s="8" t="s">
        <v>123</v>
      </c>
      <c r="F676" s="8" t="s">
        <v>2165</v>
      </c>
      <c r="G676" s="8" t="s">
        <v>1284</v>
      </c>
      <c r="H676" s="8" t="s">
        <v>1120</v>
      </c>
      <c r="I676" s="8" t="s">
        <v>2166</v>
      </c>
      <c r="J676" s="8" t="s">
        <v>1169</v>
      </c>
      <c r="K676" s="8" t="s">
        <v>1099</v>
      </c>
      <c r="L676" s="10" t="s">
        <v>1170</v>
      </c>
      <c r="M676" s="10" t="s">
        <v>2167</v>
      </c>
      <c r="N676" s="10" t="s">
        <v>2168</v>
      </c>
      <c r="O676" s="8" t="s">
        <v>362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2169</v>
      </c>
      <c r="AA676" s="8" t="s">
        <v>331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1093</v>
      </c>
      <c r="E677" s="8" t="s">
        <v>123</v>
      </c>
      <c r="F677" s="8" t="s">
        <v>2116</v>
      </c>
      <c r="G677" s="8" t="s">
        <v>1120</v>
      </c>
      <c r="H677" s="8" t="s">
        <v>1610</v>
      </c>
      <c r="I677" s="8" t="s">
        <v>1861</v>
      </c>
      <c r="J677" s="8" t="s">
        <v>1169</v>
      </c>
      <c r="K677" s="8" t="s">
        <v>1099</v>
      </c>
      <c r="L677" s="10" t="s">
        <v>1170</v>
      </c>
      <c r="M677" s="10" t="s">
        <v>1862</v>
      </c>
      <c r="N677" s="10" t="s">
        <v>1863</v>
      </c>
      <c r="O677" s="8" t="s">
        <v>321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331</v>
      </c>
      <c r="Z677" s="10" t="s">
        <v>2170</v>
      </c>
      <c r="AA677" s="8" t="s">
        <v>331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1093</v>
      </c>
      <c r="E678" s="8" t="s">
        <v>123</v>
      </c>
      <c r="F678" s="8" t="s">
        <v>2165</v>
      </c>
      <c r="G678" s="8" t="s">
        <v>1765</v>
      </c>
      <c r="H678" s="8" t="s">
        <v>1505</v>
      </c>
      <c r="I678" s="8" t="s">
        <v>1313</v>
      </c>
      <c r="J678" s="8" t="s">
        <v>1169</v>
      </c>
      <c r="K678" s="8" t="s">
        <v>1099</v>
      </c>
      <c r="L678" s="10" t="s">
        <v>1314</v>
      </c>
      <c r="M678" s="10" t="s">
        <v>1315</v>
      </c>
      <c r="N678" s="10" t="s">
        <v>1316</v>
      </c>
      <c r="O678" s="8" t="s">
        <v>321</v>
      </c>
      <c r="P678" s="8"/>
      <c r="Q678" s="8"/>
      <c r="R678" s="8">
        <v>386856</v>
      </c>
      <c r="S678" s="8"/>
      <c r="T678" s="8"/>
      <c r="U678" s="8" t="s">
        <v>331</v>
      </c>
      <c r="V678" s="8"/>
      <c r="W678" s="8"/>
      <c r="X678" s="8"/>
      <c r="Y678" s="8"/>
      <c r="Z678" s="10" t="s">
        <v>1278</v>
      </c>
      <c r="AA678" s="8" t="s">
        <v>331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1093</v>
      </c>
      <c r="E679" s="8" t="s">
        <v>123</v>
      </c>
      <c r="F679" s="8" t="s">
        <v>2150</v>
      </c>
      <c r="G679" s="8" t="s">
        <v>1284</v>
      </c>
      <c r="H679" s="8" t="s">
        <v>1948</v>
      </c>
      <c r="I679" s="8" t="s">
        <v>1313</v>
      </c>
      <c r="J679" s="8" t="s">
        <v>1169</v>
      </c>
      <c r="K679" s="8" t="s">
        <v>1099</v>
      </c>
      <c r="L679" s="10" t="s">
        <v>1314</v>
      </c>
      <c r="M679" s="10" t="s">
        <v>1315</v>
      </c>
      <c r="N679" s="10" t="s">
        <v>1316</v>
      </c>
      <c r="O679" s="8" t="s">
        <v>321</v>
      </c>
      <c r="P679" s="8"/>
      <c r="Q679" s="8"/>
      <c r="R679" s="8">
        <v>390849</v>
      </c>
      <c r="S679" s="8" t="s">
        <v>331</v>
      </c>
      <c r="T679" s="8"/>
      <c r="U679" s="8"/>
      <c r="V679" s="8"/>
      <c r="W679" s="8"/>
      <c r="X679" s="8"/>
      <c r="Y679" s="8"/>
      <c r="Z679" s="10" t="s">
        <v>1738</v>
      </c>
      <c r="AA679" s="8" t="s">
        <v>331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1093</v>
      </c>
      <c r="E680" s="8" t="s">
        <v>123</v>
      </c>
      <c r="F680" s="8" t="s">
        <v>2118</v>
      </c>
      <c r="G680" s="8" t="s">
        <v>1273</v>
      </c>
      <c r="H680" s="8" t="s">
        <v>1684</v>
      </c>
      <c r="I680" s="8" t="s">
        <v>1313</v>
      </c>
      <c r="J680" s="8" t="s">
        <v>1169</v>
      </c>
      <c r="K680" s="8" t="s">
        <v>1099</v>
      </c>
      <c r="L680" s="10" t="s">
        <v>1314</v>
      </c>
      <c r="M680" s="10" t="s">
        <v>1315</v>
      </c>
      <c r="N680" s="10" t="s">
        <v>1316</v>
      </c>
      <c r="O680" s="8" t="s">
        <v>362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2171</v>
      </c>
      <c r="AA680" s="8" t="s">
        <v>331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1093</v>
      </c>
      <c r="E681" s="8" t="s">
        <v>123</v>
      </c>
      <c r="F681" s="8" t="s">
        <v>2150</v>
      </c>
      <c r="G681" s="8" t="s">
        <v>1245</v>
      </c>
      <c r="H681" s="8" t="s">
        <v>1571</v>
      </c>
      <c r="I681" s="8" t="s">
        <v>1320</v>
      </c>
      <c r="J681" s="8" t="s">
        <v>1169</v>
      </c>
      <c r="K681" s="8" t="s">
        <v>1099</v>
      </c>
      <c r="L681" s="10" t="s">
        <v>1314</v>
      </c>
      <c r="M681" s="10" t="s">
        <v>1321</v>
      </c>
      <c r="N681" s="10" t="s">
        <v>1322</v>
      </c>
      <c r="O681" s="8" t="s">
        <v>321</v>
      </c>
      <c r="P681" s="8"/>
      <c r="Q681" s="8"/>
      <c r="R681" s="8">
        <v>163873</v>
      </c>
      <c r="S681" s="8" t="s">
        <v>331</v>
      </c>
      <c r="T681" s="8"/>
      <c r="U681" s="8"/>
      <c r="V681" s="8"/>
      <c r="W681" s="8"/>
      <c r="X681" s="8"/>
      <c r="Y681" s="8"/>
      <c r="Z681" s="10" t="s">
        <v>1738</v>
      </c>
      <c r="AA681" s="8" t="s">
        <v>331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1093</v>
      </c>
      <c r="E682" s="8" t="s">
        <v>123</v>
      </c>
      <c r="F682" s="8" t="s">
        <v>2142</v>
      </c>
      <c r="G682" s="8" t="s">
        <v>1196</v>
      </c>
      <c r="H682" s="8" t="s">
        <v>1279</v>
      </c>
      <c r="I682" s="8" t="s">
        <v>1324</v>
      </c>
      <c r="J682" s="8" t="s">
        <v>1169</v>
      </c>
      <c r="K682" s="8" t="s">
        <v>1099</v>
      </c>
      <c r="L682" s="10" t="s">
        <v>1325</v>
      </c>
      <c r="M682" s="10" t="s">
        <v>1326</v>
      </c>
      <c r="N682" s="10"/>
      <c r="O682" s="8" t="s">
        <v>321</v>
      </c>
      <c r="P682" s="8"/>
      <c r="Q682" s="8"/>
      <c r="R682" s="8">
        <v>322182</v>
      </c>
      <c r="S682" s="8" t="s">
        <v>331</v>
      </c>
      <c r="T682" s="8"/>
      <c r="U682" s="8"/>
      <c r="V682" s="8"/>
      <c r="W682" s="8"/>
      <c r="X682" s="8"/>
      <c r="Y682" s="8"/>
      <c r="Z682" s="10" t="s">
        <v>1738</v>
      </c>
      <c r="AA682" s="8" t="s">
        <v>331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1093</v>
      </c>
      <c r="E683" s="8" t="s">
        <v>123</v>
      </c>
      <c r="F683" s="8" t="s">
        <v>2145</v>
      </c>
      <c r="G683" s="8" t="s">
        <v>1196</v>
      </c>
      <c r="H683" s="8" t="s">
        <v>1279</v>
      </c>
      <c r="I683" s="8" t="s">
        <v>1329</v>
      </c>
      <c r="J683" s="8" t="s">
        <v>1169</v>
      </c>
      <c r="K683" s="8" t="s">
        <v>1099</v>
      </c>
      <c r="L683" s="10" t="s">
        <v>1330</v>
      </c>
      <c r="M683" s="10" t="s">
        <v>1331</v>
      </c>
      <c r="N683" s="10"/>
      <c r="O683" s="8" t="s">
        <v>321</v>
      </c>
      <c r="P683" s="8"/>
      <c r="Q683" s="8"/>
      <c r="R683" s="8">
        <v>96600</v>
      </c>
      <c r="S683" s="8" t="s">
        <v>331</v>
      </c>
      <c r="T683" s="8"/>
      <c r="U683" s="8"/>
      <c r="V683" s="8"/>
      <c r="W683" s="8"/>
      <c r="X683" s="8"/>
      <c r="Y683" s="8"/>
      <c r="Z683" s="10" t="s">
        <v>1738</v>
      </c>
      <c r="AA683" s="8" t="s">
        <v>331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1093</v>
      </c>
      <c r="E684" s="8" t="s">
        <v>123</v>
      </c>
      <c r="F684" s="8" t="s">
        <v>2128</v>
      </c>
      <c r="G684" s="8" t="s">
        <v>1120</v>
      </c>
      <c r="H684" s="8" t="s">
        <v>1302</v>
      </c>
      <c r="I684" s="8" t="s">
        <v>2172</v>
      </c>
      <c r="J684" s="8" t="s">
        <v>1169</v>
      </c>
      <c r="K684" s="8" t="s">
        <v>1099</v>
      </c>
      <c r="L684" s="10" t="s">
        <v>1170</v>
      </c>
      <c r="M684" s="10" t="s">
        <v>2173</v>
      </c>
      <c r="N684" s="10" t="s">
        <v>2174</v>
      </c>
      <c r="O684" s="8" t="s">
        <v>1106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2175</v>
      </c>
      <c r="AA684" s="8" t="s">
        <v>331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1093</v>
      </c>
      <c r="E685" s="8" t="s">
        <v>123</v>
      </c>
      <c r="F685" s="8" t="s">
        <v>2128</v>
      </c>
      <c r="G685" s="8" t="s">
        <v>1317</v>
      </c>
      <c r="H685" s="8" t="s">
        <v>1258</v>
      </c>
      <c r="I685" s="8" t="s">
        <v>1334</v>
      </c>
      <c r="J685" s="8" t="s">
        <v>1169</v>
      </c>
      <c r="K685" s="8" t="s">
        <v>1099</v>
      </c>
      <c r="L685" s="10" t="s">
        <v>1170</v>
      </c>
      <c r="M685" s="10" t="s">
        <v>1335</v>
      </c>
      <c r="N685" s="10" t="s">
        <v>1336</v>
      </c>
      <c r="O685" s="8" t="s">
        <v>1106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2175</v>
      </c>
      <c r="AA685" s="8" t="s">
        <v>331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1093</v>
      </c>
      <c r="E686" s="8" t="s">
        <v>123</v>
      </c>
      <c r="F686" s="8" t="s">
        <v>2128</v>
      </c>
      <c r="G686" s="8" t="s">
        <v>1149</v>
      </c>
      <c r="H686" s="8" t="s">
        <v>1317</v>
      </c>
      <c r="I686" s="8" t="s">
        <v>2176</v>
      </c>
      <c r="J686" s="8" t="s">
        <v>1169</v>
      </c>
      <c r="K686" s="8" t="s">
        <v>1099</v>
      </c>
      <c r="L686" s="10" t="s">
        <v>1170</v>
      </c>
      <c r="M686" s="10" t="s">
        <v>2177</v>
      </c>
      <c r="N686" s="10" t="s">
        <v>2178</v>
      </c>
      <c r="O686" s="8" t="s">
        <v>1106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2175</v>
      </c>
      <c r="AA686" s="8" t="s">
        <v>331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1093</v>
      </c>
      <c r="E687" s="8" t="s">
        <v>123</v>
      </c>
      <c r="F687" s="8" t="s">
        <v>2048</v>
      </c>
      <c r="G687" s="8" t="s">
        <v>1303</v>
      </c>
      <c r="H687" s="8" t="s">
        <v>1342</v>
      </c>
      <c r="I687" s="8" t="s">
        <v>1338</v>
      </c>
      <c r="J687" s="8" t="s">
        <v>1169</v>
      </c>
      <c r="K687" s="8" t="s">
        <v>1099</v>
      </c>
      <c r="L687" s="10" t="s">
        <v>1186</v>
      </c>
      <c r="M687" s="10" t="s">
        <v>1339</v>
      </c>
      <c r="N687" s="10" t="s">
        <v>1340</v>
      </c>
      <c r="O687" s="8" t="s">
        <v>321</v>
      </c>
      <c r="P687" s="8"/>
      <c r="Q687" s="8"/>
      <c r="R687" s="8">
        <v>45670</v>
      </c>
      <c r="S687" s="8" t="s">
        <v>331</v>
      </c>
      <c r="T687" s="8"/>
      <c r="U687" s="8"/>
      <c r="V687" s="8"/>
      <c r="W687" s="8"/>
      <c r="X687" s="8"/>
      <c r="Y687" s="8"/>
      <c r="Z687" s="10" t="s">
        <v>1738</v>
      </c>
      <c r="AA687" s="8" t="s">
        <v>331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1093</v>
      </c>
      <c r="E688" s="8" t="s">
        <v>123</v>
      </c>
      <c r="F688" s="8" t="s">
        <v>2179</v>
      </c>
      <c r="G688" s="8" t="s">
        <v>1342</v>
      </c>
      <c r="H688" s="8" t="s">
        <v>2102</v>
      </c>
      <c r="I688" s="8" t="s">
        <v>1338</v>
      </c>
      <c r="J688" s="8" t="s">
        <v>1169</v>
      </c>
      <c r="K688" s="8" t="s">
        <v>1099</v>
      </c>
      <c r="L688" s="10" t="s">
        <v>1186</v>
      </c>
      <c r="M688" s="10" t="s">
        <v>1339</v>
      </c>
      <c r="N688" s="10" t="s">
        <v>1340</v>
      </c>
      <c r="O688" s="8" t="s">
        <v>362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2180</v>
      </c>
      <c r="AA688" s="8" t="s">
        <v>331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1093</v>
      </c>
      <c r="E689" s="8" t="s">
        <v>123</v>
      </c>
      <c r="F689" s="8" t="s">
        <v>2048</v>
      </c>
      <c r="G689" s="8" t="s">
        <v>1342</v>
      </c>
      <c r="H689" s="8" t="s">
        <v>1347</v>
      </c>
      <c r="I689" s="8" t="s">
        <v>1344</v>
      </c>
      <c r="J689" s="8" t="s">
        <v>1169</v>
      </c>
      <c r="K689" s="8" t="s">
        <v>1099</v>
      </c>
      <c r="L689" s="10" t="s">
        <v>1186</v>
      </c>
      <c r="M689" s="10" t="s">
        <v>1345</v>
      </c>
      <c r="N689" s="10" t="s">
        <v>1346</v>
      </c>
      <c r="O689" s="8" t="s">
        <v>321</v>
      </c>
      <c r="P689" s="8"/>
      <c r="Q689" s="8"/>
      <c r="R689" s="8">
        <v>75549</v>
      </c>
      <c r="S689" s="8" t="s">
        <v>331</v>
      </c>
      <c r="T689" s="8"/>
      <c r="U689" s="8"/>
      <c r="V689" s="8"/>
      <c r="W689" s="8"/>
      <c r="X689" s="8"/>
      <c r="Y689" s="8"/>
      <c r="Z689" s="10" t="s">
        <v>1738</v>
      </c>
      <c r="AA689" s="8" t="s">
        <v>331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1093</v>
      </c>
      <c r="E690" s="8" t="s">
        <v>123</v>
      </c>
      <c r="F690" s="8" t="s">
        <v>2165</v>
      </c>
      <c r="G690" s="8" t="s">
        <v>1317</v>
      </c>
      <c r="H690" s="8" t="s">
        <v>1273</v>
      </c>
      <c r="I690" s="8" t="s">
        <v>1349</v>
      </c>
      <c r="J690" s="8" t="s">
        <v>1193</v>
      </c>
      <c r="K690" s="8" t="s">
        <v>1099</v>
      </c>
      <c r="L690" s="10" t="s">
        <v>1350</v>
      </c>
      <c r="M690" s="10" t="s">
        <v>1351</v>
      </c>
      <c r="N690" s="10" t="s">
        <v>1352</v>
      </c>
      <c r="O690" s="8" t="s">
        <v>321</v>
      </c>
      <c r="P690" s="8"/>
      <c r="Q690" s="8"/>
      <c r="R690" s="8">
        <v>141355</v>
      </c>
      <c r="S690" s="8" t="s">
        <v>331</v>
      </c>
      <c r="T690" s="8"/>
      <c r="U690" s="8"/>
      <c r="V690" s="8"/>
      <c r="W690" s="8"/>
      <c r="X690" s="8"/>
      <c r="Y690" s="8"/>
      <c r="Z690" s="10" t="s">
        <v>1738</v>
      </c>
      <c r="AA690" s="8" t="s">
        <v>331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1093</v>
      </c>
      <c r="E691" s="8" t="s">
        <v>123</v>
      </c>
      <c r="F691" s="8" t="s">
        <v>2165</v>
      </c>
      <c r="G691" s="8" t="s">
        <v>1273</v>
      </c>
      <c r="H691" s="8" t="s">
        <v>1258</v>
      </c>
      <c r="I691" s="8" t="s">
        <v>1356</v>
      </c>
      <c r="J691" s="8" t="s">
        <v>1193</v>
      </c>
      <c r="K691" s="8" t="s">
        <v>1099</v>
      </c>
      <c r="L691" s="10" t="s">
        <v>1350</v>
      </c>
      <c r="M691" s="10" t="s">
        <v>1357</v>
      </c>
      <c r="N691" s="10" t="s">
        <v>1358</v>
      </c>
      <c r="O691" s="8" t="s">
        <v>321</v>
      </c>
      <c r="P691" s="8"/>
      <c r="Q691" s="8"/>
      <c r="R691" s="8">
        <v>124717</v>
      </c>
      <c r="S691" s="8" t="s">
        <v>331</v>
      </c>
      <c r="T691" s="8"/>
      <c r="U691" s="8"/>
      <c r="V691" s="8"/>
      <c r="W691" s="8"/>
      <c r="X691" s="8"/>
      <c r="Y691" s="8"/>
      <c r="Z691" s="10" t="s">
        <v>1738</v>
      </c>
      <c r="AA691" s="8" t="s">
        <v>331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1093</v>
      </c>
      <c r="E692" s="8" t="s">
        <v>123</v>
      </c>
      <c r="F692" s="8" t="s">
        <v>2165</v>
      </c>
      <c r="G692" s="8" t="s">
        <v>1120</v>
      </c>
      <c r="H692" s="8" t="s">
        <v>1302</v>
      </c>
      <c r="I692" s="8" t="s">
        <v>1356</v>
      </c>
      <c r="J692" s="8" t="s">
        <v>1193</v>
      </c>
      <c r="K692" s="8" t="s">
        <v>1099</v>
      </c>
      <c r="L692" s="10" t="s">
        <v>1350</v>
      </c>
      <c r="M692" s="10" t="s">
        <v>1357</v>
      </c>
      <c r="N692" s="10" t="s">
        <v>1358</v>
      </c>
      <c r="O692" s="8" t="s">
        <v>362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1665</v>
      </c>
      <c r="AA692" s="8" t="s">
        <v>331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1093</v>
      </c>
      <c r="E693" s="8" t="s">
        <v>123</v>
      </c>
      <c r="F693" s="8" t="s">
        <v>2159</v>
      </c>
      <c r="G693" s="8" t="s">
        <v>1372</v>
      </c>
      <c r="H693" s="8" t="s">
        <v>1694</v>
      </c>
      <c r="I693" s="8" t="s">
        <v>1356</v>
      </c>
      <c r="J693" s="8" t="s">
        <v>1193</v>
      </c>
      <c r="K693" s="8" t="s">
        <v>1099</v>
      </c>
      <c r="L693" s="10" t="s">
        <v>1350</v>
      </c>
      <c r="M693" s="10" t="s">
        <v>1357</v>
      </c>
      <c r="N693" s="10" t="s">
        <v>1358</v>
      </c>
      <c r="O693" s="8" t="s">
        <v>321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331</v>
      </c>
      <c r="Z693" s="10" t="s">
        <v>2181</v>
      </c>
      <c r="AA693" s="8" t="s">
        <v>331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1093</v>
      </c>
      <c r="E694" s="8" t="s">
        <v>123</v>
      </c>
      <c r="F694" s="8" t="s">
        <v>2127</v>
      </c>
      <c r="G694" s="8" t="s">
        <v>1166</v>
      </c>
      <c r="H694" s="8" t="s">
        <v>1120</v>
      </c>
      <c r="I694" s="8" t="s">
        <v>1363</v>
      </c>
      <c r="J694" s="8" t="s">
        <v>1193</v>
      </c>
      <c r="K694" s="8" t="s">
        <v>1099</v>
      </c>
      <c r="L694" s="10" t="s">
        <v>1364</v>
      </c>
      <c r="M694" s="10" t="s">
        <v>1365</v>
      </c>
      <c r="N694" s="10"/>
      <c r="O694" s="8" t="s">
        <v>321</v>
      </c>
      <c r="P694" s="8"/>
      <c r="Q694" s="8"/>
      <c r="R694" s="8">
        <v>44000</v>
      </c>
      <c r="S694" s="8" t="s">
        <v>331</v>
      </c>
      <c r="T694" s="8"/>
      <c r="U694" s="8"/>
      <c r="V694" s="8"/>
      <c r="W694" s="8"/>
      <c r="X694" s="8"/>
      <c r="Y694" s="8"/>
      <c r="Z694" s="10" t="s">
        <v>1738</v>
      </c>
      <c r="AA694" s="8" t="s">
        <v>331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1093</v>
      </c>
      <c r="E695" s="8" t="s">
        <v>123</v>
      </c>
      <c r="F695" s="8" t="s">
        <v>2165</v>
      </c>
      <c r="G695" s="8" t="s">
        <v>1266</v>
      </c>
      <c r="H695" s="8" t="s">
        <v>1279</v>
      </c>
      <c r="I695" s="8" t="s">
        <v>1377</v>
      </c>
      <c r="J695" s="8" t="s">
        <v>1193</v>
      </c>
      <c r="K695" s="8" t="s">
        <v>1099</v>
      </c>
      <c r="L695" s="10" t="s">
        <v>1378</v>
      </c>
      <c r="M695" s="10" t="s">
        <v>1379</v>
      </c>
      <c r="N695" s="10" t="s">
        <v>1380</v>
      </c>
      <c r="O695" s="8" t="s">
        <v>321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331</v>
      </c>
      <c r="Z695" s="10" t="s">
        <v>2182</v>
      </c>
      <c r="AA695" s="8" t="s">
        <v>331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1093</v>
      </c>
      <c r="E696" s="8" t="s">
        <v>123</v>
      </c>
      <c r="F696" s="8" t="s">
        <v>2048</v>
      </c>
      <c r="G696" s="8" t="s">
        <v>1302</v>
      </c>
      <c r="H696" s="8" t="s">
        <v>1303</v>
      </c>
      <c r="I696" s="8" t="s">
        <v>2088</v>
      </c>
      <c r="J696" s="8" t="s">
        <v>1193</v>
      </c>
      <c r="K696" s="8" t="s">
        <v>1099</v>
      </c>
      <c r="L696" s="10" t="s">
        <v>1186</v>
      </c>
      <c r="M696" s="10" t="s">
        <v>1412</v>
      </c>
      <c r="N696" s="10" t="s">
        <v>1413</v>
      </c>
      <c r="O696" s="8" t="s">
        <v>321</v>
      </c>
      <c r="P696" s="8"/>
      <c r="Q696" s="8"/>
      <c r="R696" s="8">
        <v>1203</v>
      </c>
      <c r="S696" s="8" t="s">
        <v>331</v>
      </c>
      <c r="T696" s="8"/>
      <c r="U696" s="8"/>
      <c r="V696" s="8"/>
      <c r="W696" s="8"/>
      <c r="X696" s="8"/>
      <c r="Y696" s="8"/>
      <c r="Z696" s="10" t="s">
        <v>1738</v>
      </c>
      <c r="AA696" s="8" t="s">
        <v>331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1093</v>
      </c>
      <c r="E697" s="8" t="s">
        <v>123</v>
      </c>
      <c r="F697" s="8" t="s">
        <v>2142</v>
      </c>
      <c r="G697" s="8" t="s">
        <v>1279</v>
      </c>
      <c r="H697" s="8" t="s">
        <v>1149</v>
      </c>
      <c r="I697" s="8" t="s">
        <v>1386</v>
      </c>
      <c r="J697" s="8" t="s">
        <v>1387</v>
      </c>
      <c r="K697" s="8" t="s">
        <v>1099</v>
      </c>
      <c r="L697" s="10" t="s">
        <v>1388</v>
      </c>
      <c r="M697" s="10" t="s">
        <v>1326</v>
      </c>
      <c r="N697" s="10" t="s">
        <v>1358</v>
      </c>
      <c r="O697" s="8" t="s">
        <v>321</v>
      </c>
      <c r="P697" s="8"/>
      <c r="Q697" s="8"/>
      <c r="R697" s="8">
        <v>73694</v>
      </c>
      <c r="S697" s="8" t="s">
        <v>331</v>
      </c>
      <c r="T697" s="8"/>
      <c r="U697" s="8"/>
      <c r="V697" s="8"/>
      <c r="W697" s="8"/>
      <c r="X697" s="8"/>
      <c r="Y697" s="8"/>
      <c r="Z697" s="10" t="s">
        <v>1738</v>
      </c>
      <c r="AA697" s="8" t="s">
        <v>331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1093</v>
      </c>
      <c r="E698" s="8" t="s">
        <v>123</v>
      </c>
      <c r="F698" s="8" t="s">
        <v>2128</v>
      </c>
      <c r="G698" s="8" t="s">
        <v>1342</v>
      </c>
      <c r="H698" s="8" t="s">
        <v>1348</v>
      </c>
      <c r="I698" s="8" t="s">
        <v>1757</v>
      </c>
      <c r="J698" s="8" t="s">
        <v>1204</v>
      </c>
      <c r="K698" s="8" t="s">
        <v>1099</v>
      </c>
      <c r="L698" s="10" t="s">
        <v>1758</v>
      </c>
      <c r="M698" s="10" t="s">
        <v>2130</v>
      </c>
      <c r="N698" s="10" t="s">
        <v>2131</v>
      </c>
      <c r="O698" s="8" t="s">
        <v>1106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2175</v>
      </c>
      <c r="AA698" s="8" t="s">
        <v>331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1093</v>
      </c>
      <c r="E699" s="8" t="s">
        <v>123</v>
      </c>
      <c r="F699" s="8" t="s">
        <v>2128</v>
      </c>
      <c r="G699" s="8" t="s">
        <v>1302</v>
      </c>
      <c r="H699" s="8" t="s">
        <v>1342</v>
      </c>
      <c r="I699" s="8" t="s">
        <v>1766</v>
      </c>
      <c r="J699" s="8" t="s">
        <v>1204</v>
      </c>
      <c r="K699" s="8" t="s">
        <v>1099</v>
      </c>
      <c r="L699" s="10" t="s">
        <v>1170</v>
      </c>
      <c r="M699" s="10" t="s">
        <v>1767</v>
      </c>
      <c r="N699" s="10" t="s">
        <v>1768</v>
      </c>
      <c r="O699" s="8" t="s">
        <v>1106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2175</v>
      </c>
      <c r="AA699" s="8" t="s">
        <v>331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1093</v>
      </c>
      <c r="E700" s="8" t="s">
        <v>123</v>
      </c>
      <c r="F700" s="8" t="s">
        <v>2142</v>
      </c>
      <c r="G700" s="8" t="s">
        <v>1284</v>
      </c>
      <c r="H700" s="8" t="s">
        <v>2183</v>
      </c>
      <c r="I700" s="8" t="s">
        <v>1390</v>
      </c>
      <c r="J700" s="8" t="s">
        <v>1204</v>
      </c>
      <c r="K700" s="8" t="s">
        <v>1099</v>
      </c>
      <c r="L700" s="10" t="s">
        <v>1305</v>
      </c>
      <c r="M700" s="10" t="s">
        <v>1391</v>
      </c>
      <c r="N700" s="10" t="s">
        <v>1392</v>
      </c>
      <c r="O700" s="8" t="s">
        <v>362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2184</v>
      </c>
      <c r="AA700" s="8" t="s">
        <v>331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1093</v>
      </c>
      <c r="E701" s="8" t="s">
        <v>123</v>
      </c>
      <c r="F701" s="8" t="s">
        <v>2145</v>
      </c>
      <c r="G701" s="8" t="s">
        <v>1166</v>
      </c>
      <c r="H701" s="8" t="s">
        <v>1525</v>
      </c>
      <c r="I701" s="8" t="s">
        <v>1390</v>
      </c>
      <c r="J701" s="8" t="s">
        <v>1204</v>
      </c>
      <c r="K701" s="8" t="s">
        <v>1099</v>
      </c>
      <c r="L701" s="10" t="s">
        <v>1305</v>
      </c>
      <c r="M701" s="10" t="s">
        <v>1391</v>
      </c>
      <c r="N701" s="10" t="s">
        <v>1392</v>
      </c>
      <c r="O701" s="8" t="s">
        <v>362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2185</v>
      </c>
      <c r="AA701" s="8" t="s">
        <v>331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1093</v>
      </c>
      <c r="E702" s="8" t="s">
        <v>123</v>
      </c>
      <c r="F702" s="8" t="s">
        <v>2128</v>
      </c>
      <c r="G702" s="8" t="s">
        <v>1196</v>
      </c>
      <c r="H702" s="8" t="s">
        <v>1149</v>
      </c>
      <c r="I702" s="8" t="s">
        <v>1394</v>
      </c>
      <c r="J702" s="8" t="s">
        <v>1204</v>
      </c>
      <c r="K702" s="8" t="s">
        <v>1099</v>
      </c>
      <c r="L702" s="10" t="s">
        <v>1170</v>
      </c>
      <c r="M702" s="10" t="s">
        <v>1395</v>
      </c>
      <c r="N702" s="10" t="s">
        <v>1396</v>
      </c>
      <c r="O702" s="8" t="s">
        <v>1106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2175</v>
      </c>
      <c r="AA702" s="8" t="s">
        <v>331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1093</v>
      </c>
      <c r="E703" s="8" t="s">
        <v>123</v>
      </c>
      <c r="F703" s="8" t="s">
        <v>2115</v>
      </c>
      <c r="G703" s="8" t="s">
        <v>1166</v>
      </c>
      <c r="H703" s="8" t="s">
        <v>1120</v>
      </c>
      <c r="I703" s="8" t="s">
        <v>1398</v>
      </c>
      <c r="J703" s="8" t="s">
        <v>1204</v>
      </c>
      <c r="K703" s="8" t="s">
        <v>1099</v>
      </c>
      <c r="L703" s="10" t="s">
        <v>1399</v>
      </c>
      <c r="M703" s="10" t="s">
        <v>1400</v>
      </c>
      <c r="N703" s="10" t="s">
        <v>1401</v>
      </c>
      <c r="O703" s="8" t="s">
        <v>321</v>
      </c>
      <c r="P703" s="8">
        <v>1572</v>
      </c>
      <c r="Q703" s="8">
        <v>4250</v>
      </c>
      <c r="R703" s="8">
        <v>28898</v>
      </c>
      <c r="S703" s="8" t="s">
        <v>331</v>
      </c>
      <c r="T703" s="8"/>
      <c r="U703" s="8"/>
      <c r="V703" s="8"/>
      <c r="W703" s="8"/>
      <c r="X703" s="8"/>
      <c r="Y703" s="8"/>
      <c r="Z703" s="10" t="s">
        <v>1738</v>
      </c>
      <c r="AA703" s="8" t="s">
        <v>331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1093</v>
      </c>
      <c r="E704" s="8" t="s">
        <v>123</v>
      </c>
      <c r="F704" s="8" t="s">
        <v>2113</v>
      </c>
      <c r="G704" s="8" t="s">
        <v>1372</v>
      </c>
      <c r="H704" s="8" t="s">
        <v>1534</v>
      </c>
      <c r="I704" s="8" t="s">
        <v>1403</v>
      </c>
      <c r="J704" s="8" t="s">
        <v>1204</v>
      </c>
      <c r="K704" s="8" t="s">
        <v>1099</v>
      </c>
      <c r="L704" s="10" t="s">
        <v>1404</v>
      </c>
      <c r="M704" s="10" t="s">
        <v>1405</v>
      </c>
      <c r="N704" s="10" t="s">
        <v>1406</v>
      </c>
      <c r="O704" s="8" t="s">
        <v>362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2186</v>
      </c>
      <c r="AA704" s="8" t="s">
        <v>331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1093</v>
      </c>
      <c r="E705" s="8" t="s">
        <v>123</v>
      </c>
      <c r="F705" s="8" t="s">
        <v>2122</v>
      </c>
      <c r="G705" s="8" t="s">
        <v>1284</v>
      </c>
      <c r="H705" s="8" t="s">
        <v>1348</v>
      </c>
      <c r="I705" s="8" t="s">
        <v>2187</v>
      </c>
      <c r="J705" s="8" t="s">
        <v>1204</v>
      </c>
      <c r="K705" s="8" t="s">
        <v>1099</v>
      </c>
      <c r="L705" s="10" t="s">
        <v>1170</v>
      </c>
      <c r="M705" s="10" t="s">
        <v>2188</v>
      </c>
      <c r="N705" s="10" t="s">
        <v>2189</v>
      </c>
      <c r="O705" s="8" t="s">
        <v>321</v>
      </c>
      <c r="P705" s="8"/>
      <c r="Q705" s="8">
        <v>27654</v>
      </c>
      <c r="R705" s="8">
        <v>127975</v>
      </c>
      <c r="S705" s="8"/>
      <c r="T705" s="8" t="s">
        <v>331</v>
      </c>
      <c r="U705" s="8"/>
      <c r="V705" s="8"/>
      <c r="W705" s="8"/>
      <c r="X705" s="8"/>
      <c r="Y705" s="8" t="s">
        <v>331</v>
      </c>
      <c r="Z705" s="10" t="s">
        <v>2190</v>
      </c>
      <c r="AA705" s="8" t="s">
        <v>331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1093</v>
      </c>
      <c r="E706" s="8" t="s">
        <v>123</v>
      </c>
      <c r="F706" s="8" t="s">
        <v>2128</v>
      </c>
      <c r="G706" s="8" t="s">
        <v>1284</v>
      </c>
      <c r="H706" s="8" t="s">
        <v>1120</v>
      </c>
      <c r="I706" s="8" t="s">
        <v>2187</v>
      </c>
      <c r="J706" s="8" t="s">
        <v>1204</v>
      </c>
      <c r="K706" s="8" t="s">
        <v>1099</v>
      </c>
      <c r="L706" s="10" t="s">
        <v>1170</v>
      </c>
      <c r="M706" s="10" t="s">
        <v>2188</v>
      </c>
      <c r="N706" s="10" t="s">
        <v>2189</v>
      </c>
      <c r="O706" s="8" t="s">
        <v>1106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2175</v>
      </c>
      <c r="AA706" s="8" t="s">
        <v>331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1093</v>
      </c>
      <c r="E707" s="8" t="s">
        <v>123</v>
      </c>
      <c r="F707" s="8" t="s">
        <v>2125</v>
      </c>
      <c r="G707" s="8" t="s">
        <v>1196</v>
      </c>
      <c r="H707" s="8" t="s">
        <v>2191</v>
      </c>
      <c r="I707" s="8" t="s">
        <v>1418</v>
      </c>
      <c r="J707" s="8" t="s">
        <v>1214</v>
      </c>
      <c r="K707" s="8" t="s">
        <v>1099</v>
      </c>
      <c r="L707" s="10" t="s">
        <v>1419</v>
      </c>
      <c r="M707" s="10" t="s">
        <v>1420</v>
      </c>
      <c r="N707" s="10" t="s">
        <v>216</v>
      </c>
      <c r="O707" s="8" t="s">
        <v>362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2192</v>
      </c>
      <c r="AA707" s="8" t="s">
        <v>331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1093</v>
      </c>
      <c r="E708" s="8" t="s">
        <v>123</v>
      </c>
      <c r="F708" s="8" t="s">
        <v>2150</v>
      </c>
      <c r="G708" s="8" t="s">
        <v>1302</v>
      </c>
      <c r="H708" s="8" t="s">
        <v>1746</v>
      </c>
      <c r="I708" s="8" t="s">
        <v>1426</v>
      </c>
      <c r="J708" s="8" t="s">
        <v>1214</v>
      </c>
      <c r="K708" s="8" t="s">
        <v>1099</v>
      </c>
      <c r="L708" s="10" t="s">
        <v>1314</v>
      </c>
      <c r="M708" s="10" t="s">
        <v>1427</v>
      </c>
      <c r="N708" s="10" t="s">
        <v>1428</v>
      </c>
      <c r="O708" s="8" t="s">
        <v>321</v>
      </c>
      <c r="P708" s="8"/>
      <c r="Q708" s="8"/>
      <c r="R708" s="8">
        <v>11244</v>
      </c>
      <c r="S708" s="8" t="s">
        <v>331</v>
      </c>
      <c r="T708" s="8"/>
      <c r="U708" s="8"/>
      <c r="V708" s="8"/>
      <c r="W708" s="8"/>
      <c r="X708" s="8"/>
      <c r="Y708" s="8"/>
      <c r="Z708" s="10" t="s">
        <v>1738</v>
      </c>
      <c r="AA708" s="8" t="s">
        <v>331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1093</v>
      </c>
      <c r="E709" s="8" t="s">
        <v>123</v>
      </c>
      <c r="F709" s="8" t="s">
        <v>2165</v>
      </c>
      <c r="G709" s="8" t="s">
        <v>1302</v>
      </c>
      <c r="H709" s="8" t="s">
        <v>1765</v>
      </c>
      <c r="I709" s="8" t="s">
        <v>1429</v>
      </c>
      <c r="J709" s="8" t="s">
        <v>1214</v>
      </c>
      <c r="K709" s="8" t="s">
        <v>1099</v>
      </c>
      <c r="L709" s="10" t="s">
        <v>1314</v>
      </c>
      <c r="M709" s="10" t="s">
        <v>1430</v>
      </c>
      <c r="N709" s="10" t="s">
        <v>1295</v>
      </c>
      <c r="O709" s="8" t="s">
        <v>321</v>
      </c>
      <c r="P709" s="8"/>
      <c r="Q709" s="8"/>
      <c r="R709" s="8">
        <v>142003</v>
      </c>
      <c r="S709" s="8"/>
      <c r="T709" s="8"/>
      <c r="U709" s="8" t="s">
        <v>331</v>
      </c>
      <c r="V709" s="8"/>
      <c r="W709" s="8"/>
      <c r="X709" s="8"/>
      <c r="Y709" s="8"/>
      <c r="Z709" s="10" t="s">
        <v>1278</v>
      </c>
      <c r="AA709" s="8" t="s">
        <v>331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1093</v>
      </c>
      <c r="E710" s="8" t="s">
        <v>123</v>
      </c>
      <c r="F710" s="8" t="s">
        <v>2150</v>
      </c>
      <c r="G710" s="8" t="s">
        <v>1948</v>
      </c>
      <c r="H710" s="8" t="s">
        <v>1227</v>
      </c>
      <c r="I710" s="8" t="s">
        <v>1429</v>
      </c>
      <c r="J710" s="8" t="s">
        <v>1214</v>
      </c>
      <c r="K710" s="8" t="s">
        <v>1099</v>
      </c>
      <c r="L710" s="10" t="s">
        <v>1314</v>
      </c>
      <c r="M710" s="10" t="s">
        <v>1430</v>
      </c>
      <c r="N710" s="10" t="s">
        <v>1295</v>
      </c>
      <c r="O710" s="8" t="s">
        <v>321</v>
      </c>
      <c r="P710" s="8"/>
      <c r="Q710" s="8"/>
      <c r="R710" s="8">
        <v>144678</v>
      </c>
      <c r="S710" s="8" t="s">
        <v>331</v>
      </c>
      <c r="T710" s="8"/>
      <c r="U710" s="8"/>
      <c r="V710" s="8"/>
      <c r="W710" s="8"/>
      <c r="X710" s="8"/>
      <c r="Y710" s="8"/>
      <c r="Z710" s="10" t="s">
        <v>1738</v>
      </c>
      <c r="AA710" s="8" t="s">
        <v>331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1093</v>
      </c>
      <c r="E711" s="8" t="s">
        <v>123</v>
      </c>
      <c r="F711" s="8" t="s">
        <v>2165</v>
      </c>
      <c r="G711" s="8" t="s">
        <v>1505</v>
      </c>
      <c r="H711" s="8" t="s">
        <v>1342</v>
      </c>
      <c r="I711" s="8" t="s">
        <v>1434</v>
      </c>
      <c r="J711" s="8" t="s">
        <v>1214</v>
      </c>
      <c r="K711" s="8" t="s">
        <v>1099</v>
      </c>
      <c r="L711" s="10" t="s">
        <v>1314</v>
      </c>
      <c r="M711" s="10" t="s">
        <v>1435</v>
      </c>
      <c r="N711" s="10" t="s">
        <v>1436</v>
      </c>
      <c r="O711" s="8" t="s">
        <v>321</v>
      </c>
      <c r="P711" s="8"/>
      <c r="Q711" s="8"/>
      <c r="R711" s="8">
        <v>242354</v>
      </c>
      <c r="S711" s="8"/>
      <c r="T711" s="8"/>
      <c r="U711" s="8" t="s">
        <v>331</v>
      </c>
      <c r="V711" s="8"/>
      <c r="W711" s="8"/>
      <c r="X711" s="8"/>
      <c r="Y711" s="8"/>
      <c r="Z711" s="10" t="s">
        <v>1278</v>
      </c>
      <c r="AA711" s="8" t="s">
        <v>331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1093</v>
      </c>
      <c r="E712" s="8" t="s">
        <v>123</v>
      </c>
      <c r="F712" s="8" t="s">
        <v>2150</v>
      </c>
      <c r="G712" s="8" t="s">
        <v>1120</v>
      </c>
      <c r="H712" s="8" t="s">
        <v>1245</v>
      </c>
      <c r="I712" s="8" t="s">
        <v>1434</v>
      </c>
      <c r="J712" s="8" t="s">
        <v>1214</v>
      </c>
      <c r="K712" s="8" t="s">
        <v>1099</v>
      </c>
      <c r="L712" s="10" t="s">
        <v>1314</v>
      </c>
      <c r="M712" s="10" t="s">
        <v>1435</v>
      </c>
      <c r="N712" s="10" t="s">
        <v>1436</v>
      </c>
      <c r="O712" s="8" t="s">
        <v>321</v>
      </c>
      <c r="P712" s="8"/>
      <c r="Q712" s="8"/>
      <c r="R712" s="8">
        <v>251675</v>
      </c>
      <c r="S712" s="8" t="s">
        <v>331</v>
      </c>
      <c r="T712" s="8"/>
      <c r="U712" s="8"/>
      <c r="V712" s="8"/>
      <c r="W712" s="8"/>
      <c r="X712" s="8"/>
      <c r="Y712" s="8"/>
      <c r="Z712" s="10" t="s">
        <v>1738</v>
      </c>
      <c r="AA712" s="8" t="s">
        <v>331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1093</v>
      </c>
      <c r="E713" s="8" t="s">
        <v>123</v>
      </c>
      <c r="F713" s="8" t="s">
        <v>2165</v>
      </c>
      <c r="G713" s="8" t="s">
        <v>1342</v>
      </c>
      <c r="H713" s="8" t="s">
        <v>1994</v>
      </c>
      <c r="I713" s="8" t="s">
        <v>1437</v>
      </c>
      <c r="J713" s="8" t="s">
        <v>1214</v>
      </c>
      <c r="K713" s="8" t="s">
        <v>1099</v>
      </c>
      <c r="L713" s="10" t="s">
        <v>1314</v>
      </c>
      <c r="M713" s="10" t="s">
        <v>1438</v>
      </c>
      <c r="N713" s="10" t="s">
        <v>1439</v>
      </c>
      <c r="O713" s="8" t="s">
        <v>321</v>
      </c>
      <c r="P713" s="8"/>
      <c r="Q713" s="8"/>
      <c r="R713" s="8">
        <v>118487</v>
      </c>
      <c r="S713" s="8"/>
      <c r="T713" s="8"/>
      <c r="U713" s="8" t="s">
        <v>331</v>
      </c>
      <c r="V713" s="8"/>
      <c r="W713" s="8"/>
      <c r="X713" s="8"/>
      <c r="Y713" s="8"/>
      <c r="Z713" s="10" t="s">
        <v>1278</v>
      </c>
      <c r="AA713" s="8" t="s">
        <v>331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1093</v>
      </c>
      <c r="E714" s="8" t="s">
        <v>123</v>
      </c>
      <c r="F714" s="8" t="s">
        <v>2150</v>
      </c>
      <c r="G714" s="8" t="s">
        <v>1571</v>
      </c>
      <c r="H714" s="8" t="s">
        <v>1302</v>
      </c>
      <c r="I714" s="8" t="s">
        <v>1437</v>
      </c>
      <c r="J714" s="8" t="s">
        <v>1214</v>
      </c>
      <c r="K714" s="8" t="s">
        <v>1099</v>
      </c>
      <c r="L714" s="10" t="s">
        <v>1314</v>
      </c>
      <c r="M714" s="10" t="s">
        <v>1438</v>
      </c>
      <c r="N714" s="10" t="s">
        <v>1439</v>
      </c>
      <c r="O714" s="8" t="s">
        <v>321</v>
      </c>
      <c r="P714" s="8"/>
      <c r="Q714" s="8"/>
      <c r="R714" s="8">
        <v>122901</v>
      </c>
      <c r="S714" s="8" t="s">
        <v>331</v>
      </c>
      <c r="T714" s="8"/>
      <c r="U714" s="8"/>
      <c r="V714" s="8"/>
      <c r="W714" s="8"/>
      <c r="X714" s="8"/>
      <c r="Y714" s="8"/>
      <c r="Z714" s="10" t="s">
        <v>1738</v>
      </c>
      <c r="AA714" s="8" t="s">
        <v>331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1093</v>
      </c>
      <c r="E715" s="8" t="s">
        <v>123</v>
      </c>
      <c r="F715" s="8" t="s">
        <v>2153</v>
      </c>
      <c r="G715" s="8" t="s">
        <v>1266</v>
      </c>
      <c r="H715" s="8" t="s">
        <v>1279</v>
      </c>
      <c r="I715" s="8" t="s">
        <v>1437</v>
      </c>
      <c r="J715" s="8" t="s">
        <v>1214</v>
      </c>
      <c r="K715" s="8" t="s">
        <v>1099</v>
      </c>
      <c r="L715" s="10" t="s">
        <v>1314</v>
      </c>
      <c r="M715" s="10" t="s">
        <v>1438</v>
      </c>
      <c r="N715" s="10" t="s">
        <v>1439</v>
      </c>
      <c r="O715" s="8" t="s">
        <v>362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2193</v>
      </c>
      <c r="AA715" s="8" t="s">
        <v>331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1093</v>
      </c>
      <c r="E716" s="8" t="s">
        <v>123</v>
      </c>
      <c r="F716" s="8" t="s">
        <v>2127</v>
      </c>
      <c r="G716" s="8" t="s">
        <v>1266</v>
      </c>
      <c r="H716" s="8" t="s">
        <v>1279</v>
      </c>
      <c r="I716" s="8" t="s">
        <v>1437</v>
      </c>
      <c r="J716" s="8" t="s">
        <v>1214</v>
      </c>
      <c r="K716" s="8" t="s">
        <v>1099</v>
      </c>
      <c r="L716" s="10" t="s">
        <v>1314</v>
      </c>
      <c r="M716" s="10" t="s">
        <v>1438</v>
      </c>
      <c r="N716" s="10" t="s">
        <v>1439</v>
      </c>
      <c r="O716" s="8" t="s">
        <v>321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331</v>
      </c>
      <c r="Z716" s="10" t="s">
        <v>2169</v>
      </c>
      <c r="AA716" s="8" t="s">
        <v>331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1093</v>
      </c>
      <c r="E717" s="8" t="s">
        <v>123</v>
      </c>
      <c r="F717" s="8" t="s">
        <v>2165</v>
      </c>
      <c r="G717" s="8" t="s">
        <v>1279</v>
      </c>
      <c r="H717" s="8" t="s">
        <v>1682</v>
      </c>
      <c r="I717" s="8" t="s">
        <v>1441</v>
      </c>
      <c r="J717" s="8" t="s">
        <v>1214</v>
      </c>
      <c r="K717" s="8" t="s">
        <v>1099</v>
      </c>
      <c r="L717" s="10" t="s">
        <v>1378</v>
      </c>
      <c r="M717" s="10" t="s">
        <v>1442</v>
      </c>
      <c r="N717" s="10" t="s">
        <v>1424</v>
      </c>
      <c r="O717" s="8" t="s">
        <v>321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331</v>
      </c>
      <c r="Z717" s="10" t="s">
        <v>2194</v>
      </c>
      <c r="AA717" s="8" t="s">
        <v>331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1093</v>
      </c>
      <c r="E718" s="8" t="s">
        <v>123</v>
      </c>
      <c r="F718" s="8" t="s">
        <v>2150</v>
      </c>
      <c r="G718" s="8" t="s">
        <v>1227</v>
      </c>
      <c r="H718" s="8" t="s">
        <v>1120</v>
      </c>
      <c r="I718" s="8" t="s">
        <v>1450</v>
      </c>
      <c r="J718" s="8" t="s">
        <v>1214</v>
      </c>
      <c r="K718" s="8" t="s">
        <v>1099</v>
      </c>
      <c r="L718" s="10" t="s">
        <v>1314</v>
      </c>
      <c r="M718" s="10" t="s">
        <v>1451</v>
      </c>
      <c r="N718" s="10" t="s">
        <v>1410</v>
      </c>
      <c r="O718" s="8" t="s">
        <v>321</v>
      </c>
      <c r="P718" s="8"/>
      <c r="Q718" s="8"/>
      <c r="R718" s="8">
        <v>192803</v>
      </c>
      <c r="S718" s="8" t="s">
        <v>331</v>
      </c>
      <c r="T718" s="8"/>
      <c r="U718" s="8"/>
      <c r="V718" s="8"/>
      <c r="W718" s="8"/>
      <c r="X718" s="8"/>
      <c r="Y718" s="8"/>
      <c r="Z718" s="10" t="s">
        <v>1738</v>
      </c>
      <c r="AA718" s="8" t="s">
        <v>331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1093</v>
      </c>
      <c r="E719" s="8" t="s">
        <v>123</v>
      </c>
      <c r="F719" s="8" t="s">
        <v>2118</v>
      </c>
      <c r="G719" s="8" t="s">
        <v>1297</v>
      </c>
      <c r="H719" s="8" t="s">
        <v>1273</v>
      </c>
      <c r="I719" s="8" t="s">
        <v>1450</v>
      </c>
      <c r="J719" s="8" t="s">
        <v>1214</v>
      </c>
      <c r="K719" s="8" t="s">
        <v>1099</v>
      </c>
      <c r="L719" s="10" t="s">
        <v>1314</v>
      </c>
      <c r="M719" s="10" t="s">
        <v>1451</v>
      </c>
      <c r="N719" s="10" t="s">
        <v>1410</v>
      </c>
      <c r="O719" s="8" t="s">
        <v>321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331</v>
      </c>
      <c r="Z719" s="10" t="s">
        <v>2195</v>
      </c>
      <c r="AA719" s="8" t="s">
        <v>331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1093</v>
      </c>
      <c r="E720" s="8" t="s">
        <v>123</v>
      </c>
      <c r="F720" s="8" t="s">
        <v>2127</v>
      </c>
      <c r="G720" s="8" t="s">
        <v>1279</v>
      </c>
      <c r="H720" s="8" t="s">
        <v>1297</v>
      </c>
      <c r="I720" s="8" t="s">
        <v>1452</v>
      </c>
      <c r="J720" s="8" t="s">
        <v>1214</v>
      </c>
      <c r="K720" s="8" t="s">
        <v>1099</v>
      </c>
      <c r="L720" s="10" t="s">
        <v>1453</v>
      </c>
      <c r="M720" s="10" t="s">
        <v>1454</v>
      </c>
      <c r="N720" s="10"/>
      <c r="O720" s="8" t="s">
        <v>321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331</v>
      </c>
      <c r="Z720" s="10" t="s">
        <v>2196</v>
      </c>
      <c r="AA720" s="8" t="s">
        <v>331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1093</v>
      </c>
      <c r="E721" s="8" t="s">
        <v>123</v>
      </c>
      <c r="F721" s="8" t="s">
        <v>2149</v>
      </c>
      <c r="G721" s="8" t="s">
        <v>1266</v>
      </c>
      <c r="H721" s="8" t="s">
        <v>1196</v>
      </c>
      <c r="I721" s="8" t="s">
        <v>1452</v>
      </c>
      <c r="J721" s="8" t="s">
        <v>1214</v>
      </c>
      <c r="K721" s="8" t="s">
        <v>1099</v>
      </c>
      <c r="L721" s="10" t="s">
        <v>1453</v>
      </c>
      <c r="M721" s="10" t="s">
        <v>1454</v>
      </c>
      <c r="N721" s="10"/>
      <c r="O721" s="8" t="s">
        <v>321</v>
      </c>
      <c r="P721" s="8"/>
      <c r="Q721" s="8"/>
      <c r="R721" s="8">
        <v>129158</v>
      </c>
      <c r="S721" s="8" t="s">
        <v>331</v>
      </c>
      <c r="T721" s="8"/>
      <c r="U721" s="8"/>
      <c r="V721" s="8"/>
      <c r="W721" s="8"/>
      <c r="X721" s="8"/>
      <c r="Y721" s="8"/>
      <c r="Z721" s="10" t="s">
        <v>1613</v>
      </c>
      <c r="AA721" s="8" t="s">
        <v>331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1093</v>
      </c>
      <c r="E722" s="8" t="s">
        <v>123</v>
      </c>
      <c r="F722" s="8" t="s">
        <v>2159</v>
      </c>
      <c r="G722" s="8" t="s">
        <v>1284</v>
      </c>
      <c r="H722" s="8" t="s">
        <v>1120</v>
      </c>
      <c r="I722" s="8" t="s">
        <v>1452</v>
      </c>
      <c r="J722" s="8" t="s">
        <v>1214</v>
      </c>
      <c r="K722" s="8" t="s">
        <v>1099</v>
      </c>
      <c r="L722" s="10" t="s">
        <v>1453</v>
      </c>
      <c r="M722" s="10" t="s">
        <v>1454</v>
      </c>
      <c r="N722" s="10"/>
      <c r="O722" s="8" t="s">
        <v>321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331</v>
      </c>
      <c r="Z722" s="10" t="s">
        <v>2197</v>
      </c>
      <c r="AA722" s="8" t="s">
        <v>331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1093</v>
      </c>
      <c r="E723" s="8" t="s">
        <v>123</v>
      </c>
      <c r="F723" s="8" t="s">
        <v>2115</v>
      </c>
      <c r="G723" s="8" t="s">
        <v>1120</v>
      </c>
      <c r="H723" s="8" t="s">
        <v>1343</v>
      </c>
      <c r="I723" s="8" t="s">
        <v>1455</v>
      </c>
      <c r="J723" s="8" t="s">
        <v>1214</v>
      </c>
      <c r="K723" s="8" t="s">
        <v>1099</v>
      </c>
      <c r="L723" s="10" t="s">
        <v>1456</v>
      </c>
      <c r="M723" s="10" t="s">
        <v>1457</v>
      </c>
      <c r="N723" s="10"/>
      <c r="O723" s="8" t="s">
        <v>321</v>
      </c>
      <c r="P723" s="8"/>
      <c r="Q723" s="8"/>
      <c r="R723" s="8">
        <v>77543</v>
      </c>
      <c r="S723" s="8" t="s">
        <v>331</v>
      </c>
      <c r="T723" s="8"/>
      <c r="U723" s="8"/>
      <c r="V723" s="8"/>
      <c r="W723" s="8"/>
      <c r="X723" s="8"/>
      <c r="Y723" s="8"/>
      <c r="Z723" s="10" t="s">
        <v>1738</v>
      </c>
      <c r="AA723" s="8" t="s">
        <v>331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1093</v>
      </c>
      <c r="E724" s="8" t="s">
        <v>123</v>
      </c>
      <c r="F724" s="8" t="s">
        <v>2158</v>
      </c>
      <c r="G724" s="8" t="s">
        <v>1302</v>
      </c>
      <c r="H724" s="8" t="s">
        <v>1303</v>
      </c>
      <c r="I724" s="8" t="s">
        <v>1895</v>
      </c>
      <c r="J724" s="8" t="s">
        <v>1217</v>
      </c>
      <c r="K724" s="8" t="s">
        <v>1099</v>
      </c>
      <c r="L724" s="10" t="s">
        <v>1896</v>
      </c>
      <c r="M724" s="10" t="s">
        <v>1897</v>
      </c>
      <c r="N724" s="10" t="s">
        <v>1413</v>
      </c>
      <c r="O724" s="8" t="s">
        <v>321</v>
      </c>
      <c r="P724" s="8"/>
      <c r="Q724" s="8">
        <v>639</v>
      </c>
      <c r="R724" s="8">
        <v>2226</v>
      </c>
      <c r="S724" s="8" t="s">
        <v>331</v>
      </c>
      <c r="T724" s="8"/>
      <c r="U724" s="8"/>
      <c r="V724" s="8"/>
      <c r="W724" s="8"/>
      <c r="X724" s="8"/>
      <c r="Y724" s="8"/>
      <c r="Z724" s="10" t="s">
        <v>1738</v>
      </c>
      <c r="AA724" s="8" t="s">
        <v>331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1093</v>
      </c>
      <c r="E725" s="8" t="s">
        <v>123</v>
      </c>
      <c r="F725" s="8" t="s">
        <v>2153</v>
      </c>
      <c r="G725" s="8" t="s">
        <v>1342</v>
      </c>
      <c r="H725" s="8" t="s">
        <v>2198</v>
      </c>
      <c r="I725" s="8" t="s">
        <v>1895</v>
      </c>
      <c r="J725" s="8" t="s">
        <v>1217</v>
      </c>
      <c r="K725" s="8" t="s">
        <v>1099</v>
      </c>
      <c r="L725" s="10" t="s">
        <v>1896</v>
      </c>
      <c r="M725" s="10" t="s">
        <v>1897</v>
      </c>
      <c r="N725" s="10" t="s">
        <v>1413</v>
      </c>
      <c r="O725" s="8" t="s">
        <v>362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2199</v>
      </c>
      <c r="AA725" s="8" t="s">
        <v>331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1093</v>
      </c>
      <c r="E726" s="8" t="s">
        <v>123</v>
      </c>
      <c r="F726" s="8" t="s">
        <v>2200</v>
      </c>
      <c r="G726" s="8" t="s">
        <v>1196</v>
      </c>
      <c r="H726" s="8" t="s">
        <v>1297</v>
      </c>
      <c r="I726" s="8" t="s">
        <v>1895</v>
      </c>
      <c r="J726" s="8" t="s">
        <v>1217</v>
      </c>
      <c r="K726" s="8" t="s">
        <v>1099</v>
      </c>
      <c r="L726" s="10" t="s">
        <v>1896</v>
      </c>
      <c r="M726" s="10" t="s">
        <v>1897</v>
      </c>
      <c r="N726" s="10" t="s">
        <v>1413</v>
      </c>
      <c r="O726" s="8" t="s">
        <v>321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331</v>
      </c>
      <c r="Z726" s="10" t="s">
        <v>2201</v>
      </c>
      <c r="AA726" s="8" t="s">
        <v>331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1093</v>
      </c>
      <c r="E727" s="8" t="s">
        <v>123</v>
      </c>
      <c r="F727" s="8" t="s">
        <v>2116</v>
      </c>
      <c r="G727" s="8" t="s">
        <v>1196</v>
      </c>
      <c r="H727" s="8" t="s">
        <v>1149</v>
      </c>
      <c r="I727" s="8" t="s">
        <v>2010</v>
      </c>
      <c r="J727" s="8" t="s">
        <v>1459</v>
      </c>
      <c r="K727" s="8" t="s">
        <v>1099</v>
      </c>
      <c r="L727" s="10" t="s">
        <v>2011</v>
      </c>
      <c r="M727" s="10" t="s">
        <v>2012</v>
      </c>
      <c r="N727" s="10" t="s">
        <v>1340</v>
      </c>
      <c r="O727" s="8" t="s">
        <v>362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2202</v>
      </c>
      <c r="AA727" s="8" t="s">
        <v>331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1093</v>
      </c>
      <c r="E728" s="8" t="s">
        <v>123</v>
      </c>
      <c r="F728" s="8" t="s">
        <v>2145</v>
      </c>
      <c r="G728" s="8" t="s">
        <v>1148</v>
      </c>
      <c r="H728" s="8" t="s">
        <v>2160</v>
      </c>
      <c r="I728" s="8" t="s">
        <v>2010</v>
      </c>
      <c r="J728" s="8" t="s">
        <v>1459</v>
      </c>
      <c r="K728" s="8" t="s">
        <v>1099</v>
      </c>
      <c r="L728" s="10" t="s">
        <v>2011</v>
      </c>
      <c r="M728" s="10" t="s">
        <v>2012</v>
      </c>
      <c r="N728" s="10" t="s">
        <v>1340</v>
      </c>
      <c r="O728" s="8" t="s">
        <v>362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2203</v>
      </c>
      <c r="AA728" s="8" t="s">
        <v>331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1093</v>
      </c>
      <c r="E729" s="8" t="s">
        <v>123</v>
      </c>
      <c r="F729" s="8" t="s">
        <v>2163</v>
      </c>
      <c r="G729" s="8" t="s">
        <v>1342</v>
      </c>
      <c r="H729" s="8" t="s">
        <v>1347</v>
      </c>
      <c r="I729" s="8" t="s">
        <v>1473</v>
      </c>
      <c r="J729" s="8" t="s">
        <v>1244</v>
      </c>
      <c r="K729" s="8" t="s">
        <v>1099</v>
      </c>
      <c r="L729" s="10" t="s">
        <v>1474</v>
      </c>
      <c r="M729" s="10" t="s">
        <v>1475</v>
      </c>
      <c r="N729" s="10" t="s">
        <v>1424</v>
      </c>
      <c r="O729" s="8" t="s">
        <v>321</v>
      </c>
      <c r="P729" s="8"/>
      <c r="Q729" s="8">
        <v>3391</v>
      </c>
      <c r="R729" s="8">
        <v>1226</v>
      </c>
      <c r="S729" s="8" t="s">
        <v>331</v>
      </c>
      <c r="T729" s="8"/>
      <c r="U729" s="8"/>
      <c r="V729" s="8"/>
      <c r="W729" s="8"/>
      <c r="X729" s="8"/>
      <c r="Y729" s="8"/>
      <c r="Z729" s="10" t="s">
        <v>1613</v>
      </c>
      <c r="AA729" s="8" t="s">
        <v>331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1093</v>
      </c>
      <c r="E730" s="8" t="s">
        <v>123</v>
      </c>
      <c r="F730" s="8" t="s">
        <v>2163</v>
      </c>
      <c r="G730" s="8" t="s">
        <v>1166</v>
      </c>
      <c r="H730" s="8" t="s">
        <v>1120</v>
      </c>
      <c r="I730" s="8" t="s">
        <v>1484</v>
      </c>
      <c r="J730" s="8" t="s">
        <v>1479</v>
      </c>
      <c r="K730" s="8" t="s">
        <v>1099</v>
      </c>
      <c r="L730" s="10" t="s">
        <v>1170</v>
      </c>
      <c r="M730" s="10" t="s">
        <v>1463</v>
      </c>
      <c r="N730" s="10" t="s">
        <v>1485</v>
      </c>
      <c r="O730" s="8" t="s">
        <v>321</v>
      </c>
      <c r="P730" s="8"/>
      <c r="Q730" s="8"/>
      <c r="R730" s="8">
        <v>70175</v>
      </c>
      <c r="S730" s="8"/>
      <c r="T730" s="8"/>
      <c r="U730" s="8" t="s">
        <v>331</v>
      </c>
      <c r="V730" s="8"/>
      <c r="W730" s="8"/>
      <c r="X730" s="8"/>
      <c r="Y730" s="8"/>
      <c r="Z730" s="10" t="s">
        <v>1278</v>
      </c>
      <c r="AA730" s="8" t="s">
        <v>331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1093</v>
      </c>
      <c r="E731" s="8" t="s">
        <v>123</v>
      </c>
      <c r="F731" s="8" t="s">
        <v>2163</v>
      </c>
      <c r="G731" s="8" t="s">
        <v>1120</v>
      </c>
      <c r="H731" s="8" t="s">
        <v>1343</v>
      </c>
      <c r="I731" s="8" t="s">
        <v>1487</v>
      </c>
      <c r="J731" s="8" t="s">
        <v>1479</v>
      </c>
      <c r="K731" s="8" t="s">
        <v>1099</v>
      </c>
      <c r="L731" s="10" t="s">
        <v>1170</v>
      </c>
      <c r="M731" s="10" t="s">
        <v>1463</v>
      </c>
      <c r="N731" s="10" t="s">
        <v>1488</v>
      </c>
      <c r="O731" s="8" t="s">
        <v>321</v>
      </c>
      <c r="P731" s="8"/>
      <c r="Q731" s="8"/>
      <c r="R731" s="8">
        <v>431821</v>
      </c>
      <c r="S731" s="8"/>
      <c r="T731" s="8"/>
      <c r="U731" s="8" t="s">
        <v>331</v>
      </c>
      <c r="V731" s="8"/>
      <c r="W731" s="8"/>
      <c r="X731" s="8"/>
      <c r="Y731" s="8"/>
      <c r="Z731" s="10" t="s">
        <v>1278</v>
      </c>
      <c r="AA731" s="8" t="s">
        <v>331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1093</v>
      </c>
      <c r="E732" s="8" t="s">
        <v>123</v>
      </c>
      <c r="F732" s="8" t="s">
        <v>2142</v>
      </c>
      <c r="G732" s="8" t="s">
        <v>1149</v>
      </c>
      <c r="H732" s="8" t="s">
        <v>1297</v>
      </c>
      <c r="I732" s="8" t="s">
        <v>1489</v>
      </c>
      <c r="J732" s="8" t="s">
        <v>1479</v>
      </c>
      <c r="K732" s="8" t="s">
        <v>1099</v>
      </c>
      <c r="L732" s="10" t="s">
        <v>1388</v>
      </c>
      <c r="M732" s="10" t="s">
        <v>1326</v>
      </c>
      <c r="N732" s="10" t="s">
        <v>1358</v>
      </c>
      <c r="O732" s="8" t="s">
        <v>321</v>
      </c>
      <c r="P732" s="8"/>
      <c r="Q732" s="8"/>
      <c r="R732" s="8">
        <v>80320</v>
      </c>
      <c r="S732" s="8" t="s">
        <v>331</v>
      </c>
      <c r="T732" s="8"/>
      <c r="U732" s="8"/>
      <c r="V732" s="8"/>
      <c r="W732" s="8"/>
      <c r="X732" s="8"/>
      <c r="Y732" s="8"/>
      <c r="Z732" s="10" t="s">
        <v>1738</v>
      </c>
      <c r="AA732" s="8" t="s">
        <v>331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1093</v>
      </c>
      <c r="E733" s="8" t="s">
        <v>123</v>
      </c>
      <c r="F733" s="8" t="s">
        <v>2158</v>
      </c>
      <c r="G733" s="8" t="s">
        <v>1312</v>
      </c>
      <c r="H733" s="8" t="s">
        <v>1196</v>
      </c>
      <c r="I733" s="8" t="s">
        <v>2204</v>
      </c>
      <c r="J733" s="8" t="s">
        <v>1479</v>
      </c>
      <c r="K733" s="8" t="s">
        <v>1099</v>
      </c>
      <c r="L733" s="10" t="s">
        <v>1466</v>
      </c>
      <c r="M733" s="10" t="s">
        <v>1467</v>
      </c>
      <c r="N733" s="10" t="s">
        <v>1468</v>
      </c>
      <c r="O733" s="8" t="s">
        <v>321</v>
      </c>
      <c r="P733" s="8"/>
      <c r="Q733" s="8"/>
      <c r="R733" s="8">
        <v>9306</v>
      </c>
      <c r="S733" s="8"/>
      <c r="T733" s="8"/>
      <c r="U733" s="8" t="s">
        <v>331</v>
      </c>
      <c r="V733" s="8"/>
      <c r="W733" s="8"/>
      <c r="X733" s="8"/>
      <c r="Y733" s="8"/>
      <c r="Z733" s="10" t="s">
        <v>1278</v>
      </c>
      <c r="AA733" s="8" t="s">
        <v>331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1093</v>
      </c>
      <c r="E734" s="8" t="s">
        <v>123</v>
      </c>
      <c r="F734" s="8" t="s">
        <v>2163</v>
      </c>
      <c r="G734" s="8" t="s">
        <v>1279</v>
      </c>
      <c r="H734" s="8" t="s">
        <v>2205</v>
      </c>
      <c r="I734" s="8" t="s">
        <v>2204</v>
      </c>
      <c r="J734" s="8" t="s">
        <v>1479</v>
      </c>
      <c r="K734" s="8" t="s">
        <v>1099</v>
      </c>
      <c r="L734" s="10" t="s">
        <v>1466</v>
      </c>
      <c r="M734" s="10" t="s">
        <v>1467</v>
      </c>
      <c r="N734" s="10" t="s">
        <v>1468</v>
      </c>
      <c r="O734" s="8" t="s">
        <v>362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2206</v>
      </c>
      <c r="AA734" s="8" t="s">
        <v>331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1093</v>
      </c>
      <c r="E735" s="8" t="s">
        <v>123</v>
      </c>
      <c r="F735" s="8" t="s">
        <v>2150</v>
      </c>
      <c r="G735" s="8" t="s">
        <v>1746</v>
      </c>
      <c r="H735" s="8" t="s">
        <v>1303</v>
      </c>
      <c r="I735" s="8" t="s">
        <v>1490</v>
      </c>
      <c r="J735" s="8" t="s">
        <v>1491</v>
      </c>
      <c r="K735" s="8" t="s">
        <v>1099</v>
      </c>
      <c r="L735" s="10" t="s">
        <v>1314</v>
      </c>
      <c r="M735" s="10" t="s">
        <v>1492</v>
      </c>
      <c r="N735" s="10" t="s">
        <v>1493</v>
      </c>
      <c r="O735" s="8" t="s">
        <v>321</v>
      </c>
      <c r="P735" s="8"/>
      <c r="Q735" s="8"/>
      <c r="R735" s="8">
        <v>24943</v>
      </c>
      <c r="S735" s="8" t="s">
        <v>331</v>
      </c>
      <c r="T735" s="8"/>
      <c r="U735" s="8"/>
      <c r="V735" s="8"/>
      <c r="W735" s="8"/>
      <c r="X735" s="8"/>
      <c r="Y735" s="8"/>
      <c r="Z735" s="10" t="s">
        <v>1738</v>
      </c>
      <c r="AA735" s="8" t="s">
        <v>331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1093</v>
      </c>
      <c r="E736" s="8" t="s">
        <v>139</v>
      </c>
      <c r="F736" s="8" t="s">
        <v>2179</v>
      </c>
      <c r="G736" s="8" t="s">
        <v>2183</v>
      </c>
      <c r="H736" s="8" t="s">
        <v>2207</v>
      </c>
      <c r="I736" s="8" t="s">
        <v>1502</v>
      </c>
      <c r="J736" s="8" t="s">
        <v>1217</v>
      </c>
      <c r="K736" s="8" t="s">
        <v>1099</v>
      </c>
      <c r="L736" s="10" t="s">
        <v>1503</v>
      </c>
      <c r="M736" s="10" t="s">
        <v>1504</v>
      </c>
      <c r="N736" s="10" t="s">
        <v>1346</v>
      </c>
      <c r="O736" s="8" t="s">
        <v>1106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331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1093</v>
      </c>
      <c r="E737" s="8" t="s">
        <v>139</v>
      </c>
      <c r="F737" s="8" t="s">
        <v>2179</v>
      </c>
      <c r="G737" s="8" t="s">
        <v>2183</v>
      </c>
      <c r="H737" s="8" t="s">
        <v>2207</v>
      </c>
      <c r="I737" s="8" t="s">
        <v>1509</v>
      </c>
      <c r="J737" s="8" t="s">
        <v>1217</v>
      </c>
      <c r="K737" s="8" t="s">
        <v>1099</v>
      </c>
      <c r="L737" s="10" t="s">
        <v>1503</v>
      </c>
      <c r="M737" s="10" t="s">
        <v>1504</v>
      </c>
      <c r="N737" s="10" t="s">
        <v>1346</v>
      </c>
      <c r="O737" s="8" t="s">
        <v>1106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331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1093</v>
      </c>
      <c r="E738" s="8" t="s">
        <v>139</v>
      </c>
      <c r="F738" s="8" t="s">
        <v>2200</v>
      </c>
      <c r="G738" s="8" t="s">
        <v>1532</v>
      </c>
      <c r="H738" s="8" t="s">
        <v>2208</v>
      </c>
      <c r="I738" s="8" t="s">
        <v>1509</v>
      </c>
      <c r="J738" s="8" t="s">
        <v>1217</v>
      </c>
      <c r="K738" s="8" t="s">
        <v>1099</v>
      </c>
      <c r="L738" s="10" t="s">
        <v>1503</v>
      </c>
      <c r="M738" s="10" t="s">
        <v>1504</v>
      </c>
      <c r="N738" s="10" t="s">
        <v>1346</v>
      </c>
      <c r="O738" s="8" t="s">
        <v>362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2209</v>
      </c>
      <c r="AA738" s="8" t="s">
        <v>331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1093</v>
      </c>
      <c r="E739" s="8" t="s">
        <v>128</v>
      </c>
      <c r="F739" s="8" t="s">
        <v>2122</v>
      </c>
      <c r="G739" s="8" t="s">
        <v>2026</v>
      </c>
      <c r="H739" s="8" t="s">
        <v>1684</v>
      </c>
      <c r="I739" s="8" t="s">
        <v>1198</v>
      </c>
      <c r="J739" s="8" t="s">
        <v>1193</v>
      </c>
      <c r="K739" s="8" t="s">
        <v>1099</v>
      </c>
      <c r="L739" s="10" t="s">
        <v>1199</v>
      </c>
      <c r="M739" s="10" t="s">
        <v>1200</v>
      </c>
      <c r="N739" s="10"/>
      <c r="O739" s="8" t="s">
        <v>1106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1102</v>
      </c>
      <c r="AA739" s="8" t="s">
        <v>331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1093</v>
      </c>
      <c r="E740" s="8" t="s">
        <v>128</v>
      </c>
      <c r="F740" s="8" t="s">
        <v>2122</v>
      </c>
      <c r="G740" s="8" t="s">
        <v>2135</v>
      </c>
      <c r="H740" s="8" t="s">
        <v>2136</v>
      </c>
      <c r="I740" s="8" t="s">
        <v>1209</v>
      </c>
      <c r="J740" s="8" t="s">
        <v>1204</v>
      </c>
      <c r="K740" s="8" t="s">
        <v>1099</v>
      </c>
      <c r="L740" s="10" t="s">
        <v>1210</v>
      </c>
      <c r="M740" s="10" t="s">
        <v>1211</v>
      </c>
      <c r="N740" s="10" t="s">
        <v>1188</v>
      </c>
      <c r="O740" s="8" t="s">
        <v>321</v>
      </c>
      <c r="P740" s="8"/>
      <c r="Q740" s="8">
        <v>2346</v>
      </c>
      <c r="R740" s="8">
        <v>279645</v>
      </c>
      <c r="S740" s="8" t="s">
        <v>331</v>
      </c>
      <c r="T740" s="8"/>
      <c r="U740" s="8"/>
      <c r="V740" s="8"/>
      <c r="W740" s="8"/>
      <c r="X740" s="8"/>
      <c r="Y740" s="8"/>
      <c r="Z740" s="10" t="s">
        <v>2137</v>
      </c>
      <c r="AA740" s="8" t="s">
        <v>331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1093</v>
      </c>
      <c r="E741" s="8" t="s">
        <v>123</v>
      </c>
      <c r="F741" s="8" t="s">
        <v>2149</v>
      </c>
      <c r="G741" s="8" t="s">
        <v>1196</v>
      </c>
      <c r="H741" s="8" t="s">
        <v>1279</v>
      </c>
      <c r="I741" s="8" t="s">
        <v>1286</v>
      </c>
      <c r="J741" s="8" t="s">
        <v>1111</v>
      </c>
      <c r="K741" s="8" t="s">
        <v>1099</v>
      </c>
      <c r="L741" s="10" t="s">
        <v>1287</v>
      </c>
      <c r="M741" s="10" t="s">
        <v>1288</v>
      </c>
      <c r="N741" s="10" t="s">
        <v>1289</v>
      </c>
      <c r="O741" s="8" t="s">
        <v>1106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1613</v>
      </c>
      <c r="AA741" s="8" t="s">
        <v>331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1093</v>
      </c>
      <c r="E742" s="8" t="s">
        <v>123</v>
      </c>
      <c r="F742" s="8" t="s">
        <v>2150</v>
      </c>
      <c r="G742" s="8" t="s">
        <v>1245</v>
      </c>
      <c r="H742" s="8" t="s">
        <v>1571</v>
      </c>
      <c r="I742" s="8" t="s">
        <v>1320</v>
      </c>
      <c r="J742" s="8" t="s">
        <v>1169</v>
      </c>
      <c r="K742" s="8" t="s">
        <v>1099</v>
      </c>
      <c r="L742" s="10" t="s">
        <v>1314</v>
      </c>
      <c r="M742" s="10" t="s">
        <v>1321</v>
      </c>
      <c r="N742" s="10" t="s">
        <v>1322</v>
      </c>
      <c r="O742" s="8" t="s">
        <v>1106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1738</v>
      </c>
      <c r="AA742" s="8" t="s">
        <v>331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1093</v>
      </c>
      <c r="E743" s="8" t="s">
        <v>123</v>
      </c>
      <c r="F743" s="8" t="s">
        <v>2115</v>
      </c>
      <c r="G743" s="8" t="s">
        <v>1279</v>
      </c>
      <c r="H743" s="8" t="s">
        <v>1297</v>
      </c>
      <c r="I743" s="8" t="s">
        <v>2210</v>
      </c>
      <c r="J743" s="8" t="s">
        <v>1169</v>
      </c>
      <c r="K743" s="8" t="s">
        <v>1099</v>
      </c>
      <c r="L743" s="10" t="s">
        <v>1170</v>
      </c>
      <c r="M743" s="10" t="s">
        <v>2211</v>
      </c>
      <c r="N743" s="10" t="s">
        <v>2212</v>
      </c>
      <c r="O743" s="8" t="s">
        <v>1106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1239</v>
      </c>
      <c r="AA743" s="8" t="s">
        <v>331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1093</v>
      </c>
      <c r="E744" s="8" t="s">
        <v>123</v>
      </c>
      <c r="F744" s="8" t="s">
        <v>2213</v>
      </c>
      <c r="G744" s="8" t="s">
        <v>1279</v>
      </c>
      <c r="H744" s="8" t="s">
        <v>1974</v>
      </c>
      <c r="I744" s="8" t="s">
        <v>1349</v>
      </c>
      <c r="J744" s="8" t="s">
        <v>1193</v>
      </c>
      <c r="K744" s="8" t="s">
        <v>1099</v>
      </c>
      <c r="L744" s="10" t="s">
        <v>1350</v>
      </c>
      <c r="M744" s="10" t="s">
        <v>1351</v>
      </c>
      <c r="N744" s="10" t="s">
        <v>1352</v>
      </c>
      <c r="O744" s="8" t="s">
        <v>362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2214</v>
      </c>
      <c r="AA744" s="8" t="s">
        <v>331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1093</v>
      </c>
      <c r="E745" s="8" t="s">
        <v>123</v>
      </c>
      <c r="F745" s="8" t="s">
        <v>2213</v>
      </c>
      <c r="G745" s="8" t="s">
        <v>1120</v>
      </c>
      <c r="H745" s="8" t="s">
        <v>1907</v>
      </c>
      <c r="I745" s="8" t="s">
        <v>1403</v>
      </c>
      <c r="J745" s="8" t="s">
        <v>1204</v>
      </c>
      <c r="K745" s="8" t="s">
        <v>1099</v>
      </c>
      <c r="L745" s="10" t="s">
        <v>1404</v>
      </c>
      <c r="M745" s="10" t="s">
        <v>1405</v>
      </c>
      <c r="N745" s="10" t="s">
        <v>1406</v>
      </c>
      <c r="O745" s="8" t="s">
        <v>321</v>
      </c>
      <c r="P745" s="8"/>
      <c r="Q745" s="8">
        <v>27044</v>
      </c>
      <c r="R745" s="8">
        <v>28330</v>
      </c>
      <c r="S745" s="8" t="s">
        <v>331</v>
      </c>
      <c r="T745" s="8"/>
      <c r="U745" s="8"/>
      <c r="V745" s="8"/>
      <c r="W745" s="8"/>
      <c r="X745" s="8"/>
      <c r="Y745" s="8"/>
      <c r="Z745" s="10" t="s">
        <v>1738</v>
      </c>
      <c r="AA745" s="8" t="s">
        <v>331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1093</v>
      </c>
      <c r="E746" s="8" t="s">
        <v>123</v>
      </c>
      <c r="F746" s="8" t="s">
        <v>2150</v>
      </c>
      <c r="G746" s="8" t="s">
        <v>1948</v>
      </c>
      <c r="H746" s="8" t="s">
        <v>1227</v>
      </c>
      <c r="I746" s="8" t="s">
        <v>1429</v>
      </c>
      <c r="J746" s="8" t="s">
        <v>1214</v>
      </c>
      <c r="K746" s="8" t="s">
        <v>1099</v>
      </c>
      <c r="L746" s="10" t="s">
        <v>1314</v>
      </c>
      <c r="M746" s="10" t="s">
        <v>1430</v>
      </c>
      <c r="N746" s="10" t="s">
        <v>1295</v>
      </c>
      <c r="O746" s="8" t="s">
        <v>1106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1738</v>
      </c>
      <c r="AA746" s="8" t="s">
        <v>331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1093</v>
      </c>
      <c r="E747" s="8" t="s">
        <v>123</v>
      </c>
      <c r="F747" s="8" t="s">
        <v>2118</v>
      </c>
      <c r="G747" s="8" t="s">
        <v>1196</v>
      </c>
      <c r="H747" s="8" t="s">
        <v>1279</v>
      </c>
      <c r="I747" s="8" t="s">
        <v>1674</v>
      </c>
      <c r="J747" s="8" t="s">
        <v>1675</v>
      </c>
      <c r="K747" s="8" t="s">
        <v>1099</v>
      </c>
      <c r="L747" s="10" t="s">
        <v>1676</v>
      </c>
      <c r="M747" s="10" t="s">
        <v>1677</v>
      </c>
      <c r="N747" s="10" t="s">
        <v>1678</v>
      </c>
      <c r="O747" s="8" t="s">
        <v>1106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1738</v>
      </c>
      <c r="AA747" s="8" t="s">
        <v>331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1093</v>
      </c>
      <c r="E748" s="8" t="s">
        <v>128</v>
      </c>
      <c r="F748" s="8" t="s">
        <v>2115</v>
      </c>
      <c r="G748" s="8" t="s">
        <v>1824</v>
      </c>
      <c r="H748" s="8" t="s">
        <v>2140</v>
      </c>
      <c r="I748" s="8" t="s">
        <v>1223</v>
      </c>
      <c r="J748" s="8" t="s">
        <v>1217</v>
      </c>
      <c r="K748" s="8" t="s">
        <v>1099</v>
      </c>
      <c r="L748" s="10" t="s">
        <v>1224</v>
      </c>
      <c r="M748" s="10" t="s">
        <v>1225</v>
      </c>
      <c r="N748" s="10" t="s">
        <v>1226</v>
      </c>
      <c r="O748" s="8" t="s">
        <v>321</v>
      </c>
      <c r="P748" s="8"/>
      <c r="Q748" s="8">
        <v>5375</v>
      </c>
      <c r="R748" s="8">
        <v>42458</v>
      </c>
      <c r="S748" s="8" t="s">
        <v>331</v>
      </c>
      <c r="T748" s="8"/>
      <c r="U748" s="8"/>
      <c r="V748" s="8"/>
      <c r="W748" s="8"/>
      <c r="X748" s="8"/>
      <c r="Y748" s="8"/>
      <c r="Z748" s="10" t="s">
        <v>1102</v>
      </c>
      <c r="AA748" s="8" t="s">
        <v>331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1093</v>
      </c>
      <c r="E749" s="8" t="s">
        <v>123</v>
      </c>
      <c r="F749" s="8" t="s">
        <v>2145</v>
      </c>
      <c r="G749" s="8" t="s">
        <v>1196</v>
      </c>
      <c r="H749" s="8" t="s">
        <v>1279</v>
      </c>
      <c r="I749" s="8" t="s">
        <v>1329</v>
      </c>
      <c r="J749" s="8" t="s">
        <v>1169</v>
      </c>
      <c r="K749" s="8" t="s">
        <v>1099</v>
      </c>
      <c r="L749" s="10" t="s">
        <v>1330</v>
      </c>
      <c r="M749" s="10" t="s">
        <v>1331</v>
      </c>
      <c r="N749" s="10"/>
      <c r="O749" s="8" t="s">
        <v>1106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1738</v>
      </c>
      <c r="AA749" s="8" t="s">
        <v>331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1093</v>
      </c>
      <c r="E750" s="8" t="s">
        <v>123</v>
      </c>
      <c r="F750" s="8" t="s">
        <v>2165</v>
      </c>
      <c r="G750" s="8" t="s">
        <v>1273</v>
      </c>
      <c r="H750" s="8" t="s">
        <v>1258</v>
      </c>
      <c r="I750" s="8" t="s">
        <v>1356</v>
      </c>
      <c r="J750" s="8" t="s">
        <v>1193</v>
      </c>
      <c r="K750" s="8" t="s">
        <v>1099</v>
      </c>
      <c r="L750" s="10" t="s">
        <v>1350</v>
      </c>
      <c r="M750" s="10" t="s">
        <v>1357</v>
      </c>
      <c r="N750" s="10" t="s">
        <v>1358</v>
      </c>
      <c r="O750" s="8" t="s">
        <v>1106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1738</v>
      </c>
      <c r="AA750" s="8" t="s">
        <v>331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1093</v>
      </c>
      <c r="E751" s="8" t="s">
        <v>128</v>
      </c>
      <c r="F751" s="8" t="s">
        <v>2116</v>
      </c>
      <c r="G751" s="8" t="s">
        <v>1343</v>
      </c>
      <c r="H751" s="8" t="s">
        <v>1174</v>
      </c>
      <c r="I751" s="8" t="s">
        <v>1175</v>
      </c>
      <c r="J751" s="8" t="s">
        <v>1169</v>
      </c>
      <c r="K751" s="8" t="s">
        <v>1099</v>
      </c>
      <c r="L751" s="10" t="s">
        <v>1123</v>
      </c>
      <c r="M751" s="10" t="s">
        <v>1124</v>
      </c>
      <c r="N751" s="10" t="s">
        <v>1176</v>
      </c>
      <c r="O751" s="8" t="s">
        <v>1106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1102</v>
      </c>
      <c r="AA751" s="8" t="s">
        <v>331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1093</v>
      </c>
      <c r="E752" s="8" t="s">
        <v>128</v>
      </c>
      <c r="F752" s="8" t="s">
        <v>2125</v>
      </c>
      <c r="G752" s="8" t="s">
        <v>2215</v>
      </c>
      <c r="H752" s="8" t="s">
        <v>2046</v>
      </c>
      <c r="I752" s="8" t="s">
        <v>1935</v>
      </c>
      <c r="J752" s="8" t="s">
        <v>1169</v>
      </c>
      <c r="K752" s="8" t="s">
        <v>1099</v>
      </c>
      <c r="L752" s="10" t="s">
        <v>1546</v>
      </c>
      <c r="M752" s="10" t="s">
        <v>2216</v>
      </c>
      <c r="N752" s="10"/>
      <c r="O752" s="8" t="s">
        <v>1106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1102</v>
      </c>
      <c r="AA752" s="8" t="s">
        <v>331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1093</v>
      </c>
      <c r="E753" s="8" t="s">
        <v>128</v>
      </c>
      <c r="F753" s="8" t="s">
        <v>2217</v>
      </c>
      <c r="G753" s="8" t="s">
        <v>1317</v>
      </c>
      <c r="H753" s="8" t="s">
        <v>2218</v>
      </c>
      <c r="I753" s="8" t="s">
        <v>1213</v>
      </c>
      <c r="J753" s="8" t="s">
        <v>1214</v>
      </c>
      <c r="K753" s="8" t="s">
        <v>1099</v>
      </c>
      <c r="L753" s="10" t="s">
        <v>1123</v>
      </c>
      <c r="M753" s="10" t="s">
        <v>1124</v>
      </c>
      <c r="N753" s="10" t="s">
        <v>1215</v>
      </c>
      <c r="O753" s="8" t="s">
        <v>362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2219</v>
      </c>
      <c r="AA753" s="8" t="s">
        <v>331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1093</v>
      </c>
      <c r="E754" s="8" t="s">
        <v>123</v>
      </c>
      <c r="F754" s="8" t="s">
        <v>2200</v>
      </c>
      <c r="G754" s="8" t="s">
        <v>1303</v>
      </c>
      <c r="H754" s="8" t="s">
        <v>1342</v>
      </c>
      <c r="I754" s="8" t="s">
        <v>1592</v>
      </c>
      <c r="J754" s="8" t="s">
        <v>1111</v>
      </c>
      <c r="K754" s="8" t="s">
        <v>1099</v>
      </c>
      <c r="L754" s="10" t="s">
        <v>1293</v>
      </c>
      <c r="M754" s="10" t="s">
        <v>1593</v>
      </c>
      <c r="N754" s="10" t="s">
        <v>1594</v>
      </c>
      <c r="O754" s="8" t="s">
        <v>1106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1738</v>
      </c>
      <c r="AA754" s="8" t="s">
        <v>331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1093</v>
      </c>
      <c r="E755" s="8" t="s">
        <v>123</v>
      </c>
      <c r="F755" s="8" t="s">
        <v>2217</v>
      </c>
      <c r="G755" s="8" t="s">
        <v>1279</v>
      </c>
      <c r="H755" s="8" t="s">
        <v>1317</v>
      </c>
      <c r="I755" s="8" t="s">
        <v>1398</v>
      </c>
      <c r="J755" s="8" t="s">
        <v>1204</v>
      </c>
      <c r="K755" s="8" t="s">
        <v>1099</v>
      </c>
      <c r="L755" s="10" t="s">
        <v>1399</v>
      </c>
      <c r="M755" s="10" t="s">
        <v>1400</v>
      </c>
      <c r="N755" s="10" t="s">
        <v>1401</v>
      </c>
      <c r="O755" s="8" t="s">
        <v>321</v>
      </c>
      <c r="P755" s="8">
        <v>1572</v>
      </c>
      <c r="Q755" s="8">
        <v>4250</v>
      </c>
      <c r="R755" s="8">
        <v>28898</v>
      </c>
      <c r="S755" s="8"/>
      <c r="T755" s="8" t="s">
        <v>331</v>
      </c>
      <c r="U755" s="8"/>
      <c r="V755" s="8"/>
      <c r="W755" s="8"/>
      <c r="X755" s="8"/>
      <c r="Y755" s="8"/>
      <c r="Z755" s="10" t="s">
        <v>2220</v>
      </c>
      <c r="AA755" s="8" t="s">
        <v>331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1093</v>
      </c>
      <c r="E756" s="8" t="s">
        <v>123</v>
      </c>
      <c r="F756" s="8" t="s">
        <v>2150</v>
      </c>
      <c r="G756" s="8" t="s">
        <v>1571</v>
      </c>
      <c r="H756" s="8" t="s">
        <v>1302</v>
      </c>
      <c r="I756" s="8" t="s">
        <v>1437</v>
      </c>
      <c r="J756" s="8" t="s">
        <v>1214</v>
      </c>
      <c r="K756" s="8" t="s">
        <v>1099</v>
      </c>
      <c r="L756" s="10" t="s">
        <v>1314</v>
      </c>
      <c r="M756" s="10" t="s">
        <v>1438</v>
      </c>
      <c r="N756" s="10" t="s">
        <v>1439</v>
      </c>
      <c r="O756" s="8" t="s">
        <v>1106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1738</v>
      </c>
      <c r="AA756" s="8" t="s">
        <v>331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1093</v>
      </c>
      <c r="E757" s="8" t="s">
        <v>123</v>
      </c>
      <c r="F757" s="8" t="s">
        <v>2115</v>
      </c>
      <c r="G757" s="8" t="s">
        <v>1120</v>
      </c>
      <c r="H757" s="8" t="s">
        <v>1343</v>
      </c>
      <c r="I757" s="8" t="s">
        <v>1455</v>
      </c>
      <c r="J757" s="8" t="s">
        <v>1214</v>
      </c>
      <c r="K757" s="8" t="s">
        <v>1099</v>
      </c>
      <c r="L757" s="10" t="s">
        <v>1456</v>
      </c>
      <c r="M757" s="10" t="s">
        <v>1457</v>
      </c>
      <c r="N757" s="10"/>
      <c r="O757" s="8" t="s">
        <v>1106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1738</v>
      </c>
      <c r="AA757" s="8" t="s">
        <v>331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1093</v>
      </c>
      <c r="E758" s="8" t="s">
        <v>139</v>
      </c>
      <c r="F758" s="8" t="s">
        <v>2217</v>
      </c>
      <c r="G758" s="8" t="s">
        <v>1949</v>
      </c>
      <c r="H758" s="8" t="s">
        <v>1706</v>
      </c>
      <c r="I758" s="8" t="s">
        <v>2221</v>
      </c>
      <c r="J758" s="8" t="s">
        <v>1169</v>
      </c>
      <c r="K758" s="8" t="s">
        <v>1099</v>
      </c>
      <c r="L758" s="10" t="s">
        <v>2222</v>
      </c>
      <c r="M758" s="10" t="s">
        <v>2223</v>
      </c>
      <c r="N758" s="10" t="s">
        <v>139</v>
      </c>
      <c r="O758" s="8" t="s">
        <v>321</v>
      </c>
      <c r="P758" s="8"/>
      <c r="Q758" s="8"/>
      <c r="R758" s="8">
        <v>140764</v>
      </c>
      <c r="S758" s="8"/>
      <c r="T758" s="8"/>
      <c r="U758" s="8" t="s">
        <v>331</v>
      </c>
      <c r="V758" s="8"/>
      <c r="W758" s="8"/>
      <c r="X758" s="8"/>
      <c r="Y758" s="8"/>
      <c r="Z758" s="10" t="s">
        <v>2224</v>
      </c>
      <c r="AA758" s="8" t="s">
        <v>331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1093</v>
      </c>
      <c r="E759" s="8" t="s">
        <v>128</v>
      </c>
      <c r="F759" s="8" t="s">
        <v>2115</v>
      </c>
      <c r="G759" s="8" t="s">
        <v>1297</v>
      </c>
      <c r="H759" s="8" t="s">
        <v>1270</v>
      </c>
      <c r="I759" s="8" t="s">
        <v>1110</v>
      </c>
      <c r="J759" s="8" t="s">
        <v>1111</v>
      </c>
      <c r="K759" s="8" t="s">
        <v>1099</v>
      </c>
      <c r="L759" s="10" t="s">
        <v>1112</v>
      </c>
      <c r="M759" s="10" t="s">
        <v>1113</v>
      </c>
      <c r="N759" s="10" t="s">
        <v>128</v>
      </c>
      <c r="O759" s="8" t="s">
        <v>1106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1102</v>
      </c>
      <c r="AA759" s="8" t="s">
        <v>331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1093</v>
      </c>
      <c r="E760" s="8" t="s">
        <v>128</v>
      </c>
      <c r="F760" s="8" t="s">
        <v>2118</v>
      </c>
      <c r="G760" s="8" t="s">
        <v>1574</v>
      </c>
      <c r="H760" s="8" t="s">
        <v>2121</v>
      </c>
      <c r="I760" s="8" t="s">
        <v>1179</v>
      </c>
      <c r="J760" s="8" t="s">
        <v>1169</v>
      </c>
      <c r="K760" s="8" t="s">
        <v>1099</v>
      </c>
      <c r="L760" s="10" t="s">
        <v>1180</v>
      </c>
      <c r="M760" s="10" t="s">
        <v>1181</v>
      </c>
      <c r="N760" s="10" t="s">
        <v>128</v>
      </c>
      <c r="O760" s="8" t="s">
        <v>1106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1102</v>
      </c>
      <c r="AA760" s="8" t="s">
        <v>331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1093</v>
      </c>
      <c r="E761" s="8" t="s">
        <v>123</v>
      </c>
      <c r="F761" s="8" t="s">
        <v>2217</v>
      </c>
      <c r="G761" s="8" t="s">
        <v>1302</v>
      </c>
      <c r="H761" s="8" t="s">
        <v>2225</v>
      </c>
      <c r="I761" s="8" t="s">
        <v>1267</v>
      </c>
      <c r="J761" s="8" t="s">
        <v>1111</v>
      </c>
      <c r="K761" s="8" t="s">
        <v>1099</v>
      </c>
      <c r="L761" s="10" t="s">
        <v>1268</v>
      </c>
      <c r="M761" s="10" t="s">
        <v>1269</v>
      </c>
      <c r="N761" s="10" t="s">
        <v>1584</v>
      </c>
      <c r="O761" s="8" t="s">
        <v>362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2226</v>
      </c>
      <c r="AA761" s="8" t="s">
        <v>331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1093</v>
      </c>
      <c r="E762" s="8" t="s">
        <v>123</v>
      </c>
      <c r="F762" s="8" t="s">
        <v>2158</v>
      </c>
      <c r="G762" s="8" t="s">
        <v>1149</v>
      </c>
      <c r="H762" s="8" t="s">
        <v>1297</v>
      </c>
      <c r="I762" s="8" t="s">
        <v>1857</v>
      </c>
      <c r="J762" s="8" t="s">
        <v>1140</v>
      </c>
      <c r="K762" s="8" t="s">
        <v>1099</v>
      </c>
      <c r="L762" s="10" t="s">
        <v>1299</v>
      </c>
      <c r="M762" s="10" t="s">
        <v>1858</v>
      </c>
      <c r="N762" s="10" t="s">
        <v>1859</v>
      </c>
      <c r="O762" s="8" t="s">
        <v>1106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1738</v>
      </c>
      <c r="AA762" s="8" t="s">
        <v>331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1093</v>
      </c>
      <c r="E763" s="8" t="s">
        <v>123</v>
      </c>
      <c r="F763" s="8" t="s">
        <v>2217</v>
      </c>
      <c r="G763" s="8" t="s">
        <v>1284</v>
      </c>
      <c r="H763" s="8" t="s">
        <v>1120</v>
      </c>
      <c r="I763" s="8" t="s">
        <v>2227</v>
      </c>
      <c r="J763" s="8" t="s">
        <v>1169</v>
      </c>
      <c r="K763" s="8" t="s">
        <v>1099</v>
      </c>
      <c r="L763" s="10" t="s">
        <v>1170</v>
      </c>
      <c r="M763" s="10" t="s">
        <v>2228</v>
      </c>
      <c r="N763" s="10" t="s">
        <v>2229</v>
      </c>
      <c r="O763" s="8" t="s">
        <v>321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331</v>
      </c>
      <c r="Z763" s="10" t="s">
        <v>1359</v>
      </c>
      <c r="AA763" s="8" t="s">
        <v>331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1093</v>
      </c>
      <c r="E764" s="8" t="s">
        <v>123</v>
      </c>
      <c r="F764" s="8" t="s">
        <v>2122</v>
      </c>
      <c r="G764" s="8" t="s">
        <v>1196</v>
      </c>
      <c r="H764" s="8" t="s">
        <v>1279</v>
      </c>
      <c r="I764" s="8" t="s">
        <v>1623</v>
      </c>
      <c r="J764" s="8" t="s">
        <v>1169</v>
      </c>
      <c r="K764" s="8" t="s">
        <v>1099</v>
      </c>
      <c r="L764" s="10" t="s">
        <v>1624</v>
      </c>
      <c r="M764" s="10" t="s">
        <v>1625</v>
      </c>
      <c r="N764" s="10" t="s">
        <v>1340</v>
      </c>
      <c r="O764" s="8" t="s">
        <v>1106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1738</v>
      </c>
      <c r="AA764" s="8" t="s">
        <v>331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1093</v>
      </c>
      <c r="E765" s="8" t="s">
        <v>123</v>
      </c>
      <c r="F765" s="8" t="s">
        <v>2217</v>
      </c>
      <c r="G765" s="8" t="s">
        <v>1120</v>
      </c>
      <c r="H765" s="8" t="s">
        <v>1302</v>
      </c>
      <c r="I765" s="8" t="s">
        <v>1334</v>
      </c>
      <c r="J765" s="8" t="s">
        <v>1169</v>
      </c>
      <c r="K765" s="8" t="s">
        <v>1099</v>
      </c>
      <c r="L765" s="10" t="s">
        <v>1170</v>
      </c>
      <c r="M765" s="10" t="s">
        <v>1335</v>
      </c>
      <c r="N765" s="10" t="s">
        <v>1336</v>
      </c>
      <c r="O765" s="8" t="s">
        <v>321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331</v>
      </c>
      <c r="Z765" s="10" t="s">
        <v>1359</v>
      </c>
      <c r="AA765" s="8" t="s">
        <v>331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1093</v>
      </c>
      <c r="E766" s="8" t="s">
        <v>123</v>
      </c>
      <c r="F766" s="8" t="s">
        <v>2048</v>
      </c>
      <c r="G766" s="8" t="s">
        <v>1297</v>
      </c>
      <c r="H766" s="8" t="s">
        <v>1317</v>
      </c>
      <c r="I766" s="8" t="s">
        <v>1630</v>
      </c>
      <c r="J766" s="8" t="s">
        <v>1193</v>
      </c>
      <c r="K766" s="8" t="s">
        <v>1099</v>
      </c>
      <c r="L766" s="10" t="s">
        <v>1378</v>
      </c>
      <c r="M766" s="10" t="s">
        <v>1631</v>
      </c>
      <c r="N766" s="10" t="s">
        <v>1632</v>
      </c>
      <c r="O766" s="8" t="s">
        <v>1106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1738</v>
      </c>
      <c r="AA766" s="8" t="s">
        <v>331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1093</v>
      </c>
      <c r="E767" s="8" t="s">
        <v>123</v>
      </c>
      <c r="F767" s="8" t="s">
        <v>2230</v>
      </c>
      <c r="G767" s="8" t="s">
        <v>1196</v>
      </c>
      <c r="H767" s="8" t="s">
        <v>1149</v>
      </c>
      <c r="I767" s="8" t="s">
        <v>1630</v>
      </c>
      <c r="J767" s="8" t="s">
        <v>1193</v>
      </c>
      <c r="K767" s="8" t="s">
        <v>1099</v>
      </c>
      <c r="L767" s="10" t="s">
        <v>1378</v>
      </c>
      <c r="M767" s="10" t="s">
        <v>1631</v>
      </c>
      <c r="N767" s="10" t="s">
        <v>1632</v>
      </c>
      <c r="O767" s="8" t="s">
        <v>362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2231</v>
      </c>
      <c r="AA767" s="8" t="s">
        <v>331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1093</v>
      </c>
      <c r="E768" s="8" t="s">
        <v>123</v>
      </c>
      <c r="F768" s="8" t="s">
        <v>2230</v>
      </c>
      <c r="G768" s="8" t="s">
        <v>1297</v>
      </c>
      <c r="H768" s="8" t="s">
        <v>1494</v>
      </c>
      <c r="I768" s="8" t="s">
        <v>1487</v>
      </c>
      <c r="J768" s="8" t="s">
        <v>1479</v>
      </c>
      <c r="K768" s="8" t="s">
        <v>1099</v>
      </c>
      <c r="L768" s="10" t="s">
        <v>1170</v>
      </c>
      <c r="M768" s="10" t="s">
        <v>1463</v>
      </c>
      <c r="N768" s="10" t="s">
        <v>1488</v>
      </c>
      <c r="O768" s="8" t="s">
        <v>362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2232</v>
      </c>
      <c r="AA768" s="8" t="s">
        <v>331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1093</v>
      </c>
      <c r="E769" s="8" t="s">
        <v>123</v>
      </c>
      <c r="F769" s="8" t="s">
        <v>2150</v>
      </c>
      <c r="G769" s="8" t="s">
        <v>1746</v>
      </c>
      <c r="H769" s="8" t="s">
        <v>1303</v>
      </c>
      <c r="I769" s="8" t="s">
        <v>1490</v>
      </c>
      <c r="J769" s="8" t="s">
        <v>1491</v>
      </c>
      <c r="K769" s="8" t="s">
        <v>1099</v>
      </c>
      <c r="L769" s="10" t="s">
        <v>1314</v>
      </c>
      <c r="M769" s="10" t="s">
        <v>1492</v>
      </c>
      <c r="N769" s="10" t="s">
        <v>1493</v>
      </c>
      <c r="O769" s="8" t="s">
        <v>1106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1738</v>
      </c>
      <c r="AA769" s="8" t="s">
        <v>331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1093</v>
      </c>
      <c r="E770" s="8" t="s">
        <v>123</v>
      </c>
      <c r="F770" s="8" t="s">
        <v>2233</v>
      </c>
      <c r="G770" s="8" t="s">
        <v>1303</v>
      </c>
      <c r="H770" s="8" t="s">
        <v>1347</v>
      </c>
      <c r="I770" s="8" t="s">
        <v>1766</v>
      </c>
      <c r="J770" s="8" t="s">
        <v>1204</v>
      </c>
      <c r="K770" s="8" t="s">
        <v>1099</v>
      </c>
      <c r="L770" s="10" t="s">
        <v>1170</v>
      </c>
      <c r="M770" s="10" t="s">
        <v>1767</v>
      </c>
      <c r="N770" s="10" t="s">
        <v>1768</v>
      </c>
      <c r="O770" s="8" t="s">
        <v>362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2234</v>
      </c>
      <c r="AA770" s="8" t="s">
        <v>331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1093</v>
      </c>
      <c r="E771" s="8" t="s">
        <v>128</v>
      </c>
      <c r="F771" s="8" t="s">
        <v>2235</v>
      </c>
      <c r="G771" s="8" t="s">
        <v>2068</v>
      </c>
      <c r="H771" s="8" t="s">
        <v>2120</v>
      </c>
      <c r="I771" s="8" t="s">
        <v>1185</v>
      </c>
      <c r="J771" s="8" t="s">
        <v>1169</v>
      </c>
      <c r="K771" s="8" t="s">
        <v>1099</v>
      </c>
      <c r="L771" s="10" t="s">
        <v>1186</v>
      </c>
      <c r="M771" s="10" t="s">
        <v>1187</v>
      </c>
      <c r="N771" s="10" t="s">
        <v>1188</v>
      </c>
      <c r="O771" s="8" t="s">
        <v>321</v>
      </c>
      <c r="P771" s="8"/>
      <c r="Q771" s="8"/>
      <c r="R771" s="8">
        <v>24174</v>
      </c>
      <c r="S771" s="8" t="s">
        <v>331</v>
      </c>
      <c r="T771" s="8"/>
      <c r="U771" s="8"/>
      <c r="V771" s="8"/>
      <c r="W771" s="8"/>
      <c r="X771" s="8"/>
      <c r="Y771" s="8"/>
      <c r="Z771" s="10" t="s">
        <v>1102</v>
      </c>
      <c r="AA771" s="8" t="s">
        <v>331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1093</v>
      </c>
      <c r="E772" s="8" t="s">
        <v>128</v>
      </c>
      <c r="F772" s="8" t="s">
        <v>2235</v>
      </c>
      <c r="G772" s="8" t="s">
        <v>1561</v>
      </c>
      <c r="H772" s="8" t="s">
        <v>2236</v>
      </c>
      <c r="I772" s="8" t="s">
        <v>1198</v>
      </c>
      <c r="J772" s="8" t="s">
        <v>1193</v>
      </c>
      <c r="K772" s="8" t="s">
        <v>1099</v>
      </c>
      <c r="L772" s="10" t="s">
        <v>1199</v>
      </c>
      <c r="M772" s="10" t="s">
        <v>1200</v>
      </c>
      <c r="N772" s="10"/>
      <c r="O772" s="8" t="s">
        <v>321</v>
      </c>
      <c r="P772" s="8"/>
      <c r="Q772" s="8"/>
      <c r="R772" s="8">
        <v>26400</v>
      </c>
      <c r="S772" s="8" t="s">
        <v>331</v>
      </c>
      <c r="T772" s="8"/>
      <c r="U772" s="8"/>
      <c r="V772" s="8"/>
      <c r="W772" s="8"/>
      <c r="X772" s="8"/>
      <c r="Y772" s="8"/>
      <c r="Z772" s="10" t="s">
        <v>2237</v>
      </c>
      <c r="AA772" s="8" t="s">
        <v>331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1093</v>
      </c>
      <c r="E773" s="8" t="s">
        <v>128</v>
      </c>
      <c r="F773" s="8" t="s">
        <v>2235</v>
      </c>
      <c r="G773" s="8" t="s">
        <v>2238</v>
      </c>
      <c r="H773" s="8" t="s">
        <v>2183</v>
      </c>
      <c r="I773" s="8" t="s">
        <v>1209</v>
      </c>
      <c r="J773" s="8" t="s">
        <v>1204</v>
      </c>
      <c r="K773" s="8" t="s">
        <v>1099</v>
      </c>
      <c r="L773" s="10" t="s">
        <v>1210</v>
      </c>
      <c r="M773" s="10" t="s">
        <v>1211</v>
      </c>
      <c r="N773" s="10" t="s">
        <v>1188</v>
      </c>
      <c r="O773" s="8" t="s">
        <v>1106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1102</v>
      </c>
      <c r="AA773" s="8" t="s">
        <v>331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1093</v>
      </c>
      <c r="E774" s="8" t="s">
        <v>123</v>
      </c>
      <c r="F774" s="8" t="s">
        <v>2235</v>
      </c>
      <c r="G774" s="8" t="s">
        <v>1786</v>
      </c>
      <c r="H774" s="8" t="s">
        <v>1494</v>
      </c>
      <c r="I774" s="8" t="s">
        <v>1267</v>
      </c>
      <c r="J774" s="8" t="s">
        <v>1111</v>
      </c>
      <c r="K774" s="8" t="s">
        <v>1099</v>
      </c>
      <c r="L774" s="10" t="s">
        <v>1268</v>
      </c>
      <c r="M774" s="10" t="s">
        <v>1269</v>
      </c>
      <c r="N774" s="10" t="s">
        <v>1584</v>
      </c>
      <c r="O774" s="8" t="s">
        <v>321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331</v>
      </c>
      <c r="Z774" s="10" t="s">
        <v>1906</v>
      </c>
      <c r="AA774" s="8" t="s">
        <v>331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1093</v>
      </c>
      <c r="E775" s="8" t="s">
        <v>123</v>
      </c>
      <c r="F775" s="8" t="s">
        <v>2235</v>
      </c>
      <c r="G775" s="8" t="s">
        <v>2239</v>
      </c>
      <c r="H775" s="8" t="s">
        <v>2240</v>
      </c>
      <c r="I775" s="8" t="s">
        <v>1320</v>
      </c>
      <c r="J775" s="8" t="s">
        <v>1169</v>
      </c>
      <c r="K775" s="8" t="s">
        <v>1099</v>
      </c>
      <c r="L775" s="10" t="s">
        <v>1314</v>
      </c>
      <c r="M775" s="10" t="s">
        <v>1321</v>
      </c>
      <c r="N775" s="10" t="s">
        <v>1322</v>
      </c>
      <c r="O775" s="8" t="s">
        <v>362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1393</v>
      </c>
      <c r="AA775" s="8" t="s">
        <v>331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1093</v>
      </c>
      <c r="E776" s="8" t="s">
        <v>123</v>
      </c>
      <c r="F776" s="8" t="s">
        <v>2235</v>
      </c>
      <c r="G776" s="8" t="s">
        <v>1279</v>
      </c>
      <c r="H776" s="8" t="s">
        <v>1149</v>
      </c>
      <c r="I776" s="8" t="s">
        <v>1630</v>
      </c>
      <c r="J776" s="8" t="s">
        <v>1193</v>
      </c>
      <c r="K776" s="8" t="s">
        <v>1099</v>
      </c>
      <c r="L776" s="10" t="s">
        <v>1378</v>
      </c>
      <c r="M776" s="10" t="s">
        <v>1631</v>
      </c>
      <c r="N776" s="10" t="s">
        <v>1632</v>
      </c>
      <c r="O776" s="8" t="s">
        <v>321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331</v>
      </c>
      <c r="Z776" s="10" t="s">
        <v>2241</v>
      </c>
      <c r="AA776" s="8" t="s">
        <v>331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1093</v>
      </c>
      <c r="E777" s="8" t="s">
        <v>123</v>
      </c>
      <c r="F777" s="8" t="s">
        <v>2235</v>
      </c>
      <c r="G777" s="8" t="s">
        <v>1120</v>
      </c>
      <c r="H777" s="8" t="s">
        <v>1302</v>
      </c>
      <c r="I777" s="8" t="s">
        <v>1766</v>
      </c>
      <c r="J777" s="8" t="s">
        <v>1204</v>
      </c>
      <c r="K777" s="8" t="s">
        <v>1099</v>
      </c>
      <c r="L777" s="10" t="s">
        <v>1170</v>
      </c>
      <c r="M777" s="10" t="s">
        <v>1767</v>
      </c>
      <c r="N777" s="10" t="s">
        <v>1768</v>
      </c>
      <c r="O777" s="8" t="s">
        <v>362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2242</v>
      </c>
      <c r="AA777" s="8" t="s">
        <v>331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1093</v>
      </c>
      <c r="E778" s="8" t="s">
        <v>123</v>
      </c>
      <c r="F778" s="8" t="s">
        <v>2235</v>
      </c>
      <c r="G778" s="8" t="s">
        <v>1196</v>
      </c>
      <c r="H778" s="8" t="s">
        <v>1279</v>
      </c>
      <c r="I778" s="8" t="s">
        <v>1441</v>
      </c>
      <c r="J778" s="8" t="s">
        <v>1214</v>
      </c>
      <c r="K778" s="8" t="s">
        <v>1099</v>
      </c>
      <c r="L778" s="10" t="s">
        <v>1378</v>
      </c>
      <c r="M778" s="10" t="s">
        <v>1442</v>
      </c>
      <c r="N778" s="10" t="s">
        <v>1424</v>
      </c>
      <c r="O778" s="8" t="s">
        <v>321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331</v>
      </c>
      <c r="Z778" s="10" t="s">
        <v>2243</v>
      </c>
      <c r="AA778" s="8" t="s">
        <v>331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1093</v>
      </c>
      <c r="E779" s="8" t="s">
        <v>128</v>
      </c>
      <c r="F779" s="8" t="s">
        <v>2235</v>
      </c>
      <c r="G779" s="8" t="s">
        <v>2238</v>
      </c>
      <c r="H779" s="8" t="s">
        <v>2183</v>
      </c>
      <c r="I779" s="8" t="s">
        <v>1209</v>
      </c>
      <c r="J779" s="8" t="s">
        <v>1204</v>
      </c>
      <c r="K779" s="8" t="s">
        <v>1099</v>
      </c>
      <c r="L779" s="10" t="s">
        <v>1210</v>
      </c>
      <c r="M779" s="10" t="s">
        <v>1211</v>
      </c>
      <c r="N779" s="10" t="s">
        <v>1188</v>
      </c>
      <c r="O779" s="8" t="s">
        <v>321</v>
      </c>
      <c r="P779" s="8"/>
      <c r="Q779" s="8">
        <v>2380</v>
      </c>
      <c r="R779" s="8">
        <v>287252</v>
      </c>
      <c r="S779" s="8" t="s">
        <v>331</v>
      </c>
      <c r="T779" s="8"/>
      <c r="U779" s="8"/>
      <c r="V779" s="8"/>
      <c r="W779" s="8"/>
      <c r="X779" s="8"/>
      <c r="Y779" s="8"/>
      <c r="Z779" s="10" t="s">
        <v>1102</v>
      </c>
      <c r="AA779" s="8" t="s">
        <v>331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1093</v>
      </c>
      <c r="E780" s="8" t="s">
        <v>123</v>
      </c>
      <c r="F780" s="8" t="s">
        <v>2235</v>
      </c>
      <c r="G780" s="8" t="s">
        <v>1303</v>
      </c>
      <c r="H780" s="8" t="s">
        <v>2244</v>
      </c>
      <c r="I780" s="8" t="s">
        <v>2245</v>
      </c>
      <c r="J780" s="8" t="s">
        <v>1204</v>
      </c>
      <c r="K780" s="8" t="s">
        <v>1099</v>
      </c>
      <c r="L780" s="10" t="s">
        <v>1170</v>
      </c>
      <c r="M780" s="10" t="s">
        <v>2246</v>
      </c>
      <c r="N780" s="10" t="s">
        <v>2247</v>
      </c>
      <c r="O780" s="8" t="s">
        <v>362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2248</v>
      </c>
      <c r="AA780" s="8" t="s">
        <v>331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1093</v>
      </c>
      <c r="E781" s="8" t="s">
        <v>123</v>
      </c>
      <c r="F781" s="8" t="s">
        <v>2249</v>
      </c>
      <c r="G781" s="8" t="s">
        <v>1302</v>
      </c>
      <c r="H781" s="8" t="s">
        <v>1303</v>
      </c>
      <c r="I781" s="8" t="s">
        <v>1446</v>
      </c>
      <c r="J781" s="8" t="s">
        <v>1214</v>
      </c>
      <c r="K781" s="8" t="s">
        <v>1099</v>
      </c>
      <c r="L781" s="10" t="s">
        <v>1378</v>
      </c>
      <c r="M781" s="10" t="s">
        <v>1447</v>
      </c>
      <c r="N781" s="10" t="s">
        <v>1448</v>
      </c>
      <c r="O781" s="8" t="s">
        <v>1106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1738</v>
      </c>
      <c r="AA781" s="8" t="s">
        <v>331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1093</v>
      </c>
      <c r="E782" s="8" t="s">
        <v>123</v>
      </c>
      <c r="F782" s="8" t="s">
        <v>2250</v>
      </c>
      <c r="G782" s="8" t="s">
        <v>1297</v>
      </c>
      <c r="H782" s="8" t="s">
        <v>1384</v>
      </c>
      <c r="I782" s="8" t="s">
        <v>1390</v>
      </c>
      <c r="J782" s="8" t="s">
        <v>1204</v>
      </c>
      <c r="K782" s="8" t="s">
        <v>1099</v>
      </c>
      <c r="L782" s="10" t="s">
        <v>1305</v>
      </c>
      <c r="M782" s="10" t="s">
        <v>1391</v>
      </c>
      <c r="N782" s="10" t="s">
        <v>1392</v>
      </c>
      <c r="O782" s="8" t="s">
        <v>362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2251</v>
      </c>
      <c r="AA782" s="8" t="s">
        <v>331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1093</v>
      </c>
      <c r="E783" s="8" t="s">
        <v>123</v>
      </c>
      <c r="F783" s="8" t="s">
        <v>2250</v>
      </c>
      <c r="G783" s="8" t="s">
        <v>1196</v>
      </c>
      <c r="H783" s="8" t="s">
        <v>1297</v>
      </c>
      <c r="I783" s="8" t="s">
        <v>2015</v>
      </c>
      <c r="J783" s="8" t="s">
        <v>1459</v>
      </c>
      <c r="K783" s="8" t="s">
        <v>1099</v>
      </c>
      <c r="L783" s="10" t="s">
        <v>1170</v>
      </c>
      <c r="M783" s="10" t="s">
        <v>2016</v>
      </c>
      <c r="N783" s="10" t="s">
        <v>2017</v>
      </c>
      <c r="O783" s="8" t="s">
        <v>362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2252</v>
      </c>
      <c r="AA783" s="8" t="s">
        <v>331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1093</v>
      </c>
      <c r="E784" s="8" t="s">
        <v>123</v>
      </c>
      <c r="F784" s="8" t="s">
        <v>2235</v>
      </c>
      <c r="G784" s="8" t="s">
        <v>1284</v>
      </c>
      <c r="H784" s="8" t="s">
        <v>1166</v>
      </c>
      <c r="I784" s="8" t="s">
        <v>2204</v>
      </c>
      <c r="J784" s="8" t="s">
        <v>1479</v>
      </c>
      <c r="K784" s="8" t="s">
        <v>1099</v>
      </c>
      <c r="L784" s="10" t="s">
        <v>1466</v>
      </c>
      <c r="M784" s="10" t="s">
        <v>1467</v>
      </c>
      <c r="N784" s="10" t="s">
        <v>1468</v>
      </c>
      <c r="O784" s="8" t="s">
        <v>1106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1738</v>
      </c>
      <c r="AA784" s="8" t="s">
        <v>331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1093</v>
      </c>
      <c r="E785" s="8" t="s">
        <v>128</v>
      </c>
      <c r="F785" s="8" t="s">
        <v>2250</v>
      </c>
      <c r="G785" s="8" t="s">
        <v>1184</v>
      </c>
      <c r="H785" s="8" t="s">
        <v>2050</v>
      </c>
      <c r="I785" s="8" t="s">
        <v>1192</v>
      </c>
      <c r="J785" s="8" t="s">
        <v>1193</v>
      </c>
      <c r="K785" s="8" t="s">
        <v>1099</v>
      </c>
      <c r="L785" s="10" t="s">
        <v>1194</v>
      </c>
      <c r="M785" s="10" t="s">
        <v>1195</v>
      </c>
      <c r="N785" s="10" t="s">
        <v>128</v>
      </c>
      <c r="O785" s="8" t="s">
        <v>321</v>
      </c>
      <c r="P785" s="8"/>
      <c r="Q785" s="8"/>
      <c r="R785" s="8">
        <v>63324</v>
      </c>
      <c r="S785" s="8" t="s">
        <v>331</v>
      </c>
      <c r="T785" s="8"/>
      <c r="U785" s="8"/>
      <c r="V785" s="8"/>
      <c r="W785" s="8"/>
      <c r="X785" s="8"/>
      <c r="Y785" s="8"/>
      <c r="Z785" s="10" t="s">
        <v>1102</v>
      </c>
      <c r="AA785" s="8" t="s">
        <v>331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1093</v>
      </c>
      <c r="E786" s="8" t="s">
        <v>123</v>
      </c>
      <c r="F786" s="8" t="s">
        <v>2250</v>
      </c>
      <c r="G786" s="8" t="s">
        <v>1120</v>
      </c>
      <c r="H786" s="8" t="s">
        <v>1343</v>
      </c>
      <c r="I786" s="8" t="s">
        <v>1338</v>
      </c>
      <c r="J786" s="8" t="s">
        <v>1169</v>
      </c>
      <c r="K786" s="8" t="s">
        <v>1099</v>
      </c>
      <c r="L786" s="10" t="s">
        <v>1186</v>
      </c>
      <c r="M786" s="10" t="s">
        <v>1339</v>
      </c>
      <c r="N786" s="10" t="s">
        <v>1340</v>
      </c>
      <c r="O786" s="8" t="s">
        <v>321</v>
      </c>
      <c r="P786" s="8"/>
      <c r="Q786" s="8"/>
      <c r="R786" s="8">
        <v>46640</v>
      </c>
      <c r="S786" s="8" t="s">
        <v>331</v>
      </c>
      <c r="T786" s="8"/>
      <c r="U786" s="8"/>
      <c r="V786" s="8"/>
      <c r="W786" s="8"/>
      <c r="X786" s="8"/>
      <c r="Y786" s="8"/>
      <c r="Z786" s="10" t="s">
        <v>1738</v>
      </c>
      <c r="AA786" s="8" t="s">
        <v>331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1093</v>
      </c>
      <c r="E787" s="8" t="s">
        <v>123</v>
      </c>
      <c r="F787" s="8" t="s">
        <v>2250</v>
      </c>
      <c r="G787" s="8" t="s">
        <v>1166</v>
      </c>
      <c r="H787" s="8" t="s">
        <v>1120</v>
      </c>
      <c r="I787" s="8" t="s">
        <v>1344</v>
      </c>
      <c r="J787" s="8" t="s">
        <v>1169</v>
      </c>
      <c r="K787" s="8" t="s">
        <v>1099</v>
      </c>
      <c r="L787" s="10" t="s">
        <v>1186</v>
      </c>
      <c r="M787" s="10" t="s">
        <v>1345</v>
      </c>
      <c r="N787" s="10" t="s">
        <v>1346</v>
      </c>
      <c r="O787" s="8" t="s">
        <v>321</v>
      </c>
      <c r="P787" s="8"/>
      <c r="Q787" s="8"/>
      <c r="R787" s="8">
        <v>76522</v>
      </c>
      <c r="S787" s="8" t="s">
        <v>331</v>
      </c>
      <c r="T787" s="8"/>
      <c r="U787" s="8"/>
      <c r="V787" s="8"/>
      <c r="W787" s="8"/>
      <c r="X787" s="8"/>
      <c r="Y787" s="8"/>
      <c r="Z787" s="10" t="s">
        <v>1738</v>
      </c>
      <c r="AA787" s="8" t="s">
        <v>331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1093</v>
      </c>
      <c r="E788" s="8" t="s">
        <v>123</v>
      </c>
      <c r="F788" s="8" t="s">
        <v>2250</v>
      </c>
      <c r="G788" s="8" t="s">
        <v>1302</v>
      </c>
      <c r="H788" s="8" t="s">
        <v>1303</v>
      </c>
      <c r="I788" s="8" t="s">
        <v>1349</v>
      </c>
      <c r="J788" s="8" t="s">
        <v>1193</v>
      </c>
      <c r="K788" s="8" t="s">
        <v>1099</v>
      </c>
      <c r="L788" s="10" t="s">
        <v>1350</v>
      </c>
      <c r="M788" s="10" t="s">
        <v>1351</v>
      </c>
      <c r="N788" s="10" t="s">
        <v>1352</v>
      </c>
      <c r="O788" s="8" t="s">
        <v>321</v>
      </c>
      <c r="P788" s="8"/>
      <c r="Q788" s="8"/>
      <c r="R788" s="8">
        <v>146880</v>
      </c>
      <c r="S788" s="8" t="s">
        <v>331</v>
      </c>
      <c r="T788" s="8"/>
      <c r="U788" s="8"/>
      <c r="V788" s="8"/>
      <c r="W788" s="8"/>
      <c r="X788" s="8"/>
      <c r="Y788" s="8"/>
      <c r="Z788" s="10" t="s">
        <v>1738</v>
      </c>
      <c r="AA788" s="8" t="s">
        <v>331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1093</v>
      </c>
      <c r="E789" s="8" t="s">
        <v>123</v>
      </c>
      <c r="F789" s="8" t="s">
        <v>2250</v>
      </c>
      <c r="G789" s="8" t="s">
        <v>1303</v>
      </c>
      <c r="H789" s="8" t="s">
        <v>1342</v>
      </c>
      <c r="I789" s="8" t="s">
        <v>1356</v>
      </c>
      <c r="J789" s="8" t="s">
        <v>1193</v>
      </c>
      <c r="K789" s="8" t="s">
        <v>1099</v>
      </c>
      <c r="L789" s="10" t="s">
        <v>1350</v>
      </c>
      <c r="M789" s="10" t="s">
        <v>1357</v>
      </c>
      <c r="N789" s="10" t="s">
        <v>1358</v>
      </c>
      <c r="O789" s="8" t="s">
        <v>1106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1738</v>
      </c>
      <c r="AA789" s="8" t="s">
        <v>331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1093</v>
      </c>
      <c r="E790" s="8" t="s">
        <v>123</v>
      </c>
      <c r="F790" s="8" t="s">
        <v>2250</v>
      </c>
      <c r="G790" s="8" t="s">
        <v>1284</v>
      </c>
      <c r="H790" s="8" t="s">
        <v>1166</v>
      </c>
      <c r="I790" s="8" t="s">
        <v>2088</v>
      </c>
      <c r="J790" s="8" t="s">
        <v>1193</v>
      </c>
      <c r="K790" s="8" t="s">
        <v>1099</v>
      </c>
      <c r="L790" s="10" t="s">
        <v>1186</v>
      </c>
      <c r="M790" s="10" t="s">
        <v>1412</v>
      </c>
      <c r="N790" s="10" t="s">
        <v>1413</v>
      </c>
      <c r="O790" s="8" t="s">
        <v>321</v>
      </c>
      <c r="P790" s="8"/>
      <c r="Q790" s="8"/>
      <c r="R790" s="8">
        <v>2363</v>
      </c>
      <c r="S790" s="8" t="s">
        <v>331</v>
      </c>
      <c r="T790" s="8"/>
      <c r="U790" s="8"/>
      <c r="V790" s="8"/>
      <c r="W790" s="8"/>
      <c r="X790" s="8"/>
      <c r="Y790" s="8"/>
      <c r="Z790" s="10" t="s">
        <v>1738</v>
      </c>
      <c r="AA790" s="8" t="s">
        <v>331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1093</v>
      </c>
      <c r="E791" s="8" t="s">
        <v>123</v>
      </c>
      <c r="F791" s="8" t="s">
        <v>2250</v>
      </c>
      <c r="G791" s="8" t="s">
        <v>1343</v>
      </c>
      <c r="H791" s="8" t="s">
        <v>1302</v>
      </c>
      <c r="I791" s="8" t="s">
        <v>1895</v>
      </c>
      <c r="J791" s="8" t="s">
        <v>1217</v>
      </c>
      <c r="K791" s="8" t="s">
        <v>1099</v>
      </c>
      <c r="L791" s="10" t="s">
        <v>1896</v>
      </c>
      <c r="M791" s="10" t="s">
        <v>1897</v>
      </c>
      <c r="N791" s="10" t="s">
        <v>1413</v>
      </c>
      <c r="O791" s="8" t="s">
        <v>321</v>
      </c>
      <c r="P791" s="8"/>
      <c r="Q791" s="8">
        <v>1205</v>
      </c>
      <c r="R791" s="8">
        <v>3849</v>
      </c>
      <c r="S791" s="8" t="s">
        <v>331</v>
      </c>
      <c r="T791" s="8"/>
      <c r="U791" s="8"/>
      <c r="V791" s="8"/>
      <c r="W791" s="8"/>
      <c r="X791" s="8"/>
      <c r="Y791" s="8"/>
      <c r="Z791" s="10" t="s">
        <v>1738</v>
      </c>
      <c r="AA791" s="8" t="s">
        <v>331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1093</v>
      </c>
      <c r="E792" s="8" t="s">
        <v>128</v>
      </c>
      <c r="F792" s="8" t="s">
        <v>2250</v>
      </c>
      <c r="G792" s="8" t="s">
        <v>1342</v>
      </c>
      <c r="H792" s="8" t="s">
        <v>2253</v>
      </c>
      <c r="I792" s="8" t="s">
        <v>1213</v>
      </c>
      <c r="J792" s="8" t="s">
        <v>1214</v>
      </c>
      <c r="K792" s="8" t="s">
        <v>1099</v>
      </c>
      <c r="L792" s="10" t="s">
        <v>1123</v>
      </c>
      <c r="M792" s="10" t="s">
        <v>1124</v>
      </c>
      <c r="N792" s="10" t="s">
        <v>1215</v>
      </c>
      <c r="O792" s="8" t="s">
        <v>362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2254</v>
      </c>
      <c r="AA792" s="8" t="s">
        <v>331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1093</v>
      </c>
      <c r="E793" s="8" t="s">
        <v>123</v>
      </c>
      <c r="F793" s="8" t="s">
        <v>2250</v>
      </c>
      <c r="G793" s="8" t="s">
        <v>1303</v>
      </c>
      <c r="H793" s="8" t="s">
        <v>1342</v>
      </c>
      <c r="I793" s="8" t="s">
        <v>1356</v>
      </c>
      <c r="J793" s="8" t="s">
        <v>1193</v>
      </c>
      <c r="K793" s="8" t="s">
        <v>1099</v>
      </c>
      <c r="L793" s="10" t="s">
        <v>1350</v>
      </c>
      <c r="M793" s="10" t="s">
        <v>1357</v>
      </c>
      <c r="N793" s="10" t="s">
        <v>1358</v>
      </c>
      <c r="O793" s="8" t="s">
        <v>321</v>
      </c>
      <c r="P793" s="8"/>
      <c r="Q793" s="8"/>
      <c r="R793" s="8">
        <v>131744</v>
      </c>
      <c r="S793" s="8" t="s">
        <v>331</v>
      </c>
      <c r="T793" s="8"/>
      <c r="U793" s="8"/>
      <c r="V793" s="8"/>
      <c r="W793" s="8"/>
      <c r="X793" s="8"/>
      <c r="Y793" s="8"/>
      <c r="Z793" s="10" t="s">
        <v>1738</v>
      </c>
      <c r="AA793" s="8" t="s">
        <v>331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1093</v>
      </c>
      <c r="E794" s="8" t="s">
        <v>123</v>
      </c>
      <c r="F794" s="8" t="s">
        <v>2250</v>
      </c>
      <c r="G794" s="8" t="s">
        <v>1284</v>
      </c>
      <c r="H794" s="8" t="s">
        <v>1166</v>
      </c>
      <c r="I794" s="8" t="s">
        <v>2088</v>
      </c>
      <c r="J794" s="8" t="s">
        <v>1193</v>
      </c>
      <c r="K794" s="8" t="s">
        <v>1099</v>
      </c>
      <c r="L794" s="10" t="s">
        <v>1186</v>
      </c>
      <c r="M794" s="10" t="s">
        <v>1412</v>
      </c>
      <c r="N794" s="10" t="s">
        <v>1413</v>
      </c>
      <c r="O794" s="8" t="s">
        <v>1106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1738</v>
      </c>
      <c r="AA794" s="8" t="s">
        <v>331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1093</v>
      </c>
      <c r="E795" s="8" t="s">
        <v>123</v>
      </c>
      <c r="F795" s="8" t="s">
        <v>2255</v>
      </c>
      <c r="G795" s="8" t="s">
        <v>1149</v>
      </c>
      <c r="H795" s="8" t="s">
        <v>1317</v>
      </c>
      <c r="I795" s="8" t="s">
        <v>1390</v>
      </c>
      <c r="J795" s="8" t="s">
        <v>1204</v>
      </c>
      <c r="K795" s="8" t="s">
        <v>1099</v>
      </c>
      <c r="L795" s="10" t="s">
        <v>1305</v>
      </c>
      <c r="M795" s="10" t="s">
        <v>1391</v>
      </c>
      <c r="N795" s="10" t="s">
        <v>1392</v>
      </c>
      <c r="O795" s="8" t="s">
        <v>321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331</v>
      </c>
      <c r="Z795" s="10" t="s">
        <v>2256</v>
      </c>
      <c r="AA795" s="8" t="s">
        <v>331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1093</v>
      </c>
      <c r="E796" s="8" t="s">
        <v>123</v>
      </c>
      <c r="F796" s="8" t="s">
        <v>2249</v>
      </c>
      <c r="G796" s="8" t="s">
        <v>1120</v>
      </c>
      <c r="H796" s="8" t="s">
        <v>1343</v>
      </c>
      <c r="I796" s="8" t="s">
        <v>1422</v>
      </c>
      <c r="J796" s="8" t="s">
        <v>1214</v>
      </c>
      <c r="K796" s="8" t="s">
        <v>1099</v>
      </c>
      <c r="L796" s="10" t="s">
        <v>1378</v>
      </c>
      <c r="M796" s="10" t="s">
        <v>1423</v>
      </c>
      <c r="N796" s="10" t="s">
        <v>1424</v>
      </c>
      <c r="O796" s="8" t="s">
        <v>1106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1738</v>
      </c>
      <c r="AA796" s="8" t="s">
        <v>331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1093</v>
      </c>
      <c r="E797" s="8" t="s">
        <v>123</v>
      </c>
      <c r="F797" s="8" t="s">
        <v>2255</v>
      </c>
      <c r="G797" s="8" t="s">
        <v>1196</v>
      </c>
      <c r="H797" s="8" t="s">
        <v>1149</v>
      </c>
      <c r="I797" s="8" t="s">
        <v>2015</v>
      </c>
      <c r="J797" s="8" t="s">
        <v>1459</v>
      </c>
      <c r="K797" s="8" t="s">
        <v>1099</v>
      </c>
      <c r="L797" s="10" t="s">
        <v>1170</v>
      </c>
      <c r="M797" s="10" t="s">
        <v>2016</v>
      </c>
      <c r="N797" s="10" t="s">
        <v>2017</v>
      </c>
      <c r="O797" s="8" t="s">
        <v>321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331</v>
      </c>
      <c r="Z797" s="10" t="s">
        <v>2257</v>
      </c>
      <c r="AA797" s="8" t="s">
        <v>331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1093</v>
      </c>
      <c r="E798" s="8" t="s">
        <v>128</v>
      </c>
      <c r="F798" s="8" t="s">
        <v>2250</v>
      </c>
      <c r="G798" s="8" t="s">
        <v>1342</v>
      </c>
      <c r="H798" s="8" t="s">
        <v>2258</v>
      </c>
      <c r="I798" s="8" t="s">
        <v>1213</v>
      </c>
      <c r="J798" s="8" t="s">
        <v>1214</v>
      </c>
      <c r="K798" s="8" t="s">
        <v>1099</v>
      </c>
      <c r="L798" s="10" t="s">
        <v>1123</v>
      </c>
      <c r="M798" s="10" t="s">
        <v>1124</v>
      </c>
      <c r="N798" s="10" t="s">
        <v>1215</v>
      </c>
      <c r="O798" s="8" t="s">
        <v>362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2259</v>
      </c>
      <c r="AA798" s="8" t="s">
        <v>331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1093</v>
      </c>
      <c r="E799" s="8" t="s">
        <v>123</v>
      </c>
      <c r="F799" s="8" t="s">
        <v>2260</v>
      </c>
      <c r="G799" s="8" t="s">
        <v>1284</v>
      </c>
      <c r="H799" s="8" t="s">
        <v>1302</v>
      </c>
      <c r="I799" s="8" t="s">
        <v>1853</v>
      </c>
      <c r="J799" s="8" t="s">
        <v>1111</v>
      </c>
      <c r="K799" s="8" t="s">
        <v>1099</v>
      </c>
      <c r="L799" s="10" t="s">
        <v>1293</v>
      </c>
      <c r="M799" s="10" t="s">
        <v>1854</v>
      </c>
      <c r="N799" s="10" t="s">
        <v>1855</v>
      </c>
      <c r="O799" s="8" t="s">
        <v>362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2261</v>
      </c>
      <c r="AA799" s="8" t="s">
        <v>331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1093</v>
      </c>
      <c r="E800" s="8" t="s">
        <v>123</v>
      </c>
      <c r="F800" s="8" t="s">
        <v>2260</v>
      </c>
      <c r="G800" s="8" t="s">
        <v>1302</v>
      </c>
      <c r="H800" s="8" t="s">
        <v>1303</v>
      </c>
      <c r="I800" s="8" t="s">
        <v>1600</v>
      </c>
      <c r="J800" s="8" t="s">
        <v>1140</v>
      </c>
      <c r="K800" s="8" t="s">
        <v>1099</v>
      </c>
      <c r="L800" s="10" t="s">
        <v>1299</v>
      </c>
      <c r="M800" s="10" t="s">
        <v>1601</v>
      </c>
      <c r="N800" s="10" t="s">
        <v>1602</v>
      </c>
      <c r="O800" s="8" t="s">
        <v>362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2262</v>
      </c>
      <c r="AA800" s="8" t="s">
        <v>331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1093</v>
      </c>
      <c r="E801" s="8" t="s">
        <v>123</v>
      </c>
      <c r="F801" s="8" t="s">
        <v>2255</v>
      </c>
      <c r="G801" s="8" t="s">
        <v>1120</v>
      </c>
      <c r="H801" s="8" t="s">
        <v>1245</v>
      </c>
      <c r="I801" s="8" t="s">
        <v>1313</v>
      </c>
      <c r="J801" s="8" t="s">
        <v>1169</v>
      </c>
      <c r="K801" s="8" t="s">
        <v>1099</v>
      </c>
      <c r="L801" s="10" t="s">
        <v>1314</v>
      </c>
      <c r="M801" s="10" t="s">
        <v>1315</v>
      </c>
      <c r="N801" s="10" t="s">
        <v>1316</v>
      </c>
      <c r="O801" s="8" t="s">
        <v>321</v>
      </c>
      <c r="P801" s="8"/>
      <c r="Q801" s="8"/>
      <c r="R801" s="8">
        <v>395025</v>
      </c>
      <c r="S801" s="8" t="s">
        <v>331</v>
      </c>
      <c r="T801" s="8"/>
      <c r="U801" s="8"/>
      <c r="V801" s="8"/>
      <c r="W801" s="8"/>
      <c r="X801" s="8"/>
      <c r="Y801" s="8"/>
      <c r="Z801" s="10" t="s">
        <v>1738</v>
      </c>
      <c r="AA801" s="8" t="s">
        <v>331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1093</v>
      </c>
      <c r="E802" s="8" t="s">
        <v>123</v>
      </c>
      <c r="F802" s="8" t="s">
        <v>2255</v>
      </c>
      <c r="G802" s="8" t="s">
        <v>1765</v>
      </c>
      <c r="H802" s="8" t="s">
        <v>1505</v>
      </c>
      <c r="I802" s="8" t="s">
        <v>1320</v>
      </c>
      <c r="J802" s="8" t="s">
        <v>1169</v>
      </c>
      <c r="K802" s="8" t="s">
        <v>1099</v>
      </c>
      <c r="L802" s="10" t="s">
        <v>1314</v>
      </c>
      <c r="M802" s="10" t="s">
        <v>1321</v>
      </c>
      <c r="N802" s="10" t="s">
        <v>1322</v>
      </c>
      <c r="O802" s="8" t="s">
        <v>321</v>
      </c>
      <c r="P802" s="8"/>
      <c r="Q802" s="8"/>
      <c r="R802" s="8">
        <v>164338</v>
      </c>
      <c r="S802" s="8" t="s">
        <v>331</v>
      </c>
      <c r="T802" s="8"/>
      <c r="U802" s="8"/>
      <c r="V802" s="8"/>
      <c r="W802" s="8"/>
      <c r="X802" s="8"/>
      <c r="Y802" s="8"/>
      <c r="Z802" s="10" t="s">
        <v>1738</v>
      </c>
      <c r="AA802" s="8" t="s">
        <v>331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1093</v>
      </c>
      <c r="E803" s="8" t="s">
        <v>123</v>
      </c>
      <c r="F803" s="8" t="s">
        <v>2249</v>
      </c>
      <c r="G803" s="8" t="s">
        <v>1166</v>
      </c>
      <c r="H803" s="8" t="s">
        <v>1120</v>
      </c>
      <c r="I803" s="8" t="s">
        <v>1377</v>
      </c>
      <c r="J803" s="8" t="s">
        <v>1193</v>
      </c>
      <c r="K803" s="8" t="s">
        <v>1099</v>
      </c>
      <c r="L803" s="10" t="s">
        <v>1378</v>
      </c>
      <c r="M803" s="10" t="s">
        <v>1379</v>
      </c>
      <c r="N803" s="10" t="s">
        <v>1380</v>
      </c>
      <c r="O803" s="8" t="s">
        <v>1106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1738</v>
      </c>
      <c r="AA803" s="8" t="s">
        <v>331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1093</v>
      </c>
      <c r="E804" s="8" t="s">
        <v>123</v>
      </c>
      <c r="F804" s="8" t="s">
        <v>2255</v>
      </c>
      <c r="G804" s="8" t="s">
        <v>1342</v>
      </c>
      <c r="H804" s="8" t="s">
        <v>1994</v>
      </c>
      <c r="I804" s="8" t="s">
        <v>1426</v>
      </c>
      <c r="J804" s="8" t="s">
        <v>1214</v>
      </c>
      <c r="K804" s="8" t="s">
        <v>1099</v>
      </c>
      <c r="L804" s="10" t="s">
        <v>1314</v>
      </c>
      <c r="M804" s="10" t="s">
        <v>1427</v>
      </c>
      <c r="N804" s="10" t="s">
        <v>1428</v>
      </c>
      <c r="O804" s="8" t="s">
        <v>321</v>
      </c>
      <c r="P804" s="8"/>
      <c r="Q804" s="8"/>
      <c r="R804" s="8">
        <v>11452</v>
      </c>
      <c r="S804" s="8" t="s">
        <v>331</v>
      </c>
      <c r="T804" s="8"/>
      <c r="U804" s="8"/>
      <c r="V804" s="8"/>
      <c r="W804" s="8"/>
      <c r="X804" s="8"/>
      <c r="Y804" s="8"/>
      <c r="Z804" s="10" t="s">
        <v>1738</v>
      </c>
      <c r="AA804" s="8" t="s">
        <v>331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1093</v>
      </c>
      <c r="E805" s="8" t="s">
        <v>123</v>
      </c>
      <c r="F805" s="8" t="s">
        <v>2255</v>
      </c>
      <c r="G805" s="8" t="s">
        <v>1245</v>
      </c>
      <c r="H805" s="8" t="s">
        <v>1571</v>
      </c>
      <c r="I805" s="8" t="s">
        <v>1429</v>
      </c>
      <c r="J805" s="8" t="s">
        <v>1214</v>
      </c>
      <c r="K805" s="8" t="s">
        <v>1099</v>
      </c>
      <c r="L805" s="10" t="s">
        <v>1314</v>
      </c>
      <c r="M805" s="10" t="s">
        <v>1430</v>
      </c>
      <c r="N805" s="10" t="s">
        <v>1295</v>
      </c>
      <c r="O805" s="8" t="s">
        <v>1106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1738</v>
      </c>
      <c r="AA805" s="8" t="s">
        <v>331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1093</v>
      </c>
      <c r="E806" s="8" t="s">
        <v>123</v>
      </c>
      <c r="F806" s="8" t="s">
        <v>2255</v>
      </c>
      <c r="G806" s="8" t="s">
        <v>1302</v>
      </c>
      <c r="H806" s="8" t="s">
        <v>1765</v>
      </c>
      <c r="I806" s="8" t="s">
        <v>1434</v>
      </c>
      <c r="J806" s="8" t="s">
        <v>1214</v>
      </c>
      <c r="K806" s="8" t="s">
        <v>1099</v>
      </c>
      <c r="L806" s="10" t="s">
        <v>1314</v>
      </c>
      <c r="M806" s="10" t="s">
        <v>1435</v>
      </c>
      <c r="N806" s="10" t="s">
        <v>1436</v>
      </c>
      <c r="O806" s="8" t="s">
        <v>321</v>
      </c>
      <c r="P806" s="8"/>
      <c r="Q806" s="8"/>
      <c r="R806" s="8">
        <v>259807</v>
      </c>
      <c r="S806" s="8" t="s">
        <v>331</v>
      </c>
      <c r="T806" s="8"/>
      <c r="U806" s="8"/>
      <c r="V806" s="8"/>
      <c r="W806" s="8"/>
      <c r="X806" s="8"/>
      <c r="Y806" s="8"/>
      <c r="Z806" s="10" t="s">
        <v>1738</v>
      </c>
      <c r="AA806" s="8" t="s">
        <v>331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1093</v>
      </c>
      <c r="E807" s="8" t="s">
        <v>123</v>
      </c>
      <c r="F807" s="8" t="s">
        <v>2255</v>
      </c>
      <c r="G807" s="8" t="s">
        <v>1505</v>
      </c>
      <c r="H807" s="8" t="s">
        <v>1342</v>
      </c>
      <c r="I807" s="8" t="s">
        <v>1437</v>
      </c>
      <c r="J807" s="8" t="s">
        <v>1214</v>
      </c>
      <c r="K807" s="8" t="s">
        <v>1099</v>
      </c>
      <c r="L807" s="10" t="s">
        <v>1314</v>
      </c>
      <c r="M807" s="10" t="s">
        <v>1438</v>
      </c>
      <c r="N807" s="10" t="s">
        <v>1439</v>
      </c>
      <c r="O807" s="8" t="s">
        <v>321</v>
      </c>
      <c r="P807" s="8"/>
      <c r="Q807" s="8"/>
      <c r="R807" s="8">
        <v>127215</v>
      </c>
      <c r="S807" s="8" t="s">
        <v>331</v>
      </c>
      <c r="T807" s="8"/>
      <c r="U807" s="8"/>
      <c r="V807" s="8"/>
      <c r="W807" s="8"/>
      <c r="X807" s="8"/>
      <c r="Y807" s="8"/>
      <c r="Z807" s="10" t="s">
        <v>1738</v>
      </c>
      <c r="AA807" s="8" t="s">
        <v>331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1093</v>
      </c>
      <c r="E808" s="8" t="s">
        <v>123</v>
      </c>
      <c r="F808" s="8" t="s">
        <v>2255</v>
      </c>
      <c r="G808" s="8" t="s">
        <v>1571</v>
      </c>
      <c r="H808" s="8" t="s">
        <v>1302</v>
      </c>
      <c r="I808" s="8" t="s">
        <v>1450</v>
      </c>
      <c r="J808" s="8" t="s">
        <v>1214</v>
      </c>
      <c r="K808" s="8" t="s">
        <v>1099</v>
      </c>
      <c r="L808" s="10" t="s">
        <v>1314</v>
      </c>
      <c r="M808" s="10" t="s">
        <v>1451</v>
      </c>
      <c r="N808" s="10" t="s">
        <v>1410</v>
      </c>
      <c r="O808" s="8" t="s">
        <v>321</v>
      </c>
      <c r="P808" s="8"/>
      <c r="Q808" s="8"/>
      <c r="R808" s="8">
        <v>199625</v>
      </c>
      <c r="S808" s="8" t="s">
        <v>331</v>
      </c>
      <c r="T808" s="8"/>
      <c r="U808" s="8"/>
      <c r="V808" s="8"/>
      <c r="W808" s="8"/>
      <c r="X808" s="8"/>
      <c r="Y808" s="8"/>
      <c r="Z808" s="10" t="s">
        <v>1738</v>
      </c>
      <c r="AA808" s="8" t="s">
        <v>331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1093</v>
      </c>
      <c r="E809" s="8" t="s">
        <v>123</v>
      </c>
      <c r="F809" s="8" t="s">
        <v>2255</v>
      </c>
      <c r="G809" s="8" t="s">
        <v>1994</v>
      </c>
      <c r="H809" s="8" t="s">
        <v>2263</v>
      </c>
      <c r="I809" s="8" t="s">
        <v>1490</v>
      </c>
      <c r="J809" s="8" t="s">
        <v>1491</v>
      </c>
      <c r="K809" s="8" t="s">
        <v>1099</v>
      </c>
      <c r="L809" s="10" t="s">
        <v>1314</v>
      </c>
      <c r="M809" s="10" t="s">
        <v>1492</v>
      </c>
      <c r="N809" s="10" t="s">
        <v>1493</v>
      </c>
      <c r="O809" s="8" t="s">
        <v>321</v>
      </c>
      <c r="P809" s="8"/>
      <c r="Q809" s="8"/>
      <c r="R809" s="8">
        <v>25326</v>
      </c>
      <c r="S809" s="8" t="s">
        <v>331</v>
      </c>
      <c r="T809" s="8"/>
      <c r="U809" s="8"/>
      <c r="V809" s="8"/>
      <c r="W809" s="8"/>
      <c r="X809" s="8"/>
      <c r="Y809" s="8"/>
      <c r="Z809" s="10" t="s">
        <v>1738</v>
      </c>
      <c r="AA809" s="8" t="s">
        <v>331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1093</v>
      </c>
      <c r="E810" s="8" t="s">
        <v>123</v>
      </c>
      <c r="F810" s="8" t="s">
        <v>2264</v>
      </c>
      <c r="G810" s="8" t="s">
        <v>1149</v>
      </c>
      <c r="H810" s="8" t="s">
        <v>1297</v>
      </c>
      <c r="I810" s="8" t="s">
        <v>1267</v>
      </c>
      <c r="J810" s="8" t="s">
        <v>1111</v>
      </c>
      <c r="K810" s="8" t="s">
        <v>1099</v>
      </c>
      <c r="L810" s="10" t="s">
        <v>1268</v>
      </c>
      <c r="M810" s="10" t="s">
        <v>1269</v>
      </c>
      <c r="N810" s="10" t="s">
        <v>1584</v>
      </c>
      <c r="O810" s="8" t="s">
        <v>321</v>
      </c>
      <c r="P810" s="8"/>
      <c r="Q810" s="8">
        <v>10738</v>
      </c>
      <c r="R810" s="8">
        <v>73666</v>
      </c>
      <c r="S810" s="8" t="s">
        <v>331</v>
      </c>
      <c r="T810" s="8"/>
      <c r="U810" s="8"/>
      <c r="V810" s="8"/>
      <c r="W810" s="8"/>
      <c r="X810" s="8"/>
      <c r="Y810" s="8"/>
      <c r="Z810" s="10" t="s">
        <v>1613</v>
      </c>
      <c r="AA810" s="8" t="s">
        <v>331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1093</v>
      </c>
      <c r="E811" s="8" t="s">
        <v>123</v>
      </c>
      <c r="F811" s="8" t="s">
        <v>2264</v>
      </c>
      <c r="G811" s="8" t="s">
        <v>1303</v>
      </c>
      <c r="H811" s="8" t="s">
        <v>1342</v>
      </c>
      <c r="I811" s="8" t="s">
        <v>1286</v>
      </c>
      <c r="J811" s="8" t="s">
        <v>1111</v>
      </c>
      <c r="K811" s="8" t="s">
        <v>1099</v>
      </c>
      <c r="L811" s="10" t="s">
        <v>1287</v>
      </c>
      <c r="M811" s="10" t="s">
        <v>1288</v>
      </c>
      <c r="N811" s="10" t="s">
        <v>1289</v>
      </c>
      <c r="O811" s="8" t="s">
        <v>321</v>
      </c>
      <c r="P811" s="8"/>
      <c r="Q811" s="8">
        <v>15935</v>
      </c>
      <c r="R811" s="8">
        <v>140016</v>
      </c>
      <c r="S811" s="8" t="s">
        <v>331</v>
      </c>
      <c r="T811" s="8"/>
      <c r="U811" s="8"/>
      <c r="V811" s="8"/>
      <c r="W811" s="8"/>
      <c r="X811" s="8"/>
      <c r="Y811" s="8"/>
      <c r="Z811" s="10" t="s">
        <v>116</v>
      </c>
      <c r="AA811" s="8" t="s">
        <v>331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1093</v>
      </c>
      <c r="E812" s="8" t="s">
        <v>123</v>
      </c>
      <c r="F812" s="8" t="s">
        <v>2264</v>
      </c>
      <c r="G812" s="8" t="s">
        <v>1317</v>
      </c>
      <c r="H812" s="8" t="s">
        <v>1273</v>
      </c>
      <c r="I812" s="8" t="s">
        <v>1298</v>
      </c>
      <c r="J812" s="8" t="s">
        <v>1140</v>
      </c>
      <c r="K812" s="8" t="s">
        <v>1099</v>
      </c>
      <c r="L812" s="10" t="s">
        <v>1299</v>
      </c>
      <c r="M812" s="10" t="s">
        <v>1300</v>
      </c>
      <c r="N812" s="10" t="s">
        <v>1301</v>
      </c>
      <c r="O812" s="8" t="s">
        <v>321</v>
      </c>
      <c r="P812" s="8">
        <v>6341</v>
      </c>
      <c r="Q812" s="8">
        <v>15083</v>
      </c>
      <c r="R812" s="8">
        <v>18344</v>
      </c>
      <c r="S812" s="8" t="s">
        <v>331</v>
      </c>
      <c r="T812" s="8"/>
      <c r="U812" s="8"/>
      <c r="V812" s="8"/>
      <c r="W812" s="8"/>
      <c r="X812" s="8"/>
      <c r="Y812" s="8"/>
      <c r="Z812" s="10" t="s">
        <v>1613</v>
      </c>
      <c r="AA812" s="8" t="s">
        <v>331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1093</v>
      </c>
      <c r="E813" s="8" t="s">
        <v>123</v>
      </c>
      <c r="F813" s="8" t="s">
        <v>2264</v>
      </c>
      <c r="G813" s="8" t="s">
        <v>1297</v>
      </c>
      <c r="H813" s="8" t="s">
        <v>1317</v>
      </c>
      <c r="I813" s="8" t="s">
        <v>1600</v>
      </c>
      <c r="J813" s="8" t="s">
        <v>1140</v>
      </c>
      <c r="K813" s="8" t="s">
        <v>1099</v>
      </c>
      <c r="L813" s="10" t="s">
        <v>1299</v>
      </c>
      <c r="M813" s="10" t="s">
        <v>1601</v>
      </c>
      <c r="N813" s="10" t="s">
        <v>1602</v>
      </c>
      <c r="O813" s="8" t="s">
        <v>321</v>
      </c>
      <c r="P813" s="8">
        <v>1749</v>
      </c>
      <c r="Q813" s="8">
        <v>2376</v>
      </c>
      <c r="R813" s="8">
        <v>6220</v>
      </c>
      <c r="S813" s="8" t="s">
        <v>331</v>
      </c>
      <c r="T813" s="8"/>
      <c r="U813" s="8"/>
      <c r="V813" s="8"/>
      <c r="W813" s="8"/>
      <c r="X813" s="8"/>
      <c r="Y813" s="8"/>
      <c r="Z813" s="10" t="s">
        <v>1613</v>
      </c>
      <c r="AA813" s="8" t="s">
        <v>331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1093</v>
      </c>
      <c r="E814" s="8" t="s">
        <v>123</v>
      </c>
      <c r="F814" s="8" t="s">
        <v>2264</v>
      </c>
      <c r="G814" s="8" t="s">
        <v>1273</v>
      </c>
      <c r="H814" s="8" t="s">
        <v>1258</v>
      </c>
      <c r="I814" s="8" t="s">
        <v>1857</v>
      </c>
      <c r="J814" s="8" t="s">
        <v>1140</v>
      </c>
      <c r="K814" s="8" t="s">
        <v>1099</v>
      </c>
      <c r="L814" s="10" t="s">
        <v>1299</v>
      </c>
      <c r="M814" s="10" t="s">
        <v>1858</v>
      </c>
      <c r="N814" s="10" t="s">
        <v>1859</v>
      </c>
      <c r="O814" s="8" t="s">
        <v>321</v>
      </c>
      <c r="P814" s="8">
        <v>81</v>
      </c>
      <c r="Q814" s="8">
        <v>766</v>
      </c>
      <c r="R814" s="8">
        <v>2474</v>
      </c>
      <c r="S814" s="8" t="s">
        <v>331</v>
      </c>
      <c r="T814" s="8"/>
      <c r="U814" s="8"/>
      <c r="V814" s="8"/>
      <c r="W814" s="8"/>
      <c r="X814" s="8"/>
      <c r="Y814" s="8"/>
      <c r="Z814" s="10" t="s">
        <v>1613</v>
      </c>
      <c r="AA814" s="8" t="s">
        <v>331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1093</v>
      </c>
      <c r="E815" s="8" t="s">
        <v>123</v>
      </c>
      <c r="F815" s="8" t="s">
        <v>2265</v>
      </c>
      <c r="G815" s="8" t="s">
        <v>1196</v>
      </c>
      <c r="H815" s="8" t="s">
        <v>1149</v>
      </c>
      <c r="I815" s="8" t="s">
        <v>1623</v>
      </c>
      <c r="J815" s="8" t="s">
        <v>1169</v>
      </c>
      <c r="K815" s="8" t="s">
        <v>1099</v>
      </c>
      <c r="L815" s="10" t="s">
        <v>1624</v>
      </c>
      <c r="M815" s="10" t="s">
        <v>1625</v>
      </c>
      <c r="N815" s="10" t="s">
        <v>1340</v>
      </c>
      <c r="O815" s="8" t="s">
        <v>321</v>
      </c>
      <c r="P815" s="8"/>
      <c r="Q815" s="8"/>
      <c r="R815" s="8">
        <v>213124</v>
      </c>
      <c r="S815" s="8"/>
      <c r="T815" s="8"/>
      <c r="U815" s="8" t="s">
        <v>331</v>
      </c>
      <c r="V815" s="8"/>
      <c r="W815" s="8"/>
      <c r="X815" s="8"/>
      <c r="Y815" s="8" t="s">
        <v>331</v>
      </c>
      <c r="Z815" s="10" t="s">
        <v>2266</v>
      </c>
      <c r="AA815" s="8" t="s">
        <v>331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1093</v>
      </c>
      <c r="E816" s="8" t="s">
        <v>123</v>
      </c>
      <c r="F816" s="8" t="s">
        <v>2265</v>
      </c>
      <c r="G816" s="8" t="s">
        <v>2267</v>
      </c>
      <c r="H816" s="8" t="s">
        <v>1555</v>
      </c>
      <c r="I816" s="8" t="s">
        <v>2268</v>
      </c>
      <c r="J816" s="8" t="s">
        <v>1204</v>
      </c>
      <c r="K816" s="8" t="s">
        <v>1099</v>
      </c>
      <c r="L816" s="10" t="s">
        <v>1170</v>
      </c>
      <c r="M816" s="10" t="s">
        <v>2269</v>
      </c>
      <c r="N816" s="10" t="s">
        <v>2270</v>
      </c>
      <c r="O816" s="8" t="s">
        <v>362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2271</v>
      </c>
      <c r="AA816" s="8" t="s">
        <v>331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1093</v>
      </c>
      <c r="E817" s="8" t="s">
        <v>123</v>
      </c>
      <c r="F817" s="8" t="s">
        <v>2264</v>
      </c>
      <c r="G817" s="8" t="s">
        <v>1343</v>
      </c>
      <c r="H817" s="8" t="s">
        <v>1302</v>
      </c>
      <c r="I817" s="8" t="s">
        <v>1452</v>
      </c>
      <c r="J817" s="8" t="s">
        <v>1214</v>
      </c>
      <c r="K817" s="8" t="s">
        <v>1099</v>
      </c>
      <c r="L817" s="10" t="s">
        <v>1453</v>
      </c>
      <c r="M817" s="10" t="s">
        <v>1454</v>
      </c>
      <c r="N817" s="10"/>
      <c r="O817" s="8" t="s">
        <v>321</v>
      </c>
      <c r="P817" s="8"/>
      <c r="Q817" s="8"/>
      <c r="R817" s="8">
        <v>133644</v>
      </c>
      <c r="S817" s="8" t="s">
        <v>331</v>
      </c>
      <c r="T817" s="8"/>
      <c r="U817" s="8"/>
      <c r="V817" s="8"/>
      <c r="W817" s="8"/>
      <c r="X817" s="8"/>
      <c r="Y817" s="8"/>
      <c r="Z817" s="10" t="s">
        <v>312</v>
      </c>
      <c r="AA817" s="8" t="s">
        <v>331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1093</v>
      </c>
      <c r="E818" s="8" t="s">
        <v>123</v>
      </c>
      <c r="F818" s="8" t="s">
        <v>2255</v>
      </c>
      <c r="G818" s="8" t="s">
        <v>1245</v>
      </c>
      <c r="H818" s="8" t="s">
        <v>1571</v>
      </c>
      <c r="I818" s="8" t="s">
        <v>1429</v>
      </c>
      <c r="J818" s="8" t="s">
        <v>1214</v>
      </c>
      <c r="K818" s="8" t="s">
        <v>1099</v>
      </c>
      <c r="L818" s="10" t="s">
        <v>1314</v>
      </c>
      <c r="M818" s="10" t="s">
        <v>1430</v>
      </c>
      <c r="N818" s="10" t="s">
        <v>1295</v>
      </c>
      <c r="O818" s="8" t="s">
        <v>321</v>
      </c>
      <c r="P818" s="8"/>
      <c r="Q818" s="8"/>
      <c r="R818" s="8">
        <v>147602</v>
      </c>
      <c r="S818" s="8" t="s">
        <v>331</v>
      </c>
      <c r="T818" s="8"/>
      <c r="U818" s="8"/>
      <c r="V818" s="8"/>
      <c r="W818" s="8"/>
      <c r="X818" s="8"/>
      <c r="Y818" s="8"/>
      <c r="Z818" s="10" t="s">
        <v>1738</v>
      </c>
      <c r="AA818" s="8" t="s">
        <v>331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1093</v>
      </c>
      <c r="E819" s="8" t="s">
        <v>123</v>
      </c>
      <c r="F819" s="8" t="s">
        <v>2255</v>
      </c>
      <c r="G819" s="8" t="s">
        <v>1571</v>
      </c>
      <c r="H819" s="8" t="s">
        <v>1302</v>
      </c>
      <c r="I819" s="8" t="s">
        <v>1450</v>
      </c>
      <c r="J819" s="8" t="s">
        <v>1214</v>
      </c>
      <c r="K819" s="8" t="s">
        <v>1099</v>
      </c>
      <c r="L819" s="10" t="s">
        <v>1314</v>
      </c>
      <c r="M819" s="10" t="s">
        <v>1451</v>
      </c>
      <c r="N819" s="10" t="s">
        <v>1410</v>
      </c>
      <c r="O819" s="8" t="s">
        <v>1106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1738</v>
      </c>
      <c r="AA819" s="8" t="s">
        <v>331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1093</v>
      </c>
      <c r="E820" s="8" t="s">
        <v>123</v>
      </c>
      <c r="F820" s="8" t="s">
        <v>2264</v>
      </c>
      <c r="G820" s="8" t="s">
        <v>1303</v>
      </c>
      <c r="H820" s="8" t="s">
        <v>1342</v>
      </c>
      <c r="I820" s="8" t="s">
        <v>1286</v>
      </c>
      <c r="J820" s="8" t="s">
        <v>1111</v>
      </c>
      <c r="K820" s="8" t="s">
        <v>1099</v>
      </c>
      <c r="L820" s="10" t="s">
        <v>1287</v>
      </c>
      <c r="M820" s="10" t="s">
        <v>1288</v>
      </c>
      <c r="N820" s="10" t="s">
        <v>1289</v>
      </c>
      <c r="O820" s="8" t="s">
        <v>1106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331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1093</v>
      </c>
      <c r="E821" s="8" t="s">
        <v>123</v>
      </c>
      <c r="F821" s="8" t="s">
        <v>2249</v>
      </c>
      <c r="G821" s="8" t="s">
        <v>1343</v>
      </c>
      <c r="H821" s="8" t="s">
        <v>1302</v>
      </c>
      <c r="I821" s="8" t="s">
        <v>1630</v>
      </c>
      <c r="J821" s="8" t="s">
        <v>1193</v>
      </c>
      <c r="K821" s="8" t="s">
        <v>1099</v>
      </c>
      <c r="L821" s="10" t="s">
        <v>1378</v>
      </c>
      <c r="M821" s="10" t="s">
        <v>1631</v>
      </c>
      <c r="N821" s="10" t="s">
        <v>1632</v>
      </c>
      <c r="O821" s="8" t="s">
        <v>1106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1738</v>
      </c>
      <c r="AA821" s="8" t="s">
        <v>331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1093</v>
      </c>
      <c r="E822" s="8" t="s">
        <v>123</v>
      </c>
      <c r="F822" s="8" t="s">
        <v>2264</v>
      </c>
      <c r="G822" s="8" t="s">
        <v>1343</v>
      </c>
      <c r="H822" s="8" t="s">
        <v>1302</v>
      </c>
      <c r="I822" s="8" t="s">
        <v>1452</v>
      </c>
      <c r="J822" s="8" t="s">
        <v>1214</v>
      </c>
      <c r="K822" s="8" t="s">
        <v>1099</v>
      </c>
      <c r="L822" s="10" t="s">
        <v>1453</v>
      </c>
      <c r="M822" s="10" t="s">
        <v>1454</v>
      </c>
      <c r="N822" s="10"/>
      <c r="O822" s="8" t="s">
        <v>1106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312</v>
      </c>
      <c r="AA822" s="8" t="s">
        <v>331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1093</v>
      </c>
      <c r="E823" s="8" t="s">
        <v>123</v>
      </c>
      <c r="F823" s="8" t="s">
        <v>2272</v>
      </c>
      <c r="G823" s="8" t="s">
        <v>1196</v>
      </c>
      <c r="H823" s="8" t="s">
        <v>1279</v>
      </c>
      <c r="I823" s="8" t="s">
        <v>1281</v>
      </c>
      <c r="J823" s="8" t="s">
        <v>1111</v>
      </c>
      <c r="K823" s="8" t="s">
        <v>1099</v>
      </c>
      <c r="L823" s="10" t="s">
        <v>1282</v>
      </c>
      <c r="M823" s="10" t="s">
        <v>1283</v>
      </c>
      <c r="N823" s="10"/>
      <c r="O823" s="8" t="s">
        <v>321</v>
      </c>
      <c r="P823" s="8"/>
      <c r="Q823" s="8">
        <v>2050</v>
      </c>
      <c r="R823" s="8">
        <v>41000</v>
      </c>
      <c r="S823" s="8" t="s">
        <v>331</v>
      </c>
      <c r="T823" s="8"/>
      <c r="U823" s="8"/>
      <c r="V823" s="8"/>
      <c r="W823" s="8"/>
      <c r="X823" s="8"/>
      <c r="Y823" s="8"/>
      <c r="Z823" s="10" t="s">
        <v>116</v>
      </c>
      <c r="AA823" s="8" t="s">
        <v>331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1093</v>
      </c>
      <c r="E824" s="8" t="s">
        <v>123</v>
      </c>
      <c r="F824" s="8" t="s">
        <v>2272</v>
      </c>
      <c r="G824" s="8" t="s">
        <v>1149</v>
      </c>
      <c r="H824" s="8" t="s">
        <v>1297</v>
      </c>
      <c r="I824" s="8" t="s">
        <v>1606</v>
      </c>
      <c r="J824" s="8" t="s">
        <v>1140</v>
      </c>
      <c r="K824" s="8" t="s">
        <v>1099</v>
      </c>
      <c r="L824" s="10" t="s">
        <v>1260</v>
      </c>
      <c r="M824" s="10" t="s">
        <v>1261</v>
      </c>
      <c r="N824" s="10" t="s">
        <v>1413</v>
      </c>
      <c r="O824" s="8" t="s">
        <v>321</v>
      </c>
      <c r="P824" s="8"/>
      <c r="Q824" s="8">
        <v>700</v>
      </c>
      <c r="R824" s="8">
        <v>10500</v>
      </c>
      <c r="S824" s="8" t="s">
        <v>331</v>
      </c>
      <c r="T824" s="8"/>
      <c r="U824" s="8"/>
      <c r="V824" s="8"/>
      <c r="W824" s="8"/>
      <c r="X824" s="8"/>
      <c r="Y824" s="8"/>
      <c r="Z824" s="10" t="s">
        <v>116</v>
      </c>
      <c r="AA824" s="8" t="s">
        <v>331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1093</v>
      </c>
      <c r="E825" s="8" t="s">
        <v>123</v>
      </c>
      <c r="F825" s="8" t="s">
        <v>2272</v>
      </c>
      <c r="G825" s="8" t="s">
        <v>1279</v>
      </c>
      <c r="H825" s="8" t="s">
        <v>1149</v>
      </c>
      <c r="I825" s="8" t="s">
        <v>1363</v>
      </c>
      <c r="J825" s="8" t="s">
        <v>1193</v>
      </c>
      <c r="K825" s="8" t="s">
        <v>1099</v>
      </c>
      <c r="L825" s="10" t="s">
        <v>1364</v>
      </c>
      <c r="M825" s="10" t="s">
        <v>1365</v>
      </c>
      <c r="N825" s="10"/>
      <c r="O825" s="8" t="s">
        <v>321</v>
      </c>
      <c r="P825" s="8"/>
      <c r="Q825" s="8"/>
      <c r="R825" s="8">
        <v>46000</v>
      </c>
      <c r="S825" s="8" t="s">
        <v>331</v>
      </c>
      <c r="T825" s="8"/>
      <c r="U825" s="8"/>
      <c r="V825" s="8"/>
      <c r="W825" s="8"/>
      <c r="X825" s="8"/>
      <c r="Y825" s="8"/>
      <c r="Z825" s="10" t="s">
        <v>116</v>
      </c>
      <c r="AA825" s="8" t="s">
        <v>331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1093</v>
      </c>
      <c r="E826" s="8" t="s">
        <v>123</v>
      </c>
      <c r="F826" s="8" t="s">
        <v>2255</v>
      </c>
      <c r="G826" s="8" t="s">
        <v>1505</v>
      </c>
      <c r="H826" s="8" t="s">
        <v>1342</v>
      </c>
      <c r="I826" s="8" t="s">
        <v>1437</v>
      </c>
      <c r="J826" s="8" t="s">
        <v>1214</v>
      </c>
      <c r="K826" s="8" t="s">
        <v>1099</v>
      </c>
      <c r="L826" s="10" t="s">
        <v>1314</v>
      </c>
      <c r="M826" s="10" t="s">
        <v>1438</v>
      </c>
      <c r="N826" s="10" t="s">
        <v>1439</v>
      </c>
      <c r="O826" s="8" t="s">
        <v>1106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1738</v>
      </c>
      <c r="AA826" s="8" t="s">
        <v>331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1093</v>
      </c>
      <c r="E827" s="8" t="s">
        <v>123</v>
      </c>
      <c r="F827" s="8" t="s">
        <v>2264</v>
      </c>
      <c r="G827" s="8" t="s">
        <v>1196</v>
      </c>
      <c r="H827" s="8" t="s">
        <v>1279</v>
      </c>
      <c r="I827" s="8" t="s">
        <v>2273</v>
      </c>
      <c r="J827" s="8" t="s">
        <v>1459</v>
      </c>
      <c r="K827" s="8" t="s">
        <v>1099</v>
      </c>
      <c r="L827" s="10" t="s">
        <v>1997</v>
      </c>
      <c r="M827" s="10" t="s">
        <v>2274</v>
      </c>
      <c r="N827" s="10" t="s">
        <v>1999</v>
      </c>
      <c r="O827" s="8" t="s">
        <v>1106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1613</v>
      </c>
      <c r="AA827" s="8" t="s">
        <v>331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1093</v>
      </c>
      <c r="E828" s="8" t="s">
        <v>123</v>
      </c>
      <c r="F828" s="8" t="s">
        <v>2272</v>
      </c>
      <c r="G828" s="8" t="s">
        <v>1303</v>
      </c>
      <c r="H828" s="8" t="s">
        <v>2275</v>
      </c>
      <c r="I828" s="8" t="s">
        <v>1344</v>
      </c>
      <c r="J828" s="8" t="s">
        <v>1169</v>
      </c>
      <c r="K828" s="8" t="s">
        <v>1099</v>
      </c>
      <c r="L828" s="10" t="s">
        <v>1186</v>
      </c>
      <c r="M828" s="10" t="s">
        <v>1345</v>
      </c>
      <c r="N828" s="10" t="s">
        <v>1346</v>
      </c>
      <c r="O828" s="8" t="s">
        <v>362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2276</v>
      </c>
      <c r="AA828" s="8" t="s">
        <v>331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1093</v>
      </c>
      <c r="E829" s="8" t="s">
        <v>123</v>
      </c>
      <c r="F829" s="8" t="s">
        <v>2250</v>
      </c>
      <c r="G829" s="8" t="s">
        <v>1302</v>
      </c>
      <c r="H829" s="8" t="s">
        <v>1303</v>
      </c>
      <c r="I829" s="8" t="s">
        <v>1349</v>
      </c>
      <c r="J829" s="8" t="s">
        <v>1193</v>
      </c>
      <c r="K829" s="8" t="s">
        <v>1099</v>
      </c>
      <c r="L829" s="10" t="s">
        <v>1350</v>
      </c>
      <c r="M829" s="10" t="s">
        <v>1351</v>
      </c>
      <c r="N829" s="10" t="s">
        <v>1352</v>
      </c>
      <c r="O829" s="8" t="s">
        <v>1106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1738</v>
      </c>
      <c r="AA829" s="8" t="s">
        <v>331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1093</v>
      </c>
      <c r="E830" s="8" t="s">
        <v>128</v>
      </c>
      <c r="F830" s="8" t="s">
        <v>2277</v>
      </c>
      <c r="G830" s="8" t="s">
        <v>1242</v>
      </c>
      <c r="H830" s="8" t="s">
        <v>1318</v>
      </c>
      <c r="I830" s="8" t="s">
        <v>1122</v>
      </c>
      <c r="J830" s="8" t="s">
        <v>1111</v>
      </c>
      <c r="K830" s="8" t="s">
        <v>1099</v>
      </c>
      <c r="L830" s="10" t="s">
        <v>1123</v>
      </c>
      <c r="M830" s="10" t="s">
        <v>1124</v>
      </c>
      <c r="N830" s="10" t="s">
        <v>1125</v>
      </c>
      <c r="O830" s="8" t="s">
        <v>321</v>
      </c>
      <c r="P830" s="8"/>
      <c r="Q830" s="8">
        <v>37518</v>
      </c>
      <c r="R830" s="8">
        <v>68596</v>
      </c>
      <c r="S830" s="8" t="s">
        <v>331</v>
      </c>
      <c r="T830" s="8"/>
      <c r="U830" s="8"/>
      <c r="V830" s="8"/>
      <c r="W830" s="8"/>
      <c r="X830" s="8"/>
      <c r="Y830" s="8"/>
      <c r="Z830" s="10" t="s">
        <v>1102</v>
      </c>
      <c r="AA830" s="8" t="s">
        <v>331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1093</v>
      </c>
      <c r="E831" s="8" t="s">
        <v>128</v>
      </c>
      <c r="F831" s="8" t="s">
        <v>2277</v>
      </c>
      <c r="G831" s="8" t="s">
        <v>1279</v>
      </c>
      <c r="H831" s="8" t="s">
        <v>1149</v>
      </c>
      <c r="I831" s="8" t="s">
        <v>1175</v>
      </c>
      <c r="J831" s="8" t="s">
        <v>1169</v>
      </c>
      <c r="K831" s="8" t="s">
        <v>1099</v>
      </c>
      <c r="L831" s="10" t="s">
        <v>1123</v>
      </c>
      <c r="M831" s="10" t="s">
        <v>1124</v>
      </c>
      <c r="N831" s="10" t="s">
        <v>1176</v>
      </c>
      <c r="O831" s="8" t="s">
        <v>321</v>
      </c>
      <c r="P831" s="8"/>
      <c r="Q831" s="8"/>
      <c r="R831" s="8">
        <v>88174</v>
      </c>
      <c r="S831" s="8" t="s">
        <v>331</v>
      </c>
      <c r="T831" s="8"/>
      <c r="U831" s="8"/>
      <c r="V831" s="8"/>
      <c r="W831" s="8"/>
      <c r="X831" s="8"/>
      <c r="Y831" s="8"/>
      <c r="Z831" s="10" t="s">
        <v>1102</v>
      </c>
      <c r="AA831" s="8" t="s">
        <v>331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1093</v>
      </c>
      <c r="E832" s="8" t="s">
        <v>128</v>
      </c>
      <c r="F832" s="8" t="s">
        <v>2277</v>
      </c>
      <c r="G832" s="8" t="s">
        <v>2267</v>
      </c>
      <c r="H832" s="8" t="s">
        <v>1297</v>
      </c>
      <c r="I832" s="8" t="s">
        <v>1213</v>
      </c>
      <c r="J832" s="8" t="s">
        <v>1214</v>
      </c>
      <c r="K832" s="8" t="s">
        <v>1099</v>
      </c>
      <c r="L832" s="10" t="s">
        <v>1123</v>
      </c>
      <c r="M832" s="10" t="s">
        <v>1124</v>
      </c>
      <c r="N832" s="10" t="s">
        <v>1215</v>
      </c>
      <c r="O832" s="8" t="s">
        <v>321</v>
      </c>
      <c r="P832" s="8"/>
      <c r="Q832" s="8"/>
      <c r="R832" s="8">
        <v>127238</v>
      </c>
      <c r="S832" s="8" t="s">
        <v>331</v>
      </c>
      <c r="T832" s="8"/>
      <c r="U832" s="8"/>
      <c r="V832" s="8"/>
      <c r="W832" s="8"/>
      <c r="X832" s="8"/>
      <c r="Y832" s="8"/>
      <c r="Z832" s="10" t="s">
        <v>1102</v>
      </c>
      <c r="AA832" s="8" t="s">
        <v>331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1093</v>
      </c>
      <c r="E833" s="8" t="s">
        <v>123</v>
      </c>
      <c r="F833" s="8" t="s">
        <v>2264</v>
      </c>
      <c r="G833" s="8" t="s">
        <v>1266</v>
      </c>
      <c r="H833" s="8" t="s">
        <v>1196</v>
      </c>
      <c r="I833" s="8" t="s">
        <v>2154</v>
      </c>
      <c r="J833" s="8" t="s">
        <v>1111</v>
      </c>
      <c r="K833" s="8" t="s">
        <v>1099</v>
      </c>
      <c r="L833" s="10" t="s">
        <v>1997</v>
      </c>
      <c r="M833" s="10" t="s">
        <v>1998</v>
      </c>
      <c r="N833" s="10" t="s">
        <v>2155</v>
      </c>
      <c r="O833" s="8" t="s">
        <v>1106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1613</v>
      </c>
      <c r="AA833" s="8" t="s">
        <v>331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1093</v>
      </c>
      <c r="E834" s="8" t="s">
        <v>123</v>
      </c>
      <c r="F834" s="8" t="s">
        <v>2264</v>
      </c>
      <c r="G834" s="8" t="s">
        <v>1297</v>
      </c>
      <c r="H834" s="8" t="s">
        <v>1317</v>
      </c>
      <c r="I834" s="8" t="s">
        <v>1600</v>
      </c>
      <c r="J834" s="8" t="s">
        <v>1140</v>
      </c>
      <c r="K834" s="8" t="s">
        <v>1099</v>
      </c>
      <c r="L834" s="10" t="s">
        <v>1299</v>
      </c>
      <c r="M834" s="10" t="s">
        <v>1601</v>
      </c>
      <c r="N834" s="10" t="s">
        <v>1602</v>
      </c>
      <c r="O834" s="8" t="s">
        <v>1106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1613</v>
      </c>
      <c r="AA834" s="8" t="s">
        <v>331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1093</v>
      </c>
      <c r="E835" s="8" t="s">
        <v>123</v>
      </c>
      <c r="F835" s="8" t="s">
        <v>2249</v>
      </c>
      <c r="G835" s="8" t="s">
        <v>1303</v>
      </c>
      <c r="H835" s="8" t="s">
        <v>1342</v>
      </c>
      <c r="I835" s="8" t="s">
        <v>1418</v>
      </c>
      <c r="J835" s="8" t="s">
        <v>1214</v>
      </c>
      <c r="K835" s="8" t="s">
        <v>1099</v>
      </c>
      <c r="L835" s="10" t="s">
        <v>1419</v>
      </c>
      <c r="M835" s="10" t="s">
        <v>1420</v>
      </c>
      <c r="N835" s="10" t="s">
        <v>216</v>
      </c>
      <c r="O835" s="8" t="s">
        <v>1106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1738</v>
      </c>
      <c r="AA835" s="8" t="s">
        <v>331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1093</v>
      </c>
      <c r="E836" s="8" t="s">
        <v>123</v>
      </c>
      <c r="F836" s="8" t="s">
        <v>2264</v>
      </c>
      <c r="G836" s="8" t="s">
        <v>1279</v>
      </c>
      <c r="H836" s="8" t="s">
        <v>1149</v>
      </c>
      <c r="I836" s="8" t="s">
        <v>1996</v>
      </c>
      <c r="J836" s="8" t="s">
        <v>1214</v>
      </c>
      <c r="K836" s="8" t="s">
        <v>1099</v>
      </c>
      <c r="L836" s="10" t="s">
        <v>1997</v>
      </c>
      <c r="M836" s="10" t="s">
        <v>1998</v>
      </c>
      <c r="N836" s="10" t="s">
        <v>1999</v>
      </c>
      <c r="O836" s="8" t="s">
        <v>1106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1613</v>
      </c>
      <c r="AA836" s="8" t="s">
        <v>331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1093</v>
      </c>
      <c r="E837" s="8" t="s">
        <v>128</v>
      </c>
      <c r="F837" s="8" t="s">
        <v>2250</v>
      </c>
      <c r="G837" s="8" t="s">
        <v>1184</v>
      </c>
      <c r="H837" s="8" t="s">
        <v>2050</v>
      </c>
      <c r="I837" s="8" t="s">
        <v>1192</v>
      </c>
      <c r="J837" s="8" t="s">
        <v>1193</v>
      </c>
      <c r="K837" s="8" t="s">
        <v>1099</v>
      </c>
      <c r="L837" s="10" t="s">
        <v>1194</v>
      </c>
      <c r="M837" s="10" t="s">
        <v>1195</v>
      </c>
      <c r="N837" s="10" t="s">
        <v>128</v>
      </c>
      <c r="O837" s="8" t="s">
        <v>1106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1102</v>
      </c>
      <c r="AA837" s="8" t="s">
        <v>331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1093</v>
      </c>
      <c r="E838" s="8" t="s">
        <v>123</v>
      </c>
      <c r="F838" s="8" t="s">
        <v>2264</v>
      </c>
      <c r="G838" s="8" t="s">
        <v>1149</v>
      </c>
      <c r="H838" s="8" t="s">
        <v>1297</v>
      </c>
      <c r="I838" s="8" t="s">
        <v>1267</v>
      </c>
      <c r="J838" s="8" t="s">
        <v>1111</v>
      </c>
      <c r="K838" s="8" t="s">
        <v>1099</v>
      </c>
      <c r="L838" s="10" t="s">
        <v>1268</v>
      </c>
      <c r="M838" s="10" t="s">
        <v>1269</v>
      </c>
      <c r="N838" s="10" t="s">
        <v>1584</v>
      </c>
      <c r="O838" s="8" t="s">
        <v>1106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1613</v>
      </c>
      <c r="AA838" s="8" t="s">
        <v>331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1093</v>
      </c>
      <c r="E839" s="8" t="s">
        <v>123</v>
      </c>
      <c r="F839" s="8" t="s">
        <v>2264</v>
      </c>
      <c r="G839" s="8" t="s">
        <v>1166</v>
      </c>
      <c r="H839" s="8" t="s">
        <v>1120</v>
      </c>
      <c r="I839" s="8" t="s">
        <v>1623</v>
      </c>
      <c r="J839" s="8" t="s">
        <v>1169</v>
      </c>
      <c r="K839" s="8" t="s">
        <v>1099</v>
      </c>
      <c r="L839" s="10" t="s">
        <v>1624</v>
      </c>
      <c r="M839" s="10" t="s">
        <v>1625</v>
      </c>
      <c r="N839" s="10" t="s">
        <v>1340</v>
      </c>
      <c r="O839" s="8" t="s">
        <v>1106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331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1093</v>
      </c>
      <c r="E840" s="8" t="s">
        <v>123</v>
      </c>
      <c r="F840" s="8" t="s">
        <v>2278</v>
      </c>
      <c r="G840" s="8" t="s">
        <v>1196</v>
      </c>
      <c r="H840" s="8" t="s">
        <v>1297</v>
      </c>
      <c r="I840" s="8" t="s">
        <v>2268</v>
      </c>
      <c r="J840" s="8" t="s">
        <v>1204</v>
      </c>
      <c r="K840" s="8" t="s">
        <v>1099</v>
      </c>
      <c r="L840" s="10" t="s">
        <v>1170</v>
      </c>
      <c r="M840" s="10" t="s">
        <v>2269</v>
      </c>
      <c r="N840" s="10" t="s">
        <v>2270</v>
      </c>
      <c r="O840" s="8" t="s">
        <v>321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331</v>
      </c>
      <c r="Z840" s="10" t="s">
        <v>2279</v>
      </c>
      <c r="AA840" s="8" t="s">
        <v>331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1093</v>
      </c>
      <c r="E841" s="8" t="s">
        <v>123</v>
      </c>
      <c r="F841" s="8" t="s">
        <v>2278</v>
      </c>
      <c r="G841" s="8" t="s">
        <v>1297</v>
      </c>
      <c r="H841" s="8" t="s">
        <v>2280</v>
      </c>
      <c r="I841" s="8" t="s">
        <v>2245</v>
      </c>
      <c r="J841" s="8" t="s">
        <v>1204</v>
      </c>
      <c r="K841" s="8" t="s">
        <v>1099</v>
      </c>
      <c r="L841" s="10" t="s">
        <v>1170</v>
      </c>
      <c r="M841" s="10" t="s">
        <v>2246</v>
      </c>
      <c r="N841" s="10" t="s">
        <v>2247</v>
      </c>
      <c r="O841" s="8" t="s">
        <v>321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331</v>
      </c>
      <c r="Z841" s="10" t="s">
        <v>2281</v>
      </c>
      <c r="AA841" s="8" t="s">
        <v>331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1093</v>
      </c>
      <c r="E842" s="8" t="s">
        <v>139</v>
      </c>
      <c r="F842" s="8" t="s">
        <v>2277</v>
      </c>
      <c r="G842" s="8" t="s">
        <v>2208</v>
      </c>
      <c r="H842" s="8" t="s">
        <v>2282</v>
      </c>
      <c r="I842" s="8" t="s">
        <v>1502</v>
      </c>
      <c r="J842" s="8" t="s">
        <v>1217</v>
      </c>
      <c r="K842" s="8" t="s">
        <v>1099</v>
      </c>
      <c r="L842" s="10" t="s">
        <v>1503</v>
      </c>
      <c r="M842" s="10" t="s">
        <v>1504</v>
      </c>
      <c r="N842" s="10" t="s">
        <v>1346</v>
      </c>
      <c r="O842" s="8" t="s">
        <v>1106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331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1093</v>
      </c>
      <c r="E843" s="8" t="s">
        <v>139</v>
      </c>
      <c r="F843" s="8" t="s">
        <v>2277</v>
      </c>
      <c r="G843" s="8" t="s">
        <v>2208</v>
      </c>
      <c r="H843" s="8" t="s">
        <v>2282</v>
      </c>
      <c r="I843" s="8" t="s">
        <v>1509</v>
      </c>
      <c r="J843" s="8" t="s">
        <v>1217</v>
      </c>
      <c r="K843" s="8" t="s">
        <v>1099</v>
      </c>
      <c r="L843" s="10" t="s">
        <v>1503</v>
      </c>
      <c r="M843" s="10" t="s">
        <v>1504</v>
      </c>
      <c r="N843" s="10" t="s">
        <v>1346</v>
      </c>
      <c r="O843" s="8" t="s">
        <v>1106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331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1093</v>
      </c>
      <c r="E844" s="8" t="s">
        <v>128</v>
      </c>
      <c r="F844" s="8" t="s">
        <v>263</v>
      </c>
      <c r="G844" s="8" t="s">
        <v>1148</v>
      </c>
      <c r="H844" s="8" t="s">
        <v>2052</v>
      </c>
      <c r="I844" s="8" t="s">
        <v>1110</v>
      </c>
      <c r="J844" s="8" t="s">
        <v>1111</v>
      </c>
      <c r="K844" s="8" t="s">
        <v>1099</v>
      </c>
      <c r="L844" s="10" t="s">
        <v>1112</v>
      </c>
      <c r="M844" s="10" t="s">
        <v>1113</v>
      </c>
      <c r="N844" s="10" t="s">
        <v>128</v>
      </c>
      <c r="O844" s="8" t="s">
        <v>1106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1106</v>
      </c>
      <c r="AA844" s="8" t="s">
        <v>331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1093</v>
      </c>
      <c r="E845" s="8" t="s">
        <v>128</v>
      </c>
      <c r="F845" s="8" t="s">
        <v>263</v>
      </c>
      <c r="G845" s="8" t="s">
        <v>1196</v>
      </c>
      <c r="H845" s="8" t="s">
        <v>1679</v>
      </c>
      <c r="I845" s="8" t="s">
        <v>1116</v>
      </c>
      <c r="J845" s="8" t="s">
        <v>1111</v>
      </c>
      <c r="K845" s="8" t="s">
        <v>1099</v>
      </c>
      <c r="L845" s="10" t="s">
        <v>1117</v>
      </c>
      <c r="M845" s="10" t="s">
        <v>1118</v>
      </c>
      <c r="N845" s="10" t="s">
        <v>1802</v>
      </c>
      <c r="O845" s="8" t="s">
        <v>1106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1106</v>
      </c>
      <c r="AA845" s="8" t="s">
        <v>331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1093</v>
      </c>
      <c r="E846" s="8" t="s">
        <v>128</v>
      </c>
      <c r="F846" s="8" t="s">
        <v>263</v>
      </c>
      <c r="G846" s="8" t="s">
        <v>1105</v>
      </c>
      <c r="H846" s="8" t="s">
        <v>2205</v>
      </c>
      <c r="I846" s="8" t="s">
        <v>1128</v>
      </c>
      <c r="J846" s="8" t="s">
        <v>1111</v>
      </c>
      <c r="K846" s="8" t="s">
        <v>1099</v>
      </c>
      <c r="L846" s="10" t="s">
        <v>1129</v>
      </c>
      <c r="M846" s="10" t="s">
        <v>1130</v>
      </c>
      <c r="N846" s="10" t="s">
        <v>1131</v>
      </c>
      <c r="O846" s="8" t="s">
        <v>1106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1106</v>
      </c>
      <c r="AA846" s="8" t="s">
        <v>331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1093</v>
      </c>
      <c r="E847" s="8" t="s">
        <v>128</v>
      </c>
      <c r="F847" s="8" t="s">
        <v>263</v>
      </c>
      <c r="G847" s="8" t="s">
        <v>1971</v>
      </c>
      <c r="H847" s="8" t="s">
        <v>1829</v>
      </c>
      <c r="I847" s="8" t="s">
        <v>1134</v>
      </c>
      <c r="J847" s="8" t="s">
        <v>1111</v>
      </c>
      <c r="K847" s="8" t="s">
        <v>1099</v>
      </c>
      <c r="L847" s="10" t="s">
        <v>1135</v>
      </c>
      <c r="M847" s="10" t="s">
        <v>1136</v>
      </c>
      <c r="N847" s="10"/>
      <c r="O847" s="8" t="s">
        <v>1106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1106</v>
      </c>
      <c r="AA847" s="8" t="s">
        <v>331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1093</v>
      </c>
      <c r="E848" s="8" t="s">
        <v>128</v>
      </c>
      <c r="F848" s="8" t="s">
        <v>263</v>
      </c>
      <c r="G848" s="8" t="s">
        <v>1425</v>
      </c>
      <c r="H848" s="8" t="s">
        <v>1682</v>
      </c>
      <c r="I848" s="8" t="s">
        <v>1139</v>
      </c>
      <c r="J848" s="8" t="s">
        <v>1140</v>
      </c>
      <c r="K848" s="8" t="s">
        <v>1099</v>
      </c>
      <c r="L848" s="10" t="s">
        <v>1141</v>
      </c>
      <c r="M848" s="10" t="s">
        <v>1142</v>
      </c>
      <c r="N848" s="10" t="s">
        <v>1143</v>
      </c>
      <c r="O848" s="8" t="s">
        <v>1106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1106</v>
      </c>
      <c r="AA848" s="8" t="s">
        <v>331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1093</v>
      </c>
      <c r="E849" s="8" t="s">
        <v>128</v>
      </c>
      <c r="F849" s="8" t="s">
        <v>263</v>
      </c>
      <c r="G849" s="8" t="s">
        <v>2031</v>
      </c>
      <c r="H849" s="8" t="s">
        <v>2267</v>
      </c>
      <c r="I849" s="8" t="s">
        <v>1145</v>
      </c>
      <c r="J849" s="8" t="s">
        <v>1140</v>
      </c>
      <c r="K849" s="8" t="s">
        <v>1099</v>
      </c>
      <c r="L849" s="10" t="s">
        <v>1146</v>
      </c>
      <c r="M849" s="10" t="s">
        <v>1147</v>
      </c>
      <c r="N849" s="10" t="s">
        <v>1131</v>
      </c>
      <c r="O849" s="8" t="s">
        <v>1106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1106</v>
      </c>
      <c r="AA849" s="8" t="s">
        <v>331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1093</v>
      </c>
      <c r="E850" s="8" t="s">
        <v>128</v>
      </c>
      <c r="F850" s="8" t="s">
        <v>263</v>
      </c>
      <c r="G850" s="8" t="s">
        <v>1279</v>
      </c>
      <c r="H850" s="8" t="s">
        <v>1899</v>
      </c>
      <c r="I850" s="8" t="s">
        <v>1150</v>
      </c>
      <c r="J850" s="8" t="s">
        <v>1140</v>
      </c>
      <c r="K850" s="8" t="s">
        <v>1099</v>
      </c>
      <c r="L850" s="10" t="s">
        <v>1151</v>
      </c>
      <c r="M850" s="10" t="s">
        <v>1152</v>
      </c>
      <c r="N850" s="10" t="s">
        <v>1153</v>
      </c>
      <c r="O850" s="8" t="s">
        <v>1106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1106</v>
      </c>
      <c r="AA850" s="8" t="s">
        <v>331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1093</v>
      </c>
      <c r="E851" s="8" t="s">
        <v>128</v>
      </c>
      <c r="F851" s="8" t="s">
        <v>263</v>
      </c>
      <c r="G851" s="8" t="s">
        <v>1904</v>
      </c>
      <c r="H851" s="8" t="s">
        <v>1191</v>
      </c>
      <c r="I851" s="8" t="s">
        <v>1162</v>
      </c>
      <c r="J851" s="8" t="s">
        <v>1140</v>
      </c>
      <c r="K851" s="8" t="s">
        <v>1099</v>
      </c>
      <c r="L851" s="10" t="s">
        <v>1163</v>
      </c>
      <c r="M851" s="10" t="s">
        <v>1164</v>
      </c>
      <c r="N851" s="10" t="s">
        <v>1131</v>
      </c>
      <c r="O851" s="8" t="s">
        <v>1106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1106</v>
      </c>
      <c r="AA851" s="8" t="s">
        <v>331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1093</v>
      </c>
      <c r="E852" s="8" t="s">
        <v>128</v>
      </c>
      <c r="F852" s="8" t="s">
        <v>263</v>
      </c>
      <c r="G852" s="8" t="s">
        <v>1197</v>
      </c>
      <c r="H852" s="8" t="s">
        <v>1925</v>
      </c>
      <c r="I852" s="8" t="s">
        <v>1223</v>
      </c>
      <c r="J852" s="8" t="s">
        <v>1217</v>
      </c>
      <c r="K852" s="8" t="s">
        <v>1099</v>
      </c>
      <c r="L852" s="10" t="s">
        <v>1224</v>
      </c>
      <c r="M852" s="10" t="s">
        <v>1225</v>
      </c>
      <c r="N852" s="10" t="s">
        <v>1226</v>
      </c>
      <c r="O852" s="8" t="s">
        <v>1106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1106</v>
      </c>
      <c r="AA852" s="8" t="s">
        <v>331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1093</v>
      </c>
      <c r="E853" s="8" t="s">
        <v>128</v>
      </c>
      <c r="F853" s="8" t="s">
        <v>263</v>
      </c>
      <c r="G853" s="8" t="s">
        <v>2030</v>
      </c>
      <c r="H853" s="8" t="s">
        <v>1297</v>
      </c>
      <c r="I853" s="8" t="s">
        <v>2144</v>
      </c>
      <c r="J853" s="8" t="s">
        <v>1217</v>
      </c>
      <c r="K853" s="8" t="s">
        <v>1099</v>
      </c>
      <c r="L853" s="10" t="s">
        <v>1205</v>
      </c>
      <c r="M853" s="10" t="s">
        <v>1206</v>
      </c>
      <c r="N853" s="10"/>
      <c r="O853" s="8" t="s">
        <v>1106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1106</v>
      </c>
      <c r="AA853" s="8" t="s">
        <v>331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1093</v>
      </c>
      <c r="E854" s="8" t="s">
        <v>123</v>
      </c>
      <c r="F854" s="8" t="s">
        <v>2278</v>
      </c>
      <c r="G854" s="8" t="s">
        <v>1166</v>
      </c>
      <c r="H854" s="8" t="s">
        <v>1120</v>
      </c>
      <c r="I854" s="8" t="s">
        <v>1274</v>
      </c>
      <c r="J854" s="8" t="s">
        <v>1111</v>
      </c>
      <c r="K854" s="8" t="s">
        <v>1099</v>
      </c>
      <c r="L854" s="10" t="s">
        <v>1275</v>
      </c>
      <c r="M854" s="10" t="s">
        <v>1276</v>
      </c>
      <c r="N854" s="10" t="s">
        <v>1277</v>
      </c>
      <c r="O854" s="8" t="s">
        <v>321</v>
      </c>
      <c r="P854" s="8"/>
      <c r="Q854" s="8">
        <v>21923</v>
      </c>
      <c r="R854" s="8">
        <v>85467</v>
      </c>
      <c r="S854" s="8" t="s">
        <v>331</v>
      </c>
      <c r="T854" s="8"/>
      <c r="U854" s="8"/>
      <c r="V854" s="8"/>
      <c r="W854" s="8"/>
      <c r="X854" s="8"/>
      <c r="Y854" s="8"/>
      <c r="Z854" s="10" t="s">
        <v>1613</v>
      </c>
      <c r="AA854" s="8" t="s">
        <v>331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1093</v>
      </c>
      <c r="E855" s="8" t="s">
        <v>123</v>
      </c>
      <c r="F855" s="8" t="s">
        <v>2264</v>
      </c>
      <c r="G855" s="8" t="s">
        <v>1273</v>
      </c>
      <c r="H855" s="8" t="s">
        <v>1258</v>
      </c>
      <c r="I855" s="8" t="s">
        <v>1857</v>
      </c>
      <c r="J855" s="8" t="s">
        <v>1140</v>
      </c>
      <c r="K855" s="8" t="s">
        <v>1099</v>
      </c>
      <c r="L855" s="10" t="s">
        <v>1299</v>
      </c>
      <c r="M855" s="10" t="s">
        <v>1858</v>
      </c>
      <c r="N855" s="10" t="s">
        <v>1859</v>
      </c>
      <c r="O855" s="8" t="s">
        <v>1106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1613</v>
      </c>
      <c r="AA855" s="8" t="s">
        <v>331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1093</v>
      </c>
      <c r="E856" s="8" t="s">
        <v>123</v>
      </c>
      <c r="F856" s="8" t="s">
        <v>2250</v>
      </c>
      <c r="G856" s="8" t="s">
        <v>1166</v>
      </c>
      <c r="H856" s="8" t="s">
        <v>1120</v>
      </c>
      <c r="I856" s="8" t="s">
        <v>1344</v>
      </c>
      <c r="J856" s="8" t="s">
        <v>1169</v>
      </c>
      <c r="K856" s="8" t="s">
        <v>1099</v>
      </c>
      <c r="L856" s="10" t="s">
        <v>1186</v>
      </c>
      <c r="M856" s="10" t="s">
        <v>1345</v>
      </c>
      <c r="N856" s="10" t="s">
        <v>1346</v>
      </c>
      <c r="O856" s="8" t="s">
        <v>1106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1738</v>
      </c>
      <c r="AA856" s="8" t="s">
        <v>331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1093</v>
      </c>
      <c r="E857" s="8" t="s">
        <v>123</v>
      </c>
      <c r="F857" s="8" t="s">
        <v>2278</v>
      </c>
      <c r="G857" s="8" t="s">
        <v>1302</v>
      </c>
      <c r="H857" s="8" t="s">
        <v>1303</v>
      </c>
      <c r="I857" s="8" t="s">
        <v>1398</v>
      </c>
      <c r="J857" s="8" t="s">
        <v>1204</v>
      </c>
      <c r="K857" s="8" t="s">
        <v>1099</v>
      </c>
      <c r="L857" s="10" t="s">
        <v>1399</v>
      </c>
      <c r="M857" s="10" t="s">
        <v>1400</v>
      </c>
      <c r="N857" s="10" t="s">
        <v>1401</v>
      </c>
      <c r="O857" s="8" t="s">
        <v>321</v>
      </c>
      <c r="P857" s="8">
        <v>1572</v>
      </c>
      <c r="Q857" s="8">
        <v>4250</v>
      </c>
      <c r="R857" s="8">
        <v>28898</v>
      </c>
      <c r="S857" s="8" t="s">
        <v>331</v>
      </c>
      <c r="T857" s="8"/>
      <c r="U857" s="8"/>
      <c r="V857" s="8"/>
      <c r="W857" s="8"/>
      <c r="X857" s="8"/>
      <c r="Y857" s="8"/>
      <c r="Z857" s="10" t="s">
        <v>1613</v>
      </c>
      <c r="AA857" s="8" t="s">
        <v>331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1093</v>
      </c>
      <c r="E858" s="8" t="s">
        <v>123</v>
      </c>
      <c r="F858" s="8" t="s">
        <v>2278</v>
      </c>
      <c r="G858" s="8" t="s">
        <v>1120</v>
      </c>
      <c r="H858" s="8" t="s">
        <v>1343</v>
      </c>
      <c r="I858" s="8" t="s">
        <v>1455</v>
      </c>
      <c r="J858" s="8" t="s">
        <v>1214</v>
      </c>
      <c r="K858" s="8" t="s">
        <v>1099</v>
      </c>
      <c r="L858" s="10" t="s">
        <v>1456</v>
      </c>
      <c r="M858" s="10" t="s">
        <v>1457</v>
      </c>
      <c r="N858" s="10"/>
      <c r="O858" s="8" t="s">
        <v>321</v>
      </c>
      <c r="P858" s="8"/>
      <c r="Q858" s="8"/>
      <c r="R858" s="8">
        <v>80962</v>
      </c>
      <c r="S858" s="8" t="s">
        <v>331</v>
      </c>
      <c r="T858" s="8"/>
      <c r="U858" s="8"/>
      <c r="V858" s="8"/>
      <c r="W858" s="8"/>
      <c r="X858" s="8"/>
      <c r="Y858" s="8"/>
      <c r="Z858" s="10" t="s">
        <v>1613</v>
      </c>
      <c r="AA858" s="8" t="s">
        <v>331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1093</v>
      </c>
      <c r="E859" s="8" t="s">
        <v>123</v>
      </c>
      <c r="F859" s="8" t="s">
        <v>2272</v>
      </c>
      <c r="G859" s="8" t="s">
        <v>1196</v>
      </c>
      <c r="H859" s="8" t="s">
        <v>1279</v>
      </c>
      <c r="I859" s="8" t="s">
        <v>1281</v>
      </c>
      <c r="J859" s="8" t="s">
        <v>1111</v>
      </c>
      <c r="K859" s="8" t="s">
        <v>1099</v>
      </c>
      <c r="L859" s="10" t="s">
        <v>1282</v>
      </c>
      <c r="M859" s="10" t="s">
        <v>1283</v>
      </c>
      <c r="N859" s="10"/>
      <c r="O859" s="8" t="s">
        <v>1106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331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1093</v>
      </c>
      <c r="E860" s="8" t="s">
        <v>123</v>
      </c>
      <c r="F860" s="8" t="s">
        <v>2235</v>
      </c>
      <c r="G860" s="8" t="s">
        <v>1291</v>
      </c>
      <c r="H860" s="8" t="s">
        <v>2283</v>
      </c>
      <c r="I860" s="8" t="s">
        <v>2227</v>
      </c>
      <c r="J860" s="8" t="s">
        <v>1169</v>
      </c>
      <c r="K860" s="8" t="s">
        <v>1099</v>
      </c>
      <c r="L860" s="10" t="s">
        <v>1170</v>
      </c>
      <c r="M860" s="10" t="s">
        <v>2228</v>
      </c>
      <c r="N860" s="10" t="s">
        <v>2229</v>
      </c>
      <c r="O860" s="8" t="s">
        <v>1106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1738</v>
      </c>
      <c r="AA860" s="8" t="s">
        <v>331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1093</v>
      </c>
      <c r="E861" s="8" t="s">
        <v>123</v>
      </c>
      <c r="F861" s="8" t="s">
        <v>2278</v>
      </c>
      <c r="G861" s="8" t="s">
        <v>1120</v>
      </c>
      <c r="H861" s="8" t="s">
        <v>1343</v>
      </c>
      <c r="I861" s="8" t="s">
        <v>1455</v>
      </c>
      <c r="J861" s="8" t="s">
        <v>1214</v>
      </c>
      <c r="K861" s="8" t="s">
        <v>1099</v>
      </c>
      <c r="L861" s="10" t="s">
        <v>1456</v>
      </c>
      <c r="M861" s="10" t="s">
        <v>1457</v>
      </c>
      <c r="N861" s="10"/>
      <c r="O861" s="8" t="s">
        <v>1106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1613</v>
      </c>
      <c r="AA861" s="8" t="s">
        <v>331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1093</v>
      </c>
      <c r="E862" s="8" t="s">
        <v>139</v>
      </c>
      <c r="F862" s="8" t="s">
        <v>263</v>
      </c>
      <c r="G862" s="8" t="s">
        <v>2275</v>
      </c>
      <c r="H862" s="8" t="s">
        <v>2284</v>
      </c>
      <c r="I862" s="8" t="s">
        <v>2221</v>
      </c>
      <c r="J862" s="8" t="s">
        <v>1169</v>
      </c>
      <c r="K862" s="8" t="s">
        <v>1099</v>
      </c>
      <c r="L862" s="10" t="s">
        <v>2222</v>
      </c>
      <c r="M862" s="10" t="s">
        <v>2223</v>
      </c>
      <c r="N862" s="10" t="s">
        <v>139</v>
      </c>
      <c r="O862" s="8" t="s">
        <v>321</v>
      </c>
      <c r="P862" s="8"/>
      <c r="Q862" s="8"/>
      <c r="R862" s="8">
        <v>140764</v>
      </c>
      <c r="S862" s="8"/>
      <c r="T862" s="8"/>
      <c r="U862" s="8"/>
      <c r="V862" s="8" t="s">
        <v>331</v>
      </c>
      <c r="W862" s="8"/>
      <c r="X862" s="8"/>
      <c r="Y862" s="8"/>
      <c r="Z862" s="10" t="s">
        <v>2285</v>
      </c>
      <c r="AA862" s="8" t="s">
        <v>331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1093</v>
      </c>
      <c r="E863" s="8" t="s">
        <v>128</v>
      </c>
      <c r="F863" s="8" t="s">
        <v>261</v>
      </c>
      <c r="G863" s="8" t="s">
        <v>1564</v>
      </c>
      <c r="H863" s="8" t="s">
        <v>1565</v>
      </c>
      <c r="I863" s="8" t="s">
        <v>1156</v>
      </c>
      <c r="J863" s="8" t="s">
        <v>1140</v>
      </c>
      <c r="K863" s="8" t="s">
        <v>1099</v>
      </c>
      <c r="L863" s="10" t="s">
        <v>1157</v>
      </c>
      <c r="M863" s="10" t="s">
        <v>1158</v>
      </c>
      <c r="N863" s="10"/>
      <c r="O863" s="8" t="s">
        <v>321</v>
      </c>
      <c r="P863" s="8"/>
      <c r="Q863" s="8">
        <v>2184</v>
      </c>
      <c r="R863" s="8">
        <v>1401</v>
      </c>
      <c r="S863" s="8" t="s">
        <v>331</v>
      </c>
      <c r="T863" s="8"/>
      <c r="U863" s="8"/>
      <c r="V863" s="8"/>
      <c r="W863" s="8"/>
      <c r="X863" s="8"/>
      <c r="Y863" s="8"/>
      <c r="Z863" s="10" t="s">
        <v>1102</v>
      </c>
      <c r="AA863" s="8" t="s">
        <v>331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1093</v>
      </c>
      <c r="E864" s="8" t="s">
        <v>128</v>
      </c>
      <c r="F864" s="8" t="s">
        <v>261</v>
      </c>
      <c r="G864" s="8" t="s">
        <v>2286</v>
      </c>
      <c r="H864" s="8" t="s">
        <v>1685</v>
      </c>
      <c r="I864" s="8" t="s">
        <v>2287</v>
      </c>
      <c r="J864" s="8" t="s">
        <v>1140</v>
      </c>
      <c r="K864" s="8" t="s">
        <v>1099</v>
      </c>
      <c r="L864" s="10" t="s">
        <v>2288</v>
      </c>
      <c r="M864" s="10" t="s">
        <v>1101</v>
      </c>
      <c r="N864" s="10"/>
      <c r="O864" s="8" t="s">
        <v>321</v>
      </c>
      <c r="P864" s="8"/>
      <c r="Q864" s="8">
        <v>164</v>
      </c>
      <c r="R864" s="8">
        <v>1176</v>
      </c>
      <c r="S864" s="8" t="s">
        <v>331</v>
      </c>
      <c r="T864" s="8"/>
      <c r="U864" s="8"/>
      <c r="V864" s="8"/>
      <c r="W864" s="8"/>
      <c r="X864" s="8"/>
      <c r="Y864" s="8"/>
      <c r="Z864" s="10" t="s">
        <v>1102</v>
      </c>
      <c r="AA864" s="8" t="s">
        <v>331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1093</v>
      </c>
      <c r="E865" s="8" t="s">
        <v>128</v>
      </c>
      <c r="F865" s="8" t="s">
        <v>261</v>
      </c>
      <c r="G865" s="8" t="s">
        <v>2289</v>
      </c>
      <c r="H865" s="8" t="s">
        <v>1095</v>
      </c>
      <c r="I865" s="8" t="s">
        <v>2147</v>
      </c>
      <c r="J865" s="8" t="s">
        <v>1244</v>
      </c>
      <c r="K865" s="8" t="s">
        <v>1099</v>
      </c>
      <c r="L865" s="10" t="s">
        <v>1230</v>
      </c>
      <c r="M865" s="10" t="s">
        <v>1231</v>
      </c>
      <c r="N865" s="10"/>
      <c r="O865" s="8" t="s">
        <v>321</v>
      </c>
      <c r="P865" s="8"/>
      <c r="Q865" s="8">
        <v>1099</v>
      </c>
      <c r="R865" s="8">
        <v>2134</v>
      </c>
      <c r="S865" s="8" t="s">
        <v>331</v>
      </c>
      <c r="T865" s="8"/>
      <c r="U865" s="8"/>
      <c r="V865" s="8"/>
      <c r="W865" s="8"/>
      <c r="X865" s="8"/>
      <c r="Y865" s="8"/>
      <c r="Z865" s="10" t="s">
        <v>2290</v>
      </c>
      <c r="AA865" s="8" t="s">
        <v>331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1093</v>
      </c>
      <c r="E866" s="8" t="s">
        <v>123</v>
      </c>
      <c r="F866" s="8" t="s">
        <v>2264</v>
      </c>
      <c r="G866" s="8" t="s">
        <v>1317</v>
      </c>
      <c r="H866" s="8" t="s">
        <v>1273</v>
      </c>
      <c r="I866" s="8" t="s">
        <v>1298</v>
      </c>
      <c r="J866" s="8" t="s">
        <v>1140</v>
      </c>
      <c r="K866" s="8" t="s">
        <v>1099</v>
      </c>
      <c r="L866" s="10" t="s">
        <v>1299</v>
      </c>
      <c r="M866" s="10" t="s">
        <v>1300</v>
      </c>
      <c r="N866" s="10" t="s">
        <v>1301</v>
      </c>
      <c r="O866" s="8" t="s">
        <v>1106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1613</v>
      </c>
      <c r="AA866" s="8" t="s">
        <v>331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1093</v>
      </c>
      <c r="E867" s="8" t="s">
        <v>123</v>
      </c>
      <c r="F867" s="8" t="s">
        <v>2255</v>
      </c>
      <c r="G867" s="8" t="s">
        <v>1342</v>
      </c>
      <c r="H867" s="8" t="s">
        <v>1994</v>
      </c>
      <c r="I867" s="8" t="s">
        <v>1426</v>
      </c>
      <c r="J867" s="8" t="s">
        <v>1214</v>
      </c>
      <c r="K867" s="8" t="s">
        <v>1099</v>
      </c>
      <c r="L867" s="10" t="s">
        <v>1314</v>
      </c>
      <c r="M867" s="10" t="s">
        <v>1427</v>
      </c>
      <c r="N867" s="10" t="s">
        <v>1428</v>
      </c>
      <c r="O867" s="8" t="s">
        <v>1106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1738</v>
      </c>
      <c r="AA867" s="8" t="s">
        <v>331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1093</v>
      </c>
      <c r="E868" s="8" t="s">
        <v>123</v>
      </c>
      <c r="F868" s="8" t="s">
        <v>2277</v>
      </c>
      <c r="G868" s="8" t="s">
        <v>1266</v>
      </c>
      <c r="H868" s="8" t="s">
        <v>2291</v>
      </c>
      <c r="I868" s="8" t="s">
        <v>1649</v>
      </c>
      <c r="J868" s="8" t="s">
        <v>1650</v>
      </c>
      <c r="K868" s="8" t="s">
        <v>1099</v>
      </c>
      <c r="L868" s="10" t="s">
        <v>1170</v>
      </c>
      <c r="M868" s="10" t="s">
        <v>1651</v>
      </c>
      <c r="N868" s="10" t="s">
        <v>1652</v>
      </c>
      <c r="O868" s="8" t="s">
        <v>1106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1613</v>
      </c>
      <c r="AA868" s="8" t="s">
        <v>331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1093</v>
      </c>
      <c r="E869" s="8" t="s">
        <v>123</v>
      </c>
      <c r="F869" s="8" t="s">
        <v>261</v>
      </c>
      <c r="G869" s="8" t="s">
        <v>1279</v>
      </c>
      <c r="H869" s="8" t="s">
        <v>1347</v>
      </c>
      <c r="I869" s="8" t="s">
        <v>2292</v>
      </c>
      <c r="J869" s="8" t="s">
        <v>1459</v>
      </c>
      <c r="K869" s="8" t="s">
        <v>1099</v>
      </c>
      <c r="L869" s="10" t="s">
        <v>1170</v>
      </c>
      <c r="M869" s="10" t="s">
        <v>1659</v>
      </c>
      <c r="N869" s="10" t="s">
        <v>2293</v>
      </c>
      <c r="O869" s="8" t="s">
        <v>321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331</v>
      </c>
      <c r="Z869" s="10" t="s">
        <v>2294</v>
      </c>
      <c r="AA869" s="8" t="s">
        <v>331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1093</v>
      </c>
      <c r="E870" s="8" t="s">
        <v>128</v>
      </c>
      <c r="F870" s="8" t="s">
        <v>259</v>
      </c>
      <c r="G870" s="8" t="s">
        <v>1258</v>
      </c>
      <c r="H870" s="8" t="s">
        <v>2026</v>
      </c>
      <c r="I870" s="8" t="s">
        <v>1179</v>
      </c>
      <c r="J870" s="8" t="s">
        <v>1169</v>
      </c>
      <c r="K870" s="8" t="s">
        <v>1099</v>
      </c>
      <c r="L870" s="10" t="s">
        <v>1180</v>
      </c>
      <c r="M870" s="10" t="s">
        <v>1181</v>
      </c>
      <c r="N870" s="10" t="s">
        <v>128</v>
      </c>
      <c r="O870" s="8" t="s">
        <v>321</v>
      </c>
      <c r="P870" s="8"/>
      <c r="Q870" s="8"/>
      <c r="R870" s="8">
        <v>50673</v>
      </c>
      <c r="S870" s="8" t="s">
        <v>331</v>
      </c>
      <c r="T870" s="8"/>
      <c r="U870" s="8"/>
      <c r="V870" s="8"/>
      <c r="W870" s="8"/>
      <c r="X870" s="8"/>
      <c r="Y870" s="8"/>
      <c r="Z870" s="10" t="s">
        <v>1102</v>
      </c>
      <c r="AA870" s="8" t="s">
        <v>331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1093</v>
      </c>
      <c r="E871" s="8" t="s">
        <v>128</v>
      </c>
      <c r="F871" s="8" t="s">
        <v>259</v>
      </c>
      <c r="G871" s="8" t="s">
        <v>1297</v>
      </c>
      <c r="H871" s="8" t="s">
        <v>1317</v>
      </c>
      <c r="I871" s="8" t="s">
        <v>1216</v>
      </c>
      <c r="J871" s="8" t="s">
        <v>1217</v>
      </c>
      <c r="K871" s="8" t="s">
        <v>1099</v>
      </c>
      <c r="L871" s="10" t="s">
        <v>1218</v>
      </c>
      <c r="M871" s="10" t="s">
        <v>1219</v>
      </c>
      <c r="N871" s="10" t="s">
        <v>1220</v>
      </c>
      <c r="O871" s="8" t="s">
        <v>321</v>
      </c>
      <c r="P871" s="8"/>
      <c r="Q871" s="8">
        <v>36229</v>
      </c>
      <c r="R871" s="8">
        <v>34184</v>
      </c>
      <c r="S871" s="8" t="s">
        <v>331</v>
      </c>
      <c r="T871" s="8"/>
      <c r="U871" s="8"/>
      <c r="V871" s="8"/>
      <c r="W871" s="8"/>
      <c r="X871" s="8"/>
      <c r="Y871" s="8"/>
      <c r="Z871" s="10" t="s">
        <v>1102</v>
      </c>
      <c r="AA871" s="8" t="s">
        <v>331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1093</v>
      </c>
      <c r="E872" s="8" t="s">
        <v>128</v>
      </c>
      <c r="F872" s="8" t="s">
        <v>259</v>
      </c>
      <c r="G872" s="8" t="s">
        <v>1588</v>
      </c>
      <c r="H872" s="8" t="s">
        <v>1820</v>
      </c>
      <c r="I872" s="8" t="s">
        <v>1724</v>
      </c>
      <c r="J872" s="8" t="s">
        <v>1725</v>
      </c>
      <c r="K872" s="8" t="s">
        <v>1099</v>
      </c>
      <c r="L872" s="10" t="s">
        <v>1249</v>
      </c>
      <c r="M872" s="10" t="s">
        <v>1250</v>
      </c>
      <c r="N872" s="10"/>
      <c r="O872" s="8" t="s">
        <v>321</v>
      </c>
      <c r="P872" s="8"/>
      <c r="Q872" s="8"/>
      <c r="R872" s="8">
        <v>32618</v>
      </c>
      <c r="S872" s="8" t="s">
        <v>331</v>
      </c>
      <c r="T872" s="8"/>
      <c r="U872" s="8"/>
      <c r="V872" s="8"/>
      <c r="W872" s="8"/>
      <c r="X872" s="8"/>
      <c r="Y872" s="8"/>
      <c r="Z872" s="10" t="s">
        <v>1102</v>
      </c>
      <c r="AA872" s="8" t="s">
        <v>331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1093</v>
      </c>
      <c r="E873" s="8" t="s">
        <v>123</v>
      </c>
      <c r="F873" s="8" t="s">
        <v>259</v>
      </c>
      <c r="G873" s="8" t="s">
        <v>1342</v>
      </c>
      <c r="H873" s="8" t="s">
        <v>1347</v>
      </c>
      <c r="I873" s="8" t="s">
        <v>1329</v>
      </c>
      <c r="J873" s="8" t="s">
        <v>1169</v>
      </c>
      <c r="K873" s="8" t="s">
        <v>1099</v>
      </c>
      <c r="L873" s="10" t="s">
        <v>1330</v>
      </c>
      <c r="M873" s="10" t="s">
        <v>1331</v>
      </c>
      <c r="N873" s="10"/>
      <c r="O873" s="8" t="s">
        <v>321</v>
      </c>
      <c r="P873" s="8"/>
      <c r="Q873" s="8"/>
      <c r="R873" s="8">
        <v>96600</v>
      </c>
      <c r="S873" s="8"/>
      <c r="T873" s="8"/>
      <c r="U873" s="8" t="s">
        <v>331</v>
      </c>
      <c r="V873" s="8"/>
      <c r="W873" s="8"/>
      <c r="X873" s="8"/>
      <c r="Y873" s="8"/>
      <c r="Z873" s="10" t="s">
        <v>1278</v>
      </c>
      <c r="AA873" s="8" t="s">
        <v>331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1093</v>
      </c>
      <c r="E874" s="8" t="s">
        <v>123</v>
      </c>
      <c r="F874" s="8" t="s">
        <v>2272</v>
      </c>
      <c r="G874" s="8" t="s">
        <v>1279</v>
      </c>
      <c r="H874" s="8" t="s">
        <v>1149</v>
      </c>
      <c r="I874" s="8" t="s">
        <v>1363</v>
      </c>
      <c r="J874" s="8" t="s">
        <v>1193</v>
      </c>
      <c r="K874" s="8" t="s">
        <v>1099</v>
      </c>
      <c r="L874" s="10" t="s">
        <v>1364</v>
      </c>
      <c r="M874" s="10" t="s">
        <v>1365</v>
      </c>
      <c r="N874" s="10"/>
      <c r="O874" s="8" t="s">
        <v>1106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331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1093</v>
      </c>
      <c r="E875" s="8" t="s">
        <v>123</v>
      </c>
      <c r="F875" s="8" t="s">
        <v>2278</v>
      </c>
      <c r="G875" s="8" t="s">
        <v>1302</v>
      </c>
      <c r="H875" s="8" t="s">
        <v>1303</v>
      </c>
      <c r="I875" s="8" t="s">
        <v>1398</v>
      </c>
      <c r="J875" s="8" t="s">
        <v>1204</v>
      </c>
      <c r="K875" s="8" t="s">
        <v>1099</v>
      </c>
      <c r="L875" s="10" t="s">
        <v>1399</v>
      </c>
      <c r="M875" s="10" t="s">
        <v>1400</v>
      </c>
      <c r="N875" s="10" t="s">
        <v>1401</v>
      </c>
      <c r="O875" s="8" t="s">
        <v>1106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1613</v>
      </c>
      <c r="AA875" s="8" t="s">
        <v>331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1093</v>
      </c>
      <c r="E876" s="8" t="s">
        <v>123</v>
      </c>
      <c r="F876" s="8" t="s">
        <v>259</v>
      </c>
      <c r="G876" s="8" t="s">
        <v>1284</v>
      </c>
      <c r="H876" s="8" t="s">
        <v>1562</v>
      </c>
      <c r="I876" s="8" t="s">
        <v>1473</v>
      </c>
      <c r="J876" s="8" t="s">
        <v>1244</v>
      </c>
      <c r="K876" s="8" t="s">
        <v>1099</v>
      </c>
      <c r="L876" s="10" t="s">
        <v>1474</v>
      </c>
      <c r="M876" s="10" t="s">
        <v>1475</v>
      </c>
      <c r="N876" s="10" t="s">
        <v>1424</v>
      </c>
      <c r="O876" s="8" t="s">
        <v>321</v>
      </c>
      <c r="P876" s="8"/>
      <c r="Q876" s="8">
        <v>3785</v>
      </c>
      <c r="R876" s="8">
        <v>1324</v>
      </c>
      <c r="S876" s="8" t="s">
        <v>331</v>
      </c>
      <c r="T876" s="8"/>
      <c r="U876" s="8"/>
      <c r="V876" s="8"/>
      <c r="W876" s="8"/>
      <c r="X876" s="8"/>
      <c r="Y876" s="8"/>
      <c r="Z876" s="10" t="s">
        <v>1613</v>
      </c>
      <c r="AA876" s="8" t="s">
        <v>331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1093</v>
      </c>
      <c r="E877" s="8" t="s">
        <v>123</v>
      </c>
      <c r="F877" s="8" t="s">
        <v>263</v>
      </c>
      <c r="G877" s="8" t="s">
        <v>1279</v>
      </c>
      <c r="H877" s="8" t="s">
        <v>1149</v>
      </c>
      <c r="I877" s="8" t="s">
        <v>1674</v>
      </c>
      <c r="J877" s="8" t="s">
        <v>1675</v>
      </c>
      <c r="K877" s="8" t="s">
        <v>1099</v>
      </c>
      <c r="L877" s="10" t="s">
        <v>1676</v>
      </c>
      <c r="M877" s="10" t="s">
        <v>1677</v>
      </c>
      <c r="N877" s="10" t="s">
        <v>1678</v>
      </c>
      <c r="O877" s="8" t="s">
        <v>1106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1613</v>
      </c>
      <c r="AA877" s="8" t="s">
        <v>331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1093</v>
      </c>
      <c r="E878" s="8" t="s">
        <v>128</v>
      </c>
      <c r="F878" s="8" t="s">
        <v>259</v>
      </c>
      <c r="G878" s="8" t="s">
        <v>1807</v>
      </c>
      <c r="H878" s="8" t="s">
        <v>1417</v>
      </c>
      <c r="I878" s="8" t="s">
        <v>1935</v>
      </c>
      <c r="J878" s="8" t="s">
        <v>1169</v>
      </c>
      <c r="K878" s="8" t="s">
        <v>1099</v>
      </c>
      <c r="L878" s="10" t="s">
        <v>1546</v>
      </c>
      <c r="M878" s="10" t="s">
        <v>2216</v>
      </c>
      <c r="N878" s="10"/>
      <c r="O878" s="8" t="s">
        <v>1106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1102</v>
      </c>
      <c r="AA878" s="8" t="s">
        <v>331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1093</v>
      </c>
      <c r="E879" s="8" t="s">
        <v>123</v>
      </c>
      <c r="F879" s="8" t="s">
        <v>2255</v>
      </c>
      <c r="G879" s="8" t="s">
        <v>1765</v>
      </c>
      <c r="H879" s="8" t="s">
        <v>1505</v>
      </c>
      <c r="I879" s="8" t="s">
        <v>1320</v>
      </c>
      <c r="J879" s="8" t="s">
        <v>1169</v>
      </c>
      <c r="K879" s="8" t="s">
        <v>1099</v>
      </c>
      <c r="L879" s="10" t="s">
        <v>1314</v>
      </c>
      <c r="M879" s="10" t="s">
        <v>1321</v>
      </c>
      <c r="N879" s="10" t="s">
        <v>1322</v>
      </c>
      <c r="O879" s="8" t="s">
        <v>1106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1738</v>
      </c>
      <c r="AA879" s="8" t="s">
        <v>331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1093</v>
      </c>
      <c r="E880" s="8" t="s">
        <v>123</v>
      </c>
      <c r="F880" s="8" t="s">
        <v>256</v>
      </c>
      <c r="G880" s="8" t="s">
        <v>1266</v>
      </c>
      <c r="H880" s="8" t="s">
        <v>1425</v>
      </c>
      <c r="I880" s="8" t="s">
        <v>2295</v>
      </c>
      <c r="J880" s="8" t="s">
        <v>1459</v>
      </c>
      <c r="K880" s="8" t="s">
        <v>1099</v>
      </c>
      <c r="L880" s="10" t="s">
        <v>1170</v>
      </c>
      <c r="M880" s="10" t="s">
        <v>2296</v>
      </c>
      <c r="N880" s="10" t="s">
        <v>2297</v>
      </c>
      <c r="O880" s="8" t="s">
        <v>321</v>
      </c>
      <c r="P880" s="8"/>
      <c r="Q880" s="8"/>
      <c r="R880" s="8">
        <v>28343</v>
      </c>
      <c r="S880" s="8"/>
      <c r="T880" s="8"/>
      <c r="U880" s="8" t="s">
        <v>331</v>
      </c>
      <c r="V880" s="8"/>
      <c r="W880" s="8"/>
      <c r="X880" s="8"/>
      <c r="Y880" s="8" t="s">
        <v>331</v>
      </c>
      <c r="Z880" s="10" t="s">
        <v>2298</v>
      </c>
      <c r="AA880" s="8" t="s">
        <v>331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1093</v>
      </c>
      <c r="E881" s="8" t="s">
        <v>123</v>
      </c>
      <c r="F881" s="8" t="s">
        <v>261</v>
      </c>
      <c r="G881" s="8" t="s">
        <v>1343</v>
      </c>
      <c r="H881" s="8" t="s">
        <v>1303</v>
      </c>
      <c r="I881" s="8" t="s">
        <v>1487</v>
      </c>
      <c r="J881" s="8" t="s">
        <v>1479</v>
      </c>
      <c r="K881" s="8" t="s">
        <v>1099</v>
      </c>
      <c r="L881" s="10" t="s">
        <v>1170</v>
      </c>
      <c r="M881" s="10" t="s">
        <v>1463</v>
      </c>
      <c r="N881" s="10" t="s">
        <v>1488</v>
      </c>
      <c r="O881" s="8" t="s">
        <v>1106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1613</v>
      </c>
      <c r="AA881" s="8" t="s">
        <v>331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1093</v>
      </c>
      <c r="E882" s="8" t="s">
        <v>128</v>
      </c>
      <c r="F882" s="8" t="s">
        <v>259</v>
      </c>
      <c r="G882" s="8" t="s">
        <v>1507</v>
      </c>
      <c r="H882" s="8" t="s">
        <v>2299</v>
      </c>
      <c r="I882" s="8" t="s">
        <v>1825</v>
      </c>
      <c r="J882" s="8" t="s">
        <v>1169</v>
      </c>
      <c r="K882" s="8" t="s">
        <v>1099</v>
      </c>
      <c r="L882" s="10" t="s">
        <v>1546</v>
      </c>
      <c r="M882" s="10" t="s">
        <v>1826</v>
      </c>
      <c r="N882" s="10" t="s">
        <v>128</v>
      </c>
      <c r="O882" s="8" t="s">
        <v>1106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1102</v>
      </c>
      <c r="AA882" s="8" t="s">
        <v>331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1093</v>
      </c>
      <c r="E883" s="8" t="s">
        <v>123</v>
      </c>
      <c r="F883" s="8" t="s">
        <v>2300</v>
      </c>
      <c r="G883" s="8" t="s">
        <v>1899</v>
      </c>
      <c r="H883" s="8" t="s">
        <v>1149</v>
      </c>
      <c r="I883" s="8" t="s">
        <v>1861</v>
      </c>
      <c r="J883" s="8" t="s">
        <v>1169</v>
      </c>
      <c r="K883" s="8" t="s">
        <v>1099</v>
      </c>
      <c r="L883" s="10" t="s">
        <v>1170</v>
      </c>
      <c r="M883" s="10" t="s">
        <v>1862</v>
      </c>
      <c r="N883" s="10" t="s">
        <v>1863</v>
      </c>
      <c r="O883" s="8" t="s">
        <v>321</v>
      </c>
      <c r="P883" s="8"/>
      <c r="Q883" s="8"/>
      <c r="R883" s="8">
        <v>67535</v>
      </c>
      <c r="S883" s="8"/>
      <c r="T883" s="8"/>
      <c r="U883" s="8" t="s">
        <v>331</v>
      </c>
      <c r="V883" s="8"/>
      <c r="W883" s="8"/>
      <c r="X883" s="8"/>
      <c r="Y883" s="8"/>
      <c r="Z883" s="10" t="s">
        <v>116</v>
      </c>
      <c r="AA883" s="8" t="s">
        <v>331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1093</v>
      </c>
      <c r="E884" s="8" t="s">
        <v>123</v>
      </c>
      <c r="F884" s="8" t="s">
        <v>2300</v>
      </c>
      <c r="G884" s="8" t="s">
        <v>1266</v>
      </c>
      <c r="H884" s="8" t="s">
        <v>1196</v>
      </c>
      <c r="I884" s="8" t="s">
        <v>1329</v>
      </c>
      <c r="J884" s="8" t="s">
        <v>1169</v>
      </c>
      <c r="K884" s="8" t="s">
        <v>1099</v>
      </c>
      <c r="L884" s="10" t="s">
        <v>1330</v>
      </c>
      <c r="M884" s="10" t="s">
        <v>1331</v>
      </c>
      <c r="N884" s="10"/>
      <c r="O884" s="8" t="s">
        <v>321</v>
      </c>
      <c r="P884" s="8"/>
      <c r="Q884" s="8"/>
      <c r="R884" s="8">
        <v>96600</v>
      </c>
      <c r="S884" s="8"/>
      <c r="T884" s="8"/>
      <c r="U884" s="8" t="s">
        <v>331</v>
      </c>
      <c r="V884" s="8"/>
      <c r="W884" s="8"/>
      <c r="X884" s="8"/>
      <c r="Y884" s="8"/>
      <c r="Z884" s="10" t="s">
        <v>1278</v>
      </c>
      <c r="AA884" s="8" t="s">
        <v>331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1093</v>
      </c>
      <c r="E885" s="8" t="s">
        <v>123</v>
      </c>
      <c r="F885" s="8" t="s">
        <v>2300</v>
      </c>
      <c r="G885" s="8" t="s">
        <v>2053</v>
      </c>
      <c r="H885" s="8" t="s">
        <v>1899</v>
      </c>
      <c r="I885" s="8" t="s">
        <v>1658</v>
      </c>
      <c r="J885" s="8" t="s">
        <v>1459</v>
      </c>
      <c r="K885" s="8" t="s">
        <v>1099</v>
      </c>
      <c r="L885" s="10" t="s">
        <v>1170</v>
      </c>
      <c r="M885" s="10" t="s">
        <v>1659</v>
      </c>
      <c r="N885" s="10" t="s">
        <v>1660</v>
      </c>
      <c r="O885" s="8" t="s">
        <v>321</v>
      </c>
      <c r="P885" s="8"/>
      <c r="Q885" s="8"/>
      <c r="R885" s="8">
        <v>70398</v>
      </c>
      <c r="S885" s="8"/>
      <c r="T885" s="8"/>
      <c r="U885" s="8" t="s">
        <v>331</v>
      </c>
      <c r="V885" s="8"/>
      <c r="W885" s="8"/>
      <c r="X885" s="8"/>
      <c r="Y885" s="8"/>
      <c r="Z885" s="10" t="s">
        <v>1278</v>
      </c>
      <c r="AA885" s="8" t="s">
        <v>331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1093</v>
      </c>
      <c r="E886" s="8" t="s">
        <v>123</v>
      </c>
      <c r="F886" s="8" t="s">
        <v>2300</v>
      </c>
      <c r="G886" s="8" t="s">
        <v>1196</v>
      </c>
      <c r="H886" s="8" t="s">
        <v>2053</v>
      </c>
      <c r="I886" s="8" t="s">
        <v>1669</v>
      </c>
      <c r="J886" s="8" t="s">
        <v>1459</v>
      </c>
      <c r="K886" s="8" t="s">
        <v>1099</v>
      </c>
      <c r="L886" s="10" t="s">
        <v>1170</v>
      </c>
      <c r="M886" s="10" t="s">
        <v>1463</v>
      </c>
      <c r="N886" s="10" t="s">
        <v>1670</v>
      </c>
      <c r="O886" s="8" t="s">
        <v>321</v>
      </c>
      <c r="P886" s="8"/>
      <c r="Q886" s="8"/>
      <c r="R886" s="8">
        <v>293801</v>
      </c>
      <c r="S886" s="8"/>
      <c r="T886" s="8"/>
      <c r="U886" s="8" t="s">
        <v>331</v>
      </c>
      <c r="V886" s="8"/>
      <c r="W886" s="8"/>
      <c r="X886" s="8"/>
      <c r="Y886" s="8"/>
      <c r="Z886" s="10" t="s">
        <v>1278</v>
      </c>
      <c r="AA886" s="8" t="s">
        <v>331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1093</v>
      </c>
      <c r="E887" s="8" t="s">
        <v>128</v>
      </c>
      <c r="F887" s="8" t="s">
        <v>259</v>
      </c>
      <c r="G887" s="8" t="s">
        <v>2301</v>
      </c>
      <c r="H887" s="8" t="s">
        <v>1432</v>
      </c>
      <c r="I887" s="8" t="s">
        <v>2302</v>
      </c>
      <c r="J887" s="8" t="s">
        <v>2303</v>
      </c>
      <c r="K887" s="8" t="s">
        <v>1099</v>
      </c>
      <c r="L887" s="10" t="s">
        <v>1546</v>
      </c>
      <c r="M887" s="10" t="s">
        <v>2304</v>
      </c>
      <c r="N887" s="10"/>
      <c r="O887" s="8" t="s">
        <v>1106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1102</v>
      </c>
      <c r="AA887" s="8" t="s">
        <v>331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1093</v>
      </c>
      <c r="E888" s="8" t="s">
        <v>128</v>
      </c>
      <c r="F888" s="8" t="s">
        <v>259</v>
      </c>
      <c r="G888" s="8" t="s">
        <v>1588</v>
      </c>
      <c r="H888" s="8" t="s">
        <v>1820</v>
      </c>
      <c r="I888" s="8" t="s">
        <v>1724</v>
      </c>
      <c r="J888" s="8" t="s">
        <v>1725</v>
      </c>
      <c r="K888" s="8" t="s">
        <v>1099</v>
      </c>
      <c r="L888" s="10" t="s">
        <v>1249</v>
      </c>
      <c r="M888" s="10" t="s">
        <v>1250</v>
      </c>
      <c r="N888" s="10"/>
      <c r="O888" s="8" t="s">
        <v>1106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1102</v>
      </c>
      <c r="AA888" s="8" t="s">
        <v>331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1093</v>
      </c>
      <c r="E889" s="8" t="s">
        <v>123</v>
      </c>
      <c r="F889" s="8" t="s">
        <v>256</v>
      </c>
      <c r="G889" s="8" t="s">
        <v>1948</v>
      </c>
      <c r="H889" s="8" t="s">
        <v>1227</v>
      </c>
      <c r="I889" s="8" t="s">
        <v>1292</v>
      </c>
      <c r="J889" s="8" t="s">
        <v>1111</v>
      </c>
      <c r="K889" s="8" t="s">
        <v>1099</v>
      </c>
      <c r="L889" s="10" t="s">
        <v>1293</v>
      </c>
      <c r="M889" s="10" t="s">
        <v>1294</v>
      </c>
      <c r="N889" s="10" t="s">
        <v>1295</v>
      </c>
      <c r="O889" s="8" t="s">
        <v>1106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331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1093</v>
      </c>
      <c r="E890" s="8" t="s">
        <v>123</v>
      </c>
      <c r="F890" s="8" t="s">
        <v>2300</v>
      </c>
      <c r="G890" s="8" t="s">
        <v>1302</v>
      </c>
      <c r="H890" s="8" t="s">
        <v>1765</v>
      </c>
      <c r="I890" s="8" t="s">
        <v>1861</v>
      </c>
      <c r="J890" s="8" t="s">
        <v>1169</v>
      </c>
      <c r="K890" s="8" t="s">
        <v>1099</v>
      </c>
      <c r="L890" s="10" t="s">
        <v>1170</v>
      </c>
      <c r="M890" s="10" t="s">
        <v>1862</v>
      </c>
      <c r="N890" s="10" t="s">
        <v>1863</v>
      </c>
      <c r="O890" s="8" t="s">
        <v>321</v>
      </c>
      <c r="P890" s="8"/>
      <c r="Q890" s="8"/>
      <c r="R890" s="8">
        <v>67535</v>
      </c>
      <c r="S890" s="8"/>
      <c r="T890" s="8"/>
      <c r="U890" s="8" t="s">
        <v>331</v>
      </c>
      <c r="V890" s="8"/>
      <c r="W890" s="8"/>
      <c r="X890" s="8"/>
      <c r="Y890" s="8"/>
      <c r="Z890" s="10" t="s">
        <v>1278</v>
      </c>
      <c r="AA890" s="8" t="s">
        <v>331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1093</v>
      </c>
      <c r="E891" s="8" t="s">
        <v>123</v>
      </c>
      <c r="F891" s="8" t="s">
        <v>2300</v>
      </c>
      <c r="G891" s="8" t="s">
        <v>1120</v>
      </c>
      <c r="H891" s="8" t="s">
        <v>1414</v>
      </c>
      <c r="I891" s="8" t="s">
        <v>1658</v>
      </c>
      <c r="J891" s="8" t="s">
        <v>1459</v>
      </c>
      <c r="K891" s="8" t="s">
        <v>1099</v>
      </c>
      <c r="L891" s="10" t="s">
        <v>1170</v>
      </c>
      <c r="M891" s="10" t="s">
        <v>1659</v>
      </c>
      <c r="N891" s="10" t="s">
        <v>1660</v>
      </c>
      <c r="O891" s="8" t="s">
        <v>362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2305</v>
      </c>
      <c r="AA891" s="8" t="s">
        <v>331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1093</v>
      </c>
      <c r="E892" s="8" t="s">
        <v>123</v>
      </c>
      <c r="F892" s="8" t="s">
        <v>256</v>
      </c>
      <c r="G892" s="8" t="s">
        <v>1245</v>
      </c>
      <c r="H892" s="8" t="s">
        <v>1571</v>
      </c>
      <c r="I892" s="8" t="s">
        <v>1592</v>
      </c>
      <c r="J892" s="8" t="s">
        <v>1111</v>
      </c>
      <c r="K892" s="8" t="s">
        <v>1099</v>
      </c>
      <c r="L892" s="10" t="s">
        <v>1293</v>
      </c>
      <c r="M892" s="10" t="s">
        <v>1593</v>
      </c>
      <c r="N892" s="10" t="s">
        <v>1594</v>
      </c>
      <c r="O892" s="8" t="s">
        <v>1106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331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1093</v>
      </c>
      <c r="E893" s="8" t="s">
        <v>128</v>
      </c>
      <c r="F893" s="8" t="s">
        <v>259</v>
      </c>
      <c r="G893" s="8" t="s">
        <v>1258</v>
      </c>
      <c r="H893" s="8" t="s">
        <v>2026</v>
      </c>
      <c r="I893" s="8" t="s">
        <v>1179</v>
      </c>
      <c r="J893" s="8" t="s">
        <v>1169</v>
      </c>
      <c r="K893" s="8" t="s">
        <v>1099</v>
      </c>
      <c r="L893" s="10" t="s">
        <v>1180</v>
      </c>
      <c r="M893" s="10" t="s">
        <v>1181</v>
      </c>
      <c r="N893" s="10" t="s">
        <v>128</v>
      </c>
      <c r="O893" s="8" t="s">
        <v>1106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1102</v>
      </c>
      <c r="AA893" s="8" t="s">
        <v>331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1093</v>
      </c>
      <c r="E894" s="8" t="s">
        <v>123</v>
      </c>
      <c r="F894" s="8" t="s">
        <v>256</v>
      </c>
      <c r="G894" s="8" t="s">
        <v>1571</v>
      </c>
      <c r="H894" s="8" t="s">
        <v>1302</v>
      </c>
      <c r="I894" s="8" t="s">
        <v>1597</v>
      </c>
      <c r="J894" s="8" t="s">
        <v>1111</v>
      </c>
      <c r="K894" s="8" t="s">
        <v>1099</v>
      </c>
      <c r="L894" s="10" t="s">
        <v>1293</v>
      </c>
      <c r="M894" s="10" t="s">
        <v>1598</v>
      </c>
      <c r="N894" s="10" t="s">
        <v>1599</v>
      </c>
      <c r="O894" s="8" t="s">
        <v>1106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331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1093</v>
      </c>
      <c r="E895" s="8" t="s">
        <v>123</v>
      </c>
      <c r="F895" s="8" t="s">
        <v>252</v>
      </c>
      <c r="G895" s="8" t="s">
        <v>1302</v>
      </c>
      <c r="H895" s="8" t="s">
        <v>1303</v>
      </c>
      <c r="I895" s="8" t="s">
        <v>1324</v>
      </c>
      <c r="J895" s="8" t="s">
        <v>1169</v>
      </c>
      <c r="K895" s="8" t="s">
        <v>1099</v>
      </c>
      <c r="L895" s="10" t="s">
        <v>1325</v>
      </c>
      <c r="M895" s="10" t="s">
        <v>1326</v>
      </c>
      <c r="N895" s="10"/>
      <c r="O895" s="8" t="s">
        <v>321</v>
      </c>
      <c r="P895" s="8"/>
      <c r="Q895" s="8"/>
      <c r="R895" s="8">
        <v>326525</v>
      </c>
      <c r="S895" s="8" t="s">
        <v>331</v>
      </c>
      <c r="T895" s="8"/>
      <c r="U895" s="8"/>
      <c r="V895" s="8"/>
      <c r="W895" s="8"/>
      <c r="X895" s="8"/>
      <c r="Y895" s="8"/>
      <c r="Z895" s="10" t="s">
        <v>116</v>
      </c>
      <c r="AA895" s="8" t="s">
        <v>331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1093</v>
      </c>
      <c r="E896" s="8" t="s">
        <v>123</v>
      </c>
      <c r="F896" s="8" t="s">
        <v>252</v>
      </c>
      <c r="G896" s="8" t="s">
        <v>1303</v>
      </c>
      <c r="H896" s="8" t="s">
        <v>1342</v>
      </c>
      <c r="I896" s="8" t="s">
        <v>1386</v>
      </c>
      <c r="J896" s="8" t="s">
        <v>1387</v>
      </c>
      <c r="K896" s="8" t="s">
        <v>1099</v>
      </c>
      <c r="L896" s="10" t="s">
        <v>1388</v>
      </c>
      <c r="M896" s="10" t="s">
        <v>1326</v>
      </c>
      <c r="N896" s="10" t="s">
        <v>1358</v>
      </c>
      <c r="O896" s="8" t="s">
        <v>321</v>
      </c>
      <c r="P896" s="8"/>
      <c r="Q896" s="8"/>
      <c r="R896" s="8">
        <v>74136</v>
      </c>
      <c r="S896" s="8" t="s">
        <v>331</v>
      </c>
      <c r="T896" s="8"/>
      <c r="U896" s="8"/>
      <c r="V896" s="8"/>
      <c r="W896" s="8"/>
      <c r="X896" s="8"/>
      <c r="Y896" s="8"/>
      <c r="Z896" s="10" t="s">
        <v>116</v>
      </c>
      <c r="AA896" s="8" t="s">
        <v>331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1093</v>
      </c>
      <c r="E897" s="8" t="s">
        <v>123</v>
      </c>
      <c r="F897" s="8" t="s">
        <v>2260</v>
      </c>
      <c r="G897" s="8" t="s">
        <v>1196</v>
      </c>
      <c r="H897" s="8" t="s">
        <v>1279</v>
      </c>
      <c r="I897" s="8" t="s">
        <v>2010</v>
      </c>
      <c r="J897" s="8" t="s">
        <v>1459</v>
      </c>
      <c r="K897" s="8" t="s">
        <v>1099</v>
      </c>
      <c r="L897" s="10" t="s">
        <v>2011</v>
      </c>
      <c r="M897" s="10" t="s">
        <v>2012</v>
      </c>
      <c r="N897" s="10" t="s">
        <v>1340</v>
      </c>
      <c r="O897" s="8" t="s">
        <v>1106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1738</v>
      </c>
      <c r="AA897" s="8" t="s">
        <v>331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1093</v>
      </c>
      <c r="E898" s="8" t="s">
        <v>123</v>
      </c>
      <c r="F898" s="8" t="s">
        <v>252</v>
      </c>
      <c r="G898" s="8" t="s">
        <v>1342</v>
      </c>
      <c r="H898" s="8" t="s">
        <v>1347</v>
      </c>
      <c r="I898" s="8" t="s">
        <v>1489</v>
      </c>
      <c r="J898" s="8" t="s">
        <v>1479</v>
      </c>
      <c r="K898" s="8" t="s">
        <v>1099</v>
      </c>
      <c r="L898" s="10" t="s">
        <v>1388</v>
      </c>
      <c r="M898" s="10" t="s">
        <v>1326</v>
      </c>
      <c r="N898" s="10" t="s">
        <v>1358</v>
      </c>
      <c r="O898" s="8" t="s">
        <v>321</v>
      </c>
      <c r="P898" s="8"/>
      <c r="Q898" s="8"/>
      <c r="R898" s="8">
        <v>89191</v>
      </c>
      <c r="S898" s="8" t="s">
        <v>331</v>
      </c>
      <c r="T898" s="8"/>
      <c r="U898" s="8"/>
      <c r="V898" s="8"/>
      <c r="W898" s="8"/>
      <c r="X898" s="8"/>
      <c r="Y898" s="8"/>
      <c r="Z898" s="10" t="s">
        <v>116</v>
      </c>
      <c r="AA898" s="8" t="s">
        <v>331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1093</v>
      </c>
      <c r="E899" s="8" t="s">
        <v>123</v>
      </c>
      <c r="F899" s="8" t="s">
        <v>247</v>
      </c>
      <c r="G899" s="8" t="s">
        <v>2267</v>
      </c>
      <c r="H899" s="8" t="s">
        <v>1555</v>
      </c>
      <c r="I899" s="8" t="s">
        <v>1329</v>
      </c>
      <c r="J899" s="8" t="s">
        <v>1169</v>
      </c>
      <c r="K899" s="8" t="s">
        <v>1099</v>
      </c>
      <c r="L899" s="10" t="s">
        <v>1330</v>
      </c>
      <c r="M899" s="10" t="s">
        <v>1331</v>
      </c>
      <c r="N899" s="10"/>
      <c r="O899" s="8" t="s">
        <v>321</v>
      </c>
      <c r="P899" s="8"/>
      <c r="Q899" s="8"/>
      <c r="R899" s="8">
        <v>100800</v>
      </c>
      <c r="S899" s="8" t="s">
        <v>331</v>
      </c>
      <c r="T899" s="8"/>
      <c r="U899" s="8"/>
      <c r="V899" s="8"/>
      <c r="W899" s="8"/>
      <c r="X899" s="8"/>
      <c r="Y899" s="8"/>
      <c r="Z899" s="10" t="s">
        <v>116</v>
      </c>
      <c r="AA899" s="8" t="s">
        <v>331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1093</v>
      </c>
      <c r="E900" s="8" t="s">
        <v>123</v>
      </c>
      <c r="F900" s="8" t="s">
        <v>247</v>
      </c>
      <c r="G900" s="8" t="s">
        <v>1196</v>
      </c>
      <c r="H900" s="8" t="s">
        <v>1645</v>
      </c>
      <c r="I900" s="8" t="s">
        <v>1356</v>
      </c>
      <c r="J900" s="8" t="s">
        <v>1193</v>
      </c>
      <c r="K900" s="8" t="s">
        <v>1099</v>
      </c>
      <c r="L900" s="10" t="s">
        <v>1350</v>
      </c>
      <c r="M900" s="10" t="s">
        <v>1357</v>
      </c>
      <c r="N900" s="10" t="s">
        <v>1358</v>
      </c>
      <c r="O900" s="8" t="s">
        <v>362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2181</v>
      </c>
      <c r="AA900" s="8" t="s">
        <v>331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1093</v>
      </c>
      <c r="E901" s="8" t="s">
        <v>123</v>
      </c>
      <c r="F901" s="8" t="s">
        <v>256</v>
      </c>
      <c r="G901" s="8" t="s">
        <v>1302</v>
      </c>
      <c r="H901" s="8" t="s">
        <v>1765</v>
      </c>
      <c r="I901" s="8" t="s">
        <v>1373</v>
      </c>
      <c r="J901" s="8" t="s">
        <v>1193</v>
      </c>
      <c r="K901" s="8" t="s">
        <v>1099</v>
      </c>
      <c r="L901" s="10" t="s">
        <v>1293</v>
      </c>
      <c r="M901" s="10" t="s">
        <v>1374</v>
      </c>
      <c r="N901" s="10" t="s">
        <v>1375</v>
      </c>
      <c r="O901" s="8" t="s">
        <v>1106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331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1093</v>
      </c>
      <c r="E902" s="8" t="s">
        <v>128</v>
      </c>
      <c r="F902" s="8" t="s">
        <v>259</v>
      </c>
      <c r="G902" s="8" t="s">
        <v>2134</v>
      </c>
      <c r="H902" s="8" t="s">
        <v>1808</v>
      </c>
      <c r="I902" s="8" t="s">
        <v>1545</v>
      </c>
      <c r="J902" s="8" t="s">
        <v>1169</v>
      </c>
      <c r="K902" s="8" t="s">
        <v>1099</v>
      </c>
      <c r="L902" s="10" t="s">
        <v>1546</v>
      </c>
      <c r="M902" s="10" t="s">
        <v>1547</v>
      </c>
      <c r="N902" s="10" t="s">
        <v>128</v>
      </c>
      <c r="O902" s="8" t="s">
        <v>1106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1102</v>
      </c>
      <c r="AA902" s="8" t="s">
        <v>331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1093</v>
      </c>
      <c r="E903" s="8" t="s">
        <v>128</v>
      </c>
      <c r="F903" s="8" t="s">
        <v>261</v>
      </c>
      <c r="G903" s="8" t="s">
        <v>2289</v>
      </c>
      <c r="H903" s="8" t="s">
        <v>1095</v>
      </c>
      <c r="I903" s="8" t="s">
        <v>2147</v>
      </c>
      <c r="J903" s="8" t="s">
        <v>1244</v>
      </c>
      <c r="K903" s="8" t="s">
        <v>1099</v>
      </c>
      <c r="L903" s="10" t="s">
        <v>1230</v>
      </c>
      <c r="M903" s="10" t="s">
        <v>1231</v>
      </c>
      <c r="N903" s="10"/>
      <c r="O903" s="8" t="s">
        <v>1106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2290</v>
      </c>
      <c r="AA903" s="8" t="s">
        <v>331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1093</v>
      </c>
      <c r="E904" s="8" t="s">
        <v>123</v>
      </c>
      <c r="F904" s="8" t="s">
        <v>247</v>
      </c>
      <c r="G904" s="8" t="s">
        <v>1317</v>
      </c>
      <c r="H904" s="8" t="s">
        <v>1183</v>
      </c>
      <c r="I904" s="8" t="s">
        <v>1267</v>
      </c>
      <c r="J904" s="8" t="s">
        <v>1111</v>
      </c>
      <c r="K904" s="8" t="s">
        <v>1099</v>
      </c>
      <c r="L904" s="10" t="s">
        <v>1268</v>
      </c>
      <c r="M904" s="10" t="s">
        <v>1269</v>
      </c>
      <c r="N904" s="10" t="s">
        <v>1584</v>
      </c>
      <c r="O904" s="8" t="s">
        <v>362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2306</v>
      </c>
      <c r="AA904" s="8" t="s">
        <v>331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1093</v>
      </c>
      <c r="E905" s="8" t="s">
        <v>123</v>
      </c>
      <c r="F905" s="8" t="s">
        <v>252</v>
      </c>
      <c r="G905" s="8" t="s">
        <v>1317</v>
      </c>
      <c r="H905" s="8" t="s">
        <v>1273</v>
      </c>
      <c r="I905" s="8" t="s">
        <v>1403</v>
      </c>
      <c r="J905" s="8" t="s">
        <v>1204</v>
      </c>
      <c r="K905" s="8" t="s">
        <v>1099</v>
      </c>
      <c r="L905" s="10" t="s">
        <v>1404</v>
      </c>
      <c r="M905" s="10" t="s">
        <v>1405</v>
      </c>
      <c r="N905" s="10" t="s">
        <v>1406</v>
      </c>
      <c r="O905" s="8" t="s">
        <v>1106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1613</v>
      </c>
      <c r="AA905" s="8" t="s">
        <v>331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1093</v>
      </c>
      <c r="E906" s="8" t="s">
        <v>128</v>
      </c>
      <c r="F906" s="8" t="s">
        <v>2307</v>
      </c>
      <c r="G906" s="8" t="s">
        <v>1814</v>
      </c>
      <c r="H906" s="8" t="s">
        <v>1702</v>
      </c>
      <c r="I906" s="8" t="s">
        <v>1825</v>
      </c>
      <c r="J906" s="8" t="s">
        <v>1169</v>
      </c>
      <c r="K906" s="8" t="s">
        <v>1099</v>
      </c>
      <c r="L906" s="10" t="s">
        <v>1546</v>
      </c>
      <c r="M906" s="10" t="s">
        <v>1826</v>
      </c>
      <c r="N906" s="10" t="s">
        <v>128</v>
      </c>
      <c r="O906" s="8" t="s">
        <v>321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331</v>
      </c>
      <c r="Z906" s="10" t="s">
        <v>2308</v>
      </c>
      <c r="AA906" s="8" t="s">
        <v>331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1093</v>
      </c>
      <c r="E907" s="8" t="s">
        <v>123</v>
      </c>
      <c r="F907" s="8" t="s">
        <v>2307</v>
      </c>
      <c r="G907" s="8" t="s">
        <v>1196</v>
      </c>
      <c r="H907" s="8" t="s">
        <v>1472</v>
      </c>
      <c r="I907" s="8" t="s">
        <v>1329</v>
      </c>
      <c r="J907" s="8" t="s">
        <v>1169</v>
      </c>
      <c r="K907" s="8" t="s">
        <v>1099</v>
      </c>
      <c r="L907" s="10" t="s">
        <v>1330</v>
      </c>
      <c r="M907" s="10" t="s">
        <v>1331</v>
      </c>
      <c r="N907" s="10"/>
      <c r="O907" s="8" t="s">
        <v>321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331</v>
      </c>
      <c r="Z907" s="10" t="s">
        <v>2309</v>
      </c>
      <c r="AA907" s="8" t="s">
        <v>331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1093</v>
      </c>
      <c r="E908" s="8" t="s">
        <v>123</v>
      </c>
      <c r="F908" s="8" t="s">
        <v>256</v>
      </c>
      <c r="G908" s="8" t="s">
        <v>1284</v>
      </c>
      <c r="H908" s="8" t="s">
        <v>1948</v>
      </c>
      <c r="I908" s="8" t="s">
        <v>1408</v>
      </c>
      <c r="J908" s="8" t="s">
        <v>1204</v>
      </c>
      <c r="K908" s="8" t="s">
        <v>1099</v>
      </c>
      <c r="L908" s="10" t="s">
        <v>1293</v>
      </c>
      <c r="M908" s="10" t="s">
        <v>1409</v>
      </c>
      <c r="N908" s="10" t="s">
        <v>1410</v>
      </c>
      <c r="O908" s="8" t="s">
        <v>1106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331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1093</v>
      </c>
      <c r="E909" s="8" t="s">
        <v>123</v>
      </c>
      <c r="F909" s="8" t="s">
        <v>2307</v>
      </c>
      <c r="G909" s="8" t="s">
        <v>2030</v>
      </c>
      <c r="H909" s="8" t="s">
        <v>2044</v>
      </c>
      <c r="I909" s="8" t="s">
        <v>1489</v>
      </c>
      <c r="J909" s="8" t="s">
        <v>1479</v>
      </c>
      <c r="K909" s="8" t="s">
        <v>1099</v>
      </c>
      <c r="L909" s="10" t="s">
        <v>1388</v>
      </c>
      <c r="M909" s="10" t="s">
        <v>1326</v>
      </c>
      <c r="N909" s="10" t="s">
        <v>1358</v>
      </c>
      <c r="O909" s="8" t="s">
        <v>362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2310</v>
      </c>
      <c r="AA909" s="8" t="s">
        <v>331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1093</v>
      </c>
      <c r="E910" s="8" t="s">
        <v>123</v>
      </c>
      <c r="F910" s="8" t="s">
        <v>2255</v>
      </c>
      <c r="G910" s="8" t="s">
        <v>1994</v>
      </c>
      <c r="H910" s="8" t="s">
        <v>2263</v>
      </c>
      <c r="I910" s="8" t="s">
        <v>1490</v>
      </c>
      <c r="J910" s="8" t="s">
        <v>1491</v>
      </c>
      <c r="K910" s="8" t="s">
        <v>1099</v>
      </c>
      <c r="L910" s="10" t="s">
        <v>1314</v>
      </c>
      <c r="M910" s="10" t="s">
        <v>1492</v>
      </c>
      <c r="N910" s="10" t="s">
        <v>1493</v>
      </c>
      <c r="O910" s="8" t="s">
        <v>1106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1738</v>
      </c>
      <c r="AA910" s="8" t="s">
        <v>331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1093</v>
      </c>
      <c r="E911" s="8" t="s">
        <v>123</v>
      </c>
      <c r="F911" s="8" t="s">
        <v>2307</v>
      </c>
      <c r="G911" s="8" t="s">
        <v>1284</v>
      </c>
      <c r="H911" s="8" t="s">
        <v>1167</v>
      </c>
      <c r="I911" s="8" t="s">
        <v>1324</v>
      </c>
      <c r="J911" s="8" t="s">
        <v>1169</v>
      </c>
      <c r="K911" s="8" t="s">
        <v>1099</v>
      </c>
      <c r="L911" s="10" t="s">
        <v>1325</v>
      </c>
      <c r="M911" s="10" t="s">
        <v>1326</v>
      </c>
      <c r="N911" s="10"/>
      <c r="O911" s="8" t="s">
        <v>362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2311</v>
      </c>
      <c r="AA911" s="8" t="s">
        <v>331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1093</v>
      </c>
      <c r="E912" s="8" t="s">
        <v>123</v>
      </c>
      <c r="F912" s="8" t="s">
        <v>2307</v>
      </c>
      <c r="G912" s="8" t="s">
        <v>1303</v>
      </c>
      <c r="H912" s="8" t="s">
        <v>2312</v>
      </c>
      <c r="I912" s="8" t="s">
        <v>1324</v>
      </c>
      <c r="J912" s="8" t="s">
        <v>1169</v>
      </c>
      <c r="K912" s="8" t="s">
        <v>1099</v>
      </c>
      <c r="L912" s="10" t="s">
        <v>1325</v>
      </c>
      <c r="M912" s="10" t="s">
        <v>1326</v>
      </c>
      <c r="N912" s="10"/>
      <c r="O912" s="8" t="s">
        <v>321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331</v>
      </c>
      <c r="Z912" s="10" t="s">
        <v>2313</v>
      </c>
      <c r="AA912" s="8" t="s">
        <v>331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1093</v>
      </c>
      <c r="E913" s="8" t="s">
        <v>123</v>
      </c>
      <c r="F913" s="8" t="s">
        <v>259</v>
      </c>
      <c r="G913" s="8" t="s">
        <v>1196</v>
      </c>
      <c r="H913" s="8" t="s">
        <v>1279</v>
      </c>
      <c r="I913" s="8" t="s">
        <v>2314</v>
      </c>
      <c r="J913" s="8" t="s">
        <v>1204</v>
      </c>
      <c r="K913" s="8" t="s">
        <v>1099</v>
      </c>
      <c r="L913" s="10" t="s">
        <v>1170</v>
      </c>
      <c r="M913" s="10" t="s">
        <v>1651</v>
      </c>
      <c r="N913" s="10" t="s">
        <v>1652</v>
      </c>
      <c r="O913" s="8" t="s">
        <v>1106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1613</v>
      </c>
      <c r="AA913" s="8" t="s">
        <v>331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1093</v>
      </c>
      <c r="E914" s="8" t="s">
        <v>123</v>
      </c>
      <c r="F914" s="8" t="s">
        <v>259</v>
      </c>
      <c r="G914" s="8" t="s">
        <v>1266</v>
      </c>
      <c r="H914" s="8" t="s">
        <v>1196</v>
      </c>
      <c r="I914" s="8" t="s">
        <v>1663</v>
      </c>
      <c r="J914" s="8" t="s">
        <v>1459</v>
      </c>
      <c r="K914" s="8" t="s">
        <v>1099</v>
      </c>
      <c r="L914" s="10" t="s">
        <v>1170</v>
      </c>
      <c r="M914" s="10" t="s">
        <v>1463</v>
      </c>
      <c r="N914" s="10" t="s">
        <v>1664</v>
      </c>
      <c r="O914" s="8" t="s">
        <v>1106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1613</v>
      </c>
      <c r="AA914" s="8" t="s">
        <v>331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1093</v>
      </c>
      <c r="E915" s="8" t="s">
        <v>123</v>
      </c>
      <c r="F915" s="8" t="s">
        <v>2235</v>
      </c>
      <c r="G915" s="8" t="s">
        <v>1166</v>
      </c>
      <c r="H915" s="8" t="s">
        <v>1120</v>
      </c>
      <c r="I915" s="8" t="s">
        <v>2075</v>
      </c>
      <c r="J915" s="8" t="s">
        <v>1140</v>
      </c>
      <c r="K915" s="8" t="s">
        <v>1099</v>
      </c>
      <c r="L915" s="10" t="s">
        <v>1466</v>
      </c>
      <c r="M915" s="10" t="s">
        <v>2076</v>
      </c>
      <c r="N915" s="10" t="s">
        <v>1618</v>
      </c>
      <c r="O915" s="8" t="s">
        <v>1106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1738</v>
      </c>
      <c r="AA915" s="8" t="s">
        <v>331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1093</v>
      </c>
      <c r="E916" s="8" t="s">
        <v>123</v>
      </c>
      <c r="F916" s="8" t="s">
        <v>256</v>
      </c>
      <c r="G916" s="8" t="s">
        <v>1120</v>
      </c>
      <c r="H916" s="8" t="s">
        <v>1245</v>
      </c>
      <c r="I916" s="8" t="s">
        <v>1883</v>
      </c>
      <c r="J916" s="8" t="s">
        <v>1204</v>
      </c>
      <c r="K916" s="8" t="s">
        <v>1099</v>
      </c>
      <c r="L916" s="10" t="s">
        <v>1293</v>
      </c>
      <c r="M916" s="10" t="s">
        <v>1884</v>
      </c>
      <c r="N916" s="10" t="s">
        <v>1885</v>
      </c>
      <c r="O916" s="8" t="s">
        <v>1106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331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1093</v>
      </c>
      <c r="E917" s="8" t="s">
        <v>128</v>
      </c>
      <c r="F917" s="8" t="s">
        <v>2235</v>
      </c>
      <c r="G917" s="8" t="s">
        <v>1561</v>
      </c>
      <c r="H917" s="8" t="s">
        <v>2236</v>
      </c>
      <c r="I917" s="8" t="s">
        <v>1198</v>
      </c>
      <c r="J917" s="8" t="s">
        <v>1193</v>
      </c>
      <c r="K917" s="8" t="s">
        <v>1099</v>
      </c>
      <c r="L917" s="10" t="s">
        <v>1199</v>
      </c>
      <c r="M917" s="10" t="s">
        <v>1200</v>
      </c>
      <c r="N917" s="10"/>
      <c r="O917" s="8" t="s">
        <v>1106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2237</v>
      </c>
      <c r="AA917" s="8" t="s">
        <v>331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1093</v>
      </c>
      <c r="E918" s="8" t="s">
        <v>123</v>
      </c>
      <c r="F918" s="8" t="s">
        <v>243</v>
      </c>
      <c r="G918" s="8" t="s">
        <v>1284</v>
      </c>
      <c r="H918" s="8" t="s">
        <v>1525</v>
      </c>
      <c r="I918" s="8" t="s">
        <v>1895</v>
      </c>
      <c r="J918" s="8" t="s">
        <v>1217</v>
      </c>
      <c r="K918" s="8" t="s">
        <v>1099</v>
      </c>
      <c r="L918" s="10" t="s">
        <v>1896</v>
      </c>
      <c r="M918" s="10" t="s">
        <v>1897</v>
      </c>
      <c r="N918" s="10" t="s">
        <v>1413</v>
      </c>
      <c r="O918" s="8" t="s">
        <v>321</v>
      </c>
      <c r="P918" s="8"/>
      <c r="Q918" s="8">
        <v>1205</v>
      </c>
      <c r="R918" s="8">
        <v>3849</v>
      </c>
      <c r="S918" s="8"/>
      <c r="T918" s="8" t="s">
        <v>331</v>
      </c>
      <c r="U918" s="8"/>
      <c r="V918" s="8"/>
      <c r="W918" s="8"/>
      <c r="X918" s="8"/>
      <c r="Y918" s="8" t="s">
        <v>331</v>
      </c>
      <c r="Z918" s="10" t="s">
        <v>2315</v>
      </c>
      <c r="AA918" s="8" t="s">
        <v>331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1093</v>
      </c>
      <c r="E919" s="8" t="s">
        <v>123</v>
      </c>
      <c r="F919" s="8" t="s">
        <v>261</v>
      </c>
      <c r="G919" s="8" t="s">
        <v>1279</v>
      </c>
      <c r="H919" s="8" t="s">
        <v>1149</v>
      </c>
      <c r="I919" s="8" t="s">
        <v>1484</v>
      </c>
      <c r="J919" s="8" t="s">
        <v>1479</v>
      </c>
      <c r="K919" s="8" t="s">
        <v>1099</v>
      </c>
      <c r="L919" s="10" t="s">
        <v>1170</v>
      </c>
      <c r="M919" s="10" t="s">
        <v>1463</v>
      </c>
      <c r="N919" s="10" t="s">
        <v>1485</v>
      </c>
      <c r="O919" s="8" t="s">
        <v>1106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1613</v>
      </c>
      <c r="AA919" s="8" t="s">
        <v>331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1093</v>
      </c>
      <c r="E920" s="8" t="s">
        <v>123</v>
      </c>
      <c r="F920" s="8" t="s">
        <v>256</v>
      </c>
      <c r="G920" s="8" t="s">
        <v>1227</v>
      </c>
      <c r="H920" s="8" t="s">
        <v>1120</v>
      </c>
      <c r="I920" s="8" t="s">
        <v>2316</v>
      </c>
      <c r="J920" s="8" t="s">
        <v>1111</v>
      </c>
      <c r="K920" s="8" t="s">
        <v>1099</v>
      </c>
      <c r="L920" s="10" t="s">
        <v>1293</v>
      </c>
      <c r="M920" s="10" t="s">
        <v>2317</v>
      </c>
      <c r="N920" s="10" t="s">
        <v>2318</v>
      </c>
      <c r="O920" s="8" t="s">
        <v>1106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331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1093</v>
      </c>
      <c r="E921" s="8" t="s">
        <v>123</v>
      </c>
      <c r="F921" s="8" t="s">
        <v>2250</v>
      </c>
      <c r="G921" s="8" t="s">
        <v>1343</v>
      </c>
      <c r="H921" s="8" t="s">
        <v>1302</v>
      </c>
      <c r="I921" s="8" t="s">
        <v>1895</v>
      </c>
      <c r="J921" s="8" t="s">
        <v>1217</v>
      </c>
      <c r="K921" s="8" t="s">
        <v>1099</v>
      </c>
      <c r="L921" s="10" t="s">
        <v>1896</v>
      </c>
      <c r="M921" s="10" t="s">
        <v>1897</v>
      </c>
      <c r="N921" s="10" t="s">
        <v>1413</v>
      </c>
      <c r="O921" s="8" t="s">
        <v>1106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1738</v>
      </c>
      <c r="AA921" s="8" t="s">
        <v>331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1093</v>
      </c>
      <c r="E922" s="8" t="s">
        <v>123</v>
      </c>
      <c r="F922" s="8" t="s">
        <v>263</v>
      </c>
      <c r="G922" s="8" t="s">
        <v>1196</v>
      </c>
      <c r="H922" s="8" t="s">
        <v>1279</v>
      </c>
      <c r="I922" s="8" t="s">
        <v>1680</v>
      </c>
      <c r="J922" s="8" t="s">
        <v>1675</v>
      </c>
      <c r="K922" s="8" t="s">
        <v>1099</v>
      </c>
      <c r="L922" s="10" t="s">
        <v>1676</v>
      </c>
      <c r="M922" s="10" t="s">
        <v>1677</v>
      </c>
      <c r="N922" s="10" t="s">
        <v>1681</v>
      </c>
      <c r="O922" s="8" t="s">
        <v>1106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1613</v>
      </c>
      <c r="AA922" s="8" t="s">
        <v>331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1093</v>
      </c>
      <c r="E923" s="8" t="s">
        <v>123</v>
      </c>
      <c r="F923" s="8" t="s">
        <v>2319</v>
      </c>
      <c r="G923" s="8" t="s">
        <v>1342</v>
      </c>
      <c r="H923" s="8" t="s">
        <v>1347</v>
      </c>
      <c r="I923" s="8" t="s">
        <v>2320</v>
      </c>
      <c r="J923" s="8" t="s">
        <v>1140</v>
      </c>
      <c r="K923" s="8" t="s">
        <v>1099</v>
      </c>
      <c r="L923" s="10" t="s">
        <v>2321</v>
      </c>
      <c r="M923" s="10" t="s">
        <v>2322</v>
      </c>
      <c r="N923" s="10" t="s">
        <v>1413</v>
      </c>
      <c r="O923" s="8" t="s">
        <v>321</v>
      </c>
      <c r="P923" s="8">
        <v>0</v>
      </c>
      <c r="Q923" s="8">
        <v>0</v>
      </c>
      <c r="R923" s="8">
        <v>41</v>
      </c>
      <c r="S923" s="8" t="s">
        <v>331</v>
      </c>
      <c r="T923" s="8"/>
      <c r="U923" s="8"/>
      <c r="V923" s="8"/>
      <c r="W923" s="8"/>
      <c r="X923" s="8"/>
      <c r="Y923" s="8"/>
      <c r="Z923" s="10" t="s">
        <v>1613</v>
      </c>
      <c r="AA923" s="8" t="s">
        <v>331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1093</v>
      </c>
      <c r="E924" s="8" t="s">
        <v>123</v>
      </c>
      <c r="F924" s="8" t="s">
        <v>2319</v>
      </c>
      <c r="G924" s="8" t="s">
        <v>1149</v>
      </c>
      <c r="H924" s="8" t="s">
        <v>1297</v>
      </c>
      <c r="I924" s="8" t="s">
        <v>1377</v>
      </c>
      <c r="J924" s="8" t="s">
        <v>1193</v>
      </c>
      <c r="K924" s="8" t="s">
        <v>1099</v>
      </c>
      <c r="L924" s="10" t="s">
        <v>1378</v>
      </c>
      <c r="M924" s="10" t="s">
        <v>1379</v>
      </c>
      <c r="N924" s="10" t="s">
        <v>1380</v>
      </c>
      <c r="O924" s="8" t="s">
        <v>1106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1613</v>
      </c>
      <c r="AA924" s="8" t="s">
        <v>331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1093</v>
      </c>
      <c r="E925" s="8" t="s">
        <v>123</v>
      </c>
      <c r="F925" s="8" t="s">
        <v>2319</v>
      </c>
      <c r="G925" s="8" t="s">
        <v>1196</v>
      </c>
      <c r="H925" s="8" t="s">
        <v>1279</v>
      </c>
      <c r="I925" s="8" t="s">
        <v>2204</v>
      </c>
      <c r="J925" s="8" t="s">
        <v>1479</v>
      </c>
      <c r="K925" s="8" t="s">
        <v>1099</v>
      </c>
      <c r="L925" s="10" t="s">
        <v>1466</v>
      </c>
      <c r="M925" s="10" t="s">
        <v>1467</v>
      </c>
      <c r="N925" s="10" t="s">
        <v>1468</v>
      </c>
      <c r="O925" s="8" t="s">
        <v>1106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1613</v>
      </c>
      <c r="AA925" s="8" t="s">
        <v>331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1093</v>
      </c>
      <c r="E926" s="8" t="s">
        <v>128</v>
      </c>
      <c r="F926" s="8" t="s">
        <v>235</v>
      </c>
      <c r="G926" s="8" t="s">
        <v>1668</v>
      </c>
      <c r="H926" s="8" t="s">
        <v>1207</v>
      </c>
      <c r="I926" s="8" t="s">
        <v>1185</v>
      </c>
      <c r="J926" s="8" t="s">
        <v>1169</v>
      </c>
      <c r="K926" s="8" t="s">
        <v>1099</v>
      </c>
      <c r="L926" s="10" t="s">
        <v>1186</v>
      </c>
      <c r="M926" s="10" t="s">
        <v>1187</v>
      </c>
      <c r="N926" s="10" t="s">
        <v>1188</v>
      </c>
      <c r="O926" s="8" t="s">
        <v>321</v>
      </c>
      <c r="P926" s="8"/>
      <c r="Q926" s="8"/>
      <c r="R926" s="8">
        <v>24446</v>
      </c>
      <c r="S926" s="8" t="s">
        <v>331</v>
      </c>
      <c r="T926" s="8"/>
      <c r="U926" s="8"/>
      <c r="V926" s="8"/>
      <c r="W926" s="8"/>
      <c r="X926" s="8"/>
      <c r="Y926" s="8"/>
      <c r="Z926" s="10" t="s">
        <v>1102</v>
      </c>
      <c r="AA926" s="8" t="s">
        <v>331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1093</v>
      </c>
      <c r="E927" s="8" t="s">
        <v>128</v>
      </c>
      <c r="F927" s="8" t="s">
        <v>235</v>
      </c>
      <c r="G927" s="8" t="s">
        <v>1279</v>
      </c>
      <c r="H927" s="8" t="s">
        <v>1148</v>
      </c>
      <c r="I927" s="8" t="s">
        <v>1198</v>
      </c>
      <c r="J927" s="8" t="s">
        <v>1193</v>
      </c>
      <c r="K927" s="8" t="s">
        <v>1099</v>
      </c>
      <c r="L927" s="10" t="s">
        <v>1199</v>
      </c>
      <c r="M927" s="10" t="s">
        <v>1200</v>
      </c>
      <c r="N927" s="10"/>
      <c r="O927" s="8" t="s">
        <v>321</v>
      </c>
      <c r="P927" s="8"/>
      <c r="Q927" s="8"/>
      <c r="R927" s="8">
        <v>27400</v>
      </c>
      <c r="S927" s="8" t="s">
        <v>331</v>
      </c>
      <c r="T927" s="8"/>
      <c r="U927" s="8"/>
      <c r="V927" s="8"/>
      <c r="W927" s="8"/>
      <c r="X927" s="8"/>
      <c r="Y927" s="8"/>
      <c r="Z927" s="10" t="s">
        <v>1102</v>
      </c>
      <c r="AA927" s="8" t="s">
        <v>331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1093</v>
      </c>
      <c r="E928" s="8" t="s">
        <v>128</v>
      </c>
      <c r="F928" s="8" t="s">
        <v>235</v>
      </c>
      <c r="G928" s="8" t="s">
        <v>2267</v>
      </c>
      <c r="H928" s="8" t="s">
        <v>1555</v>
      </c>
      <c r="I928" s="8" t="s">
        <v>1209</v>
      </c>
      <c r="J928" s="8" t="s">
        <v>1204</v>
      </c>
      <c r="K928" s="8" t="s">
        <v>1099</v>
      </c>
      <c r="L928" s="10" t="s">
        <v>1210</v>
      </c>
      <c r="M928" s="10" t="s">
        <v>1211</v>
      </c>
      <c r="N928" s="10" t="s">
        <v>1188</v>
      </c>
      <c r="O928" s="8" t="s">
        <v>321</v>
      </c>
      <c r="P928" s="8"/>
      <c r="Q928" s="8">
        <v>2394</v>
      </c>
      <c r="R928" s="8">
        <v>295402</v>
      </c>
      <c r="S928" s="8" t="s">
        <v>331</v>
      </c>
      <c r="T928" s="8"/>
      <c r="U928" s="8"/>
      <c r="V928" s="8"/>
      <c r="W928" s="8"/>
      <c r="X928" s="8"/>
      <c r="Y928" s="8"/>
      <c r="Z928" s="10" t="s">
        <v>1102</v>
      </c>
      <c r="AA928" s="8" t="s">
        <v>331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1093</v>
      </c>
      <c r="E929" s="8" t="s">
        <v>123</v>
      </c>
      <c r="F929" s="8" t="s">
        <v>237</v>
      </c>
      <c r="G929" s="8" t="s">
        <v>1297</v>
      </c>
      <c r="H929" s="8" t="s">
        <v>1317</v>
      </c>
      <c r="I929" s="8" t="s">
        <v>1996</v>
      </c>
      <c r="J929" s="8" t="s">
        <v>1214</v>
      </c>
      <c r="K929" s="8" t="s">
        <v>1099</v>
      </c>
      <c r="L929" s="10" t="s">
        <v>1997</v>
      </c>
      <c r="M929" s="10" t="s">
        <v>1998</v>
      </c>
      <c r="N929" s="10" t="s">
        <v>1999</v>
      </c>
      <c r="O929" s="8" t="s">
        <v>1106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1613</v>
      </c>
      <c r="AA929" s="8" t="s">
        <v>331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1093</v>
      </c>
      <c r="E930" s="8" t="s">
        <v>128</v>
      </c>
      <c r="F930" s="8" t="s">
        <v>2323</v>
      </c>
      <c r="G930" s="8" t="s">
        <v>2324</v>
      </c>
      <c r="H930" s="8" t="s">
        <v>1688</v>
      </c>
      <c r="I930" s="8" t="s">
        <v>1192</v>
      </c>
      <c r="J930" s="8" t="s">
        <v>1193</v>
      </c>
      <c r="K930" s="8" t="s">
        <v>1099</v>
      </c>
      <c r="L930" s="10" t="s">
        <v>1194</v>
      </c>
      <c r="M930" s="10" t="s">
        <v>1195</v>
      </c>
      <c r="N930" s="10" t="s">
        <v>2325</v>
      </c>
      <c r="O930" s="8" t="s">
        <v>321</v>
      </c>
      <c r="P930" s="8"/>
      <c r="Q930" s="8"/>
      <c r="R930" s="8">
        <v>67393</v>
      </c>
      <c r="S930" s="8" t="s">
        <v>331</v>
      </c>
      <c r="T930" s="8"/>
      <c r="U930" s="8"/>
      <c r="V930" s="8"/>
      <c r="W930" s="8"/>
      <c r="X930" s="8"/>
      <c r="Y930" s="8"/>
      <c r="Z930" s="10" t="s">
        <v>1102</v>
      </c>
      <c r="AA930" s="8" t="s">
        <v>331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1093</v>
      </c>
      <c r="E931" s="8" t="s">
        <v>123</v>
      </c>
      <c r="F931" s="8" t="s">
        <v>2323</v>
      </c>
      <c r="G931" s="8" t="s">
        <v>1227</v>
      </c>
      <c r="H931" s="8" t="s">
        <v>1372</v>
      </c>
      <c r="I931" s="8" t="s">
        <v>1853</v>
      </c>
      <c r="J931" s="8" t="s">
        <v>1111</v>
      </c>
      <c r="K931" s="8" t="s">
        <v>1099</v>
      </c>
      <c r="L931" s="10" t="s">
        <v>1293</v>
      </c>
      <c r="M931" s="10" t="s">
        <v>1854</v>
      </c>
      <c r="N931" s="10" t="s">
        <v>1855</v>
      </c>
      <c r="O931" s="8" t="s">
        <v>362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2326</v>
      </c>
      <c r="AA931" s="8" t="s">
        <v>331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1093</v>
      </c>
      <c r="E932" s="8" t="s">
        <v>123</v>
      </c>
      <c r="F932" s="8" t="s">
        <v>235</v>
      </c>
      <c r="G932" s="8" t="s">
        <v>1196</v>
      </c>
      <c r="H932" s="8" t="s">
        <v>1279</v>
      </c>
      <c r="I932" s="8" t="s">
        <v>1320</v>
      </c>
      <c r="J932" s="8" t="s">
        <v>1169</v>
      </c>
      <c r="K932" s="8" t="s">
        <v>1099</v>
      </c>
      <c r="L932" s="10" t="s">
        <v>1314</v>
      </c>
      <c r="M932" s="10" t="s">
        <v>1321</v>
      </c>
      <c r="N932" s="10" t="s">
        <v>1322</v>
      </c>
      <c r="O932" s="8" t="s">
        <v>1106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1613</v>
      </c>
      <c r="AA932" s="8" t="s">
        <v>331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1093</v>
      </c>
      <c r="E933" s="8" t="s">
        <v>123</v>
      </c>
      <c r="F933" s="8" t="s">
        <v>2323</v>
      </c>
      <c r="G933" s="8" t="s">
        <v>1303</v>
      </c>
      <c r="H933" s="8" t="s">
        <v>1342</v>
      </c>
      <c r="I933" s="8" t="s">
        <v>1338</v>
      </c>
      <c r="J933" s="8" t="s">
        <v>1169</v>
      </c>
      <c r="K933" s="8" t="s">
        <v>1099</v>
      </c>
      <c r="L933" s="10" t="s">
        <v>1186</v>
      </c>
      <c r="M933" s="10" t="s">
        <v>1339</v>
      </c>
      <c r="N933" s="10" t="s">
        <v>1340</v>
      </c>
      <c r="O933" s="8" t="s">
        <v>321</v>
      </c>
      <c r="P933" s="8"/>
      <c r="Q933" s="8"/>
      <c r="R933" s="8">
        <v>47184</v>
      </c>
      <c r="S933" s="8" t="s">
        <v>331</v>
      </c>
      <c r="T933" s="8"/>
      <c r="U933" s="8"/>
      <c r="V933" s="8"/>
      <c r="W933" s="8"/>
      <c r="X933" s="8"/>
      <c r="Y933" s="8"/>
      <c r="Z933" s="10" t="s">
        <v>116</v>
      </c>
      <c r="AA933" s="8" t="s">
        <v>331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1093</v>
      </c>
      <c r="E934" s="8" t="s">
        <v>123</v>
      </c>
      <c r="F934" s="8" t="s">
        <v>2323</v>
      </c>
      <c r="G934" s="8" t="s">
        <v>1302</v>
      </c>
      <c r="H934" s="8" t="s">
        <v>1303</v>
      </c>
      <c r="I934" s="8" t="s">
        <v>1344</v>
      </c>
      <c r="J934" s="8" t="s">
        <v>1169</v>
      </c>
      <c r="K934" s="8" t="s">
        <v>1099</v>
      </c>
      <c r="L934" s="10" t="s">
        <v>1186</v>
      </c>
      <c r="M934" s="10" t="s">
        <v>1345</v>
      </c>
      <c r="N934" s="10" t="s">
        <v>1346</v>
      </c>
      <c r="O934" s="8" t="s">
        <v>321</v>
      </c>
      <c r="P934" s="8"/>
      <c r="Q934" s="8"/>
      <c r="R934" s="8">
        <v>77485</v>
      </c>
      <c r="S934" s="8" t="s">
        <v>331</v>
      </c>
      <c r="T934" s="8"/>
      <c r="U934" s="8"/>
      <c r="V934" s="8"/>
      <c r="W934" s="8"/>
      <c r="X934" s="8"/>
      <c r="Y934" s="8"/>
      <c r="Z934" s="10" t="s">
        <v>116</v>
      </c>
      <c r="AA934" s="8" t="s">
        <v>331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1093</v>
      </c>
      <c r="E935" s="8" t="s">
        <v>123</v>
      </c>
      <c r="F935" s="8" t="s">
        <v>2323</v>
      </c>
      <c r="G935" s="8" t="s">
        <v>1343</v>
      </c>
      <c r="H935" s="8" t="s">
        <v>1302</v>
      </c>
      <c r="I935" s="8" t="s">
        <v>2088</v>
      </c>
      <c r="J935" s="8" t="s">
        <v>1193</v>
      </c>
      <c r="K935" s="8" t="s">
        <v>1099</v>
      </c>
      <c r="L935" s="10" t="s">
        <v>1186</v>
      </c>
      <c r="M935" s="10" t="s">
        <v>1412</v>
      </c>
      <c r="N935" s="10" t="s">
        <v>1413</v>
      </c>
      <c r="O935" s="8" t="s">
        <v>1106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331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1093</v>
      </c>
      <c r="E936" s="8" t="s">
        <v>123</v>
      </c>
      <c r="F936" s="8" t="s">
        <v>2323</v>
      </c>
      <c r="G936" s="8" t="s">
        <v>1297</v>
      </c>
      <c r="H936" s="8" t="s">
        <v>1273</v>
      </c>
      <c r="I936" s="8" t="s">
        <v>1418</v>
      </c>
      <c r="J936" s="8" t="s">
        <v>1214</v>
      </c>
      <c r="K936" s="8" t="s">
        <v>1099</v>
      </c>
      <c r="L936" s="10" t="s">
        <v>1419</v>
      </c>
      <c r="M936" s="10" t="s">
        <v>1420</v>
      </c>
      <c r="N936" s="10" t="s">
        <v>216</v>
      </c>
      <c r="O936" s="8" t="s">
        <v>362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2327</v>
      </c>
      <c r="AA936" s="8" t="s">
        <v>331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1093</v>
      </c>
      <c r="E937" s="8" t="s">
        <v>123</v>
      </c>
      <c r="F937" s="8" t="s">
        <v>2323</v>
      </c>
      <c r="G937" s="8" t="s">
        <v>1196</v>
      </c>
      <c r="H937" s="8" t="s">
        <v>1279</v>
      </c>
      <c r="I937" s="8" t="s">
        <v>1437</v>
      </c>
      <c r="J937" s="8" t="s">
        <v>1214</v>
      </c>
      <c r="K937" s="8" t="s">
        <v>1099</v>
      </c>
      <c r="L937" s="10" t="s">
        <v>1314</v>
      </c>
      <c r="M937" s="10" t="s">
        <v>1438</v>
      </c>
      <c r="N937" s="10" t="s">
        <v>1439</v>
      </c>
      <c r="O937" s="8" t="s">
        <v>1106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1613</v>
      </c>
      <c r="AA937" s="8" t="s">
        <v>331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1093</v>
      </c>
      <c r="E938" s="8" t="s">
        <v>123</v>
      </c>
      <c r="F938" s="8" t="s">
        <v>2323</v>
      </c>
      <c r="G938" s="8" t="s">
        <v>1279</v>
      </c>
      <c r="H938" s="8" t="s">
        <v>1149</v>
      </c>
      <c r="I938" s="8" t="s">
        <v>1490</v>
      </c>
      <c r="J938" s="8" t="s">
        <v>1491</v>
      </c>
      <c r="K938" s="8" t="s">
        <v>1099</v>
      </c>
      <c r="L938" s="10" t="s">
        <v>1314</v>
      </c>
      <c r="M938" s="10" t="s">
        <v>1492</v>
      </c>
      <c r="N938" s="10" t="s">
        <v>1493</v>
      </c>
      <c r="O938" s="8" t="s">
        <v>321</v>
      </c>
      <c r="P938" s="8"/>
      <c r="Q938" s="8"/>
      <c r="R938" s="8">
        <v>25836</v>
      </c>
      <c r="S938" s="8" t="s">
        <v>331</v>
      </c>
      <c r="T938" s="8"/>
      <c r="U938" s="8"/>
      <c r="V938" s="8"/>
      <c r="W938" s="8"/>
      <c r="X938" s="8"/>
      <c r="Y938" s="8"/>
      <c r="Z938" s="10" t="s">
        <v>1613</v>
      </c>
      <c r="AA938" s="8" t="s">
        <v>331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1093</v>
      </c>
      <c r="E939" s="8" t="s">
        <v>128</v>
      </c>
      <c r="F939" s="8" t="s">
        <v>2328</v>
      </c>
      <c r="G939" s="8" t="s">
        <v>1830</v>
      </c>
      <c r="H939" s="8" t="s">
        <v>1155</v>
      </c>
      <c r="I939" s="8" t="s">
        <v>1724</v>
      </c>
      <c r="J939" s="8" t="s">
        <v>1725</v>
      </c>
      <c r="K939" s="8" t="s">
        <v>1099</v>
      </c>
      <c r="L939" s="10" t="s">
        <v>1249</v>
      </c>
      <c r="M939" s="10" t="s">
        <v>1250</v>
      </c>
      <c r="N939" s="10"/>
      <c r="O939" s="8" t="s">
        <v>362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2329</v>
      </c>
      <c r="AA939" s="8" t="s">
        <v>331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1093</v>
      </c>
      <c r="E940" s="8" t="s">
        <v>123</v>
      </c>
      <c r="F940" s="8" t="s">
        <v>2328</v>
      </c>
      <c r="G940" s="8" t="s">
        <v>1279</v>
      </c>
      <c r="H940" s="8" t="s">
        <v>1149</v>
      </c>
      <c r="I940" s="8" t="s">
        <v>1267</v>
      </c>
      <c r="J940" s="8" t="s">
        <v>1111</v>
      </c>
      <c r="K940" s="8" t="s">
        <v>1099</v>
      </c>
      <c r="L940" s="10" t="s">
        <v>1268</v>
      </c>
      <c r="M940" s="10" t="s">
        <v>1269</v>
      </c>
      <c r="N940" s="10" t="s">
        <v>1584</v>
      </c>
      <c r="O940" s="8" t="s">
        <v>321</v>
      </c>
      <c r="P940" s="8"/>
      <c r="Q940" s="8">
        <v>10988</v>
      </c>
      <c r="R940" s="8">
        <v>76907</v>
      </c>
      <c r="S940" s="8" t="s">
        <v>331</v>
      </c>
      <c r="T940" s="8"/>
      <c r="U940" s="8"/>
      <c r="V940" s="8"/>
      <c r="W940" s="8"/>
      <c r="X940" s="8"/>
      <c r="Y940" s="8"/>
      <c r="Z940" s="10" t="s">
        <v>116</v>
      </c>
      <c r="AA940" s="8" t="s">
        <v>331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1093</v>
      </c>
      <c r="E941" s="8" t="s">
        <v>123</v>
      </c>
      <c r="F941" s="8" t="s">
        <v>2328</v>
      </c>
      <c r="G941" s="8" t="s">
        <v>1317</v>
      </c>
      <c r="H941" s="8" t="s">
        <v>1273</v>
      </c>
      <c r="I941" s="8" t="s">
        <v>1298</v>
      </c>
      <c r="J941" s="8" t="s">
        <v>1140</v>
      </c>
      <c r="K941" s="8" t="s">
        <v>1099</v>
      </c>
      <c r="L941" s="10" t="s">
        <v>1299</v>
      </c>
      <c r="M941" s="10" t="s">
        <v>1300</v>
      </c>
      <c r="N941" s="10" t="s">
        <v>1301</v>
      </c>
      <c r="O941" s="8" t="s">
        <v>321</v>
      </c>
      <c r="P941" s="8">
        <v>6429</v>
      </c>
      <c r="Q941" s="8">
        <v>15099</v>
      </c>
      <c r="R941" s="8">
        <v>18367</v>
      </c>
      <c r="S941" s="8" t="s">
        <v>331</v>
      </c>
      <c r="T941" s="8"/>
      <c r="U941" s="8"/>
      <c r="V941" s="8"/>
      <c r="W941" s="8"/>
      <c r="X941" s="8"/>
      <c r="Y941" s="8"/>
      <c r="Z941" s="10" t="s">
        <v>116</v>
      </c>
      <c r="AA941" s="8" t="s">
        <v>331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1093</v>
      </c>
      <c r="E942" s="8" t="s">
        <v>123</v>
      </c>
      <c r="F942" s="8" t="s">
        <v>2328</v>
      </c>
      <c r="G942" s="8" t="s">
        <v>1297</v>
      </c>
      <c r="H942" s="8" t="s">
        <v>1317</v>
      </c>
      <c r="I942" s="8" t="s">
        <v>1600</v>
      </c>
      <c r="J942" s="8" t="s">
        <v>1140</v>
      </c>
      <c r="K942" s="8" t="s">
        <v>1099</v>
      </c>
      <c r="L942" s="10" t="s">
        <v>1299</v>
      </c>
      <c r="M942" s="10" t="s">
        <v>1601</v>
      </c>
      <c r="N942" s="10" t="s">
        <v>1602</v>
      </c>
      <c r="O942" s="8" t="s">
        <v>321</v>
      </c>
      <c r="P942" s="8">
        <v>1773</v>
      </c>
      <c r="Q942" s="8">
        <v>2596</v>
      </c>
      <c r="R942" s="8">
        <v>7150</v>
      </c>
      <c r="S942" s="8" t="s">
        <v>331</v>
      </c>
      <c r="T942" s="8"/>
      <c r="U942" s="8"/>
      <c r="V942" s="8"/>
      <c r="W942" s="8"/>
      <c r="X942" s="8"/>
      <c r="Y942" s="8"/>
      <c r="Z942" s="10" t="s">
        <v>116</v>
      </c>
      <c r="AA942" s="8" t="s">
        <v>331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1093</v>
      </c>
      <c r="E943" s="8" t="s">
        <v>123</v>
      </c>
      <c r="F943" s="8" t="s">
        <v>2328</v>
      </c>
      <c r="G943" s="8" t="s">
        <v>1273</v>
      </c>
      <c r="H943" s="8" t="s">
        <v>1258</v>
      </c>
      <c r="I943" s="8" t="s">
        <v>1857</v>
      </c>
      <c r="J943" s="8" t="s">
        <v>1140</v>
      </c>
      <c r="K943" s="8" t="s">
        <v>1099</v>
      </c>
      <c r="L943" s="10" t="s">
        <v>1299</v>
      </c>
      <c r="M943" s="10" t="s">
        <v>1858</v>
      </c>
      <c r="N943" s="10" t="s">
        <v>1859</v>
      </c>
      <c r="O943" s="8" t="s">
        <v>321</v>
      </c>
      <c r="P943" s="8">
        <v>99</v>
      </c>
      <c r="Q943" s="8">
        <v>854</v>
      </c>
      <c r="R943" s="8">
        <v>2805</v>
      </c>
      <c r="S943" s="8" t="s">
        <v>331</v>
      </c>
      <c r="T943" s="8"/>
      <c r="U943" s="8"/>
      <c r="V943" s="8"/>
      <c r="W943" s="8"/>
      <c r="X943" s="8"/>
      <c r="Y943" s="8"/>
      <c r="Z943" s="10" t="s">
        <v>116</v>
      </c>
      <c r="AA943" s="8" t="s">
        <v>331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1093</v>
      </c>
      <c r="E944" s="8" t="s">
        <v>123</v>
      </c>
      <c r="F944" s="8" t="s">
        <v>2323</v>
      </c>
      <c r="G944" s="8" t="s">
        <v>1343</v>
      </c>
      <c r="H944" s="8" t="s">
        <v>1302</v>
      </c>
      <c r="I944" s="8" t="s">
        <v>2088</v>
      </c>
      <c r="J944" s="8" t="s">
        <v>1193</v>
      </c>
      <c r="K944" s="8" t="s">
        <v>1099</v>
      </c>
      <c r="L944" s="10" t="s">
        <v>1186</v>
      </c>
      <c r="M944" s="10" t="s">
        <v>1412</v>
      </c>
      <c r="N944" s="10" t="s">
        <v>1413</v>
      </c>
      <c r="O944" s="8" t="s">
        <v>321</v>
      </c>
      <c r="P944" s="8"/>
      <c r="Q944" s="8"/>
      <c r="R944" s="8">
        <v>2957</v>
      </c>
      <c r="S944" s="8" t="s">
        <v>331</v>
      </c>
      <c r="T944" s="8"/>
      <c r="U944" s="8"/>
      <c r="V944" s="8"/>
      <c r="W944" s="8"/>
      <c r="X944" s="8"/>
      <c r="Y944" s="8"/>
      <c r="Z944" s="10" t="s">
        <v>116</v>
      </c>
      <c r="AA944" s="8" t="s">
        <v>331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1093</v>
      </c>
      <c r="E945" s="8" t="s">
        <v>123</v>
      </c>
      <c r="F945" s="8" t="s">
        <v>2328</v>
      </c>
      <c r="G945" s="8" t="s">
        <v>1149</v>
      </c>
      <c r="H945" s="8" t="s">
        <v>1297</v>
      </c>
      <c r="I945" s="8" t="s">
        <v>1452</v>
      </c>
      <c r="J945" s="8" t="s">
        <v>1214</v>
      </c>
      <c r="K945" s="8" t="s">
        <v>1099</v>
      </c>
      <c r="L945" s="10" t="s">
        <v>1453</v>
      </c>
      <c r="M945" s="10" t="s">
        <v>1454</v>
      </c>
      <c r="N945" s="10"/>
      <c r="O945" s="8" t="s">
        <v>321</v>
      </c>
      <c r="P945" s="8"/>
      <c r="Q945" s="8"/>
      <c r="R945" s="8">
        <v>136910</v>
      </c>
      <c r="S945" s="8" t="s">
        <v>331</v>
      </c>
      <c r="T945" s="8"/>
      <c r="U945" s="8"/>
      <c r="V945" s="8"/>
      <c r="W945" s="8"/>
      <c r="X945" s="8"/>
      <c r="Y945" s="8"/>
      <c r="Z945" s="10" t="s">
        <v>116</v>
      </c>
      <c r="AA945" s="8" t="s">
        <v>331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1093</v>
      </c>
      <c r="E946" s="8" t="s">
        <v>123</v>
      </c>
      <c r="F946" s="8" t="s">
        <v>2328</v>
      </c>
      <c r="G946" s="8" t="s">
        <v>1196</v>
      </c>
      <c r="H946" s="8" t="s">
        <v>1279</v>
      </c>
      <c r="I946" s="8" t="s">
        <v>1895</v>
      </c>
      <c r="J946" s="8" t="s">
        <v>1217</v>
      </c>
      <c r="K946" s="8" t="s">
        <v>1099</v>
      </c>
      <c r="L946" s="10" t="s">
        <v>1896</v>
      </c>
      <c r="M946" s="10" t="s">
        <v>1897</v>
      </c>
      <c r="N946" s="10" t="s">
        <v>1413</v>
      </c>
      <c r="O946" s="8" t="s">
        <v>1106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331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1093</v>
      </c>
      <c r="E947" s="8" t="s">
        <v>128</v>
      </c>
      <c r="F947" s="8" t="s">
        <v>235</v>
      </c>
      <c r="G947" s="8" t="s">
        <v>1668</v>
      </c>
      <c r="H947" s="8" t="s">
        <v>1207</v>
      </c>
      <c r="I947" s="8" t="s">
        <v>1185</v>
      </c>
      <c r="J947" s="8" t="s">
        <v>1169</v>
      </c>
      <c r="K947" s="8" t="s">
        <v>1099</v>
      </c>
      <c r="L947" s="10" t="s">
        <v>1186</v>
      </c>
      <c r="M947" s="10" t="s">
        <v>1187</v>
      </c>
      <c r="N947" s="10" t="s">
        <v>1188</v>
      </c>
      <c r="O947" s="8" t="s">
        <v>1106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1102</v>
      </c>
      <c r="AA947" s="8" t="s">
        <v>331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1093</v>
      </c>
      <c r="E948" s="8" t="s">
        <v>123</v>
      </c>
      <c r="F948" s="8" t="s">
        <v>2328</v>
      </c>
      <c r="G948" s="8" t="s">
        <v>1279</v>
      </c>
      <c r="H948" s="8" t="s">
        <v>1149</v>
      </c>
      <c r="I948" s="8" t="s">
        <v>1267</v>
      </c>
      <c r="J948" s="8" t="s">
        <v>1111</v>
      </c>
      <c r="K948" s="8" t="s">
        <v>1099</v>
      </c>
      <c r="L948" s="10" t="s">
        <v>1268</v>
      </c>
      <c r="M948" s="10" t="s">
        <v>1269</v>
      </c>
      <c r="N948" s="10" t="s">
        <v>1584</v>
      </c>
      <c r="O948" s="8" t="s">
        <v>1106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331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1093</v>
      </c>
      <c r="E949" s="8" t="s">
        <v>123</v>
      </c>
      <c r="F949" s="8" t="s">
        <v>2328</v>
      </c>
      <c r="G949" s="8" t="s">
        <v>1120</v>
      </c>
      <c r="H949" s="8" t="s">
        <v>1343</v>
      </c>
      <c r="I949" s="8" t="s">
        <v>1281</v>
      </c>
      <c r="J949" s="8" t="s">
        <v>1111</v>
      </c>
      <c r="K949" s="8" t="s">
        <v>1099</v>
      </c>
      <c r="L949" s="10" t="s">
        <v>1282</v>
      </c>
      <c r="M949" s="10" t="s">
        <v>1283</v>
      </c>
      <c r="N949" s="10"/>
      <c r="O949" s="8" t="s">
        <v>321</v>
      </c>
      <c r="P949" s="8"/>
      <c r="Q949" s="8">
        <v>2100</v>
      </c>
      <c r="R949" s="8">
        <v>42000</v>
      </c>
      <c r="S949" s="8" t="s">
        <v>331</v>
      </c>
      <c r="T949" s="8"/>
      <c r="U949" s="8"/>
      <c r="V949" s="8"/>
      <c r="W949" s="8"/>
      <c r="X949" s="8"/>
      <c r="Y949" s="8"/>
      <c r="Z949" s="10" t="s">
        <v>116</v>
      </c>
      <c r="AA949" s="8" t="s">
        <v>331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1093</v>
      </c>
      <c r="E950" s="8" t="s">
        <v>123</v>
      </c>
      <c r="F950" s="8" t="s">
        <v>2328</v>
      </c>
      <c r="G950" s="8" t="s">
        <v>1284</v>
      </c>
      <c r="H950" s="8" t="s">
        <v>1166</v>
      </c>
      <c r="I950" s="8" t="s">
        <v>1606</v>
      </c>
      <c r="J950" s="8" t="s">
        <v>1140</v>
      </c>
      <c r="K950" s="8" t="s">
        <v>1099</v>
      </c>
      <c r="L950" s="10" t="s">
        <v>1260</v>
      </c>
      <c r="M950" s="10" t="s">
        <v>1261</v>
      </c>
      <c r="N950" s="10" t="s">
        <v>1413</v>
      </c>
      <c r="O950" s="8" t="s">
        <v>321</v>
      </c>
      <c r="P950" s="8"/>
      <c r="Q950" s="8">
        <v>800</v>
      </c>
      <c r="R950" s="8">
        <v>12000</v>
      </c>
      <c r="S950" s="8" t="s">
        <v>331</v>
      </c>
      <c r="T950" s="8"/>
      <c r="U950" s="8"/>
      <c r="V950" s="8"/>
      <c r="W950" s="8"/>
      <c r="X950" s="8"/>
      <c r="Y950" s="8"/>
      <c r="Z950" s="10" t="s">
        <v>116</v>
      </c>
      <c r="AA950" s="8" t="s">
        <v>331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1093</v>
      </c>
      <c r="E951" s="8" t="s">
        <v>123</v>
      </c>
      <c r="F951" s="8" t="s">
        <v>2328</v>
      </c>
      <c r="G951" s="8" t="s">
        <v>1302</v>
      </c>
      <c r="H951" s="8" t="s">
        <v>1303</v>
      </c>
      <c r="I951" s="8" t="s">
        <v>1349</v>
      </c>
      <c r="J951" s="8" t="s">
        <v>1193</v>
      </c>
      <c r="K951" s="8" t="s">
        <v>1099</v>
      </c>
      <c r="L951" s="10" t="s">
        <v>1350</v>
      </c>
      <c r="M951" s="10" t="s">
        <v>1351</v>
      </c>
      <c r="N951" s="10" t="s">
        <v>1352</v>
      </c>
      <c r="O951" s="8" t="s">
        <v>321</v>
      </c>
      <c r="P951" s="8"/>
      <c r="Q951" s="8"/>
      <c r="R951" s="8">
        <v>151225</v>
      </c>
      <c r="S951" s="8" t="s">
        <v>331</v>
      </c>
      <c r="T951" s="8"/>
      <c r="U951" s="8"/>
      <c r="V951" s="8"/>
      <c r="W951" s="8"/>
      <c r="X951" s="8"/>
      <c r="Y951" s="8"/>
      <c r="Z951" s="10" t="s">
        <v>116</v>
      </c>
      <c r="AA951" s="8" t="s">
        <v>331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1093</v>
      </c>
      <c r="E952" s="8" t="s">
        <v>123</v>
      </c>
      <c r="F952" s="8" t="s">
        <v>2328</v>
      </c>
      <c r="G952" s="8" t="s">
        <v>1303</v>
      </c>
      <c r="H952" s="8" t="s">
        <v>1342</v>
      </c>
      <c r="I952" s="8" t="s">
        <v>1356</v>
      </c>
      <c r="J952" s="8" t="s">
        <v>1193</v>
      </c>
      <c r="K952" s="8" t="s">
        <v>1099</v>
      </c>
      <c r="L952" s="10" t="s">
        <v>1350</v>
      </c>
      <c r="M952" s="10" t="s">
        <v>1357</v>
      </c>
      <c r="N952" s="10" t="s">
        <v>1358</v>
      </c>
      <c r="O952" s="8" t="s">
        <v>321</v>
      </c>
      <c r="P952" s="8"/>
      <c r="Q952" s="8"/>
      <c r="R952" s="8">
        <v>136290</v>
      </c>
      <c r="S952" s="8" t="s">
        <v>331</v>
      </c>
      <c r="T952" s="8"/>
      <c r="U952" s="8"/>
      <c r="V952" s="8"/>
      <c r="W952" s="8"/>
      <c r="X952" s="8"/>
      <c r="Y952" s="8"/>
      <c r="Z952" s="10" t="s">
        <v>116</v>
      </c>
      <c r="AA952" s="8" t="s">
        <v>331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1093</v>
      </c>
      <c r="E953" s="8" t="s">
        <v>123</v>
      </c>
      <c r="F953" s="8" t="s">
        <v>2328</v>
      </c>
      <c r="G953" s="8" t="s">
        <v>1166</v>
      </c>
      <c r="H953" s="8" t="s">
        <v>1120</v>
      </c>
      <c r="I953" s="8" t="s">
        <v>1363</v>
      </c>
      <c r="J953" s="8" t="s">
        <v>1193</v>
      </c>
      <c r="K953" s="8" t="s">
        <v>1099</v>
      </c>
      <c r="L953" s="10" t="s">
        <v>1364</v>
      </c>
      <c r="M953" s="10" t="s">
        <v>1365</v>
      </c>
      <c r="N953" s="10"/>
      <c r="O953" s="8" t="s">
        <v>321</v>
      </c>
      <c r="P953" s="8"/>
      <c r="Q953" s="8"/>
      <c r="R953" s="8">
        <v>48000</v>
      </c>
      <c r="S953" s="8" t="s">
        <v>331</v>
      </c>
      <c r="T953" s="8"/>
      <c r="U953" s="8"/>
      <c r="V953" s="8"/>
      <c r="W953" s="8"/>
      <c r="X953" s="8"/>
      <c r="Y953" s="8"/>
      <c r="Z953" s="10" t="s">
        <v>116</v>
      </c>
      <c r="AA953" s="8" t="s">
        <v>331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1093</v>
      </c>
      <c r="E954" s="8" t="s">
        <v>123</v>
      </c>
      <c r="F954" s="8" t="s">
        <v>2328</v>
      </c>
      <c r="G954" s="8" t="s">
        <v>1196</v>
      </c>
      <c r="H954" s="8" t="s">
        <v>1279</v>
      </c>
      <c r="I954" s="8" t="s">
        <v>1895</v>
      </c>
      <c r="J954" s="8" t="s">
        <v>1217</v>
      </c>
      <c r="K954" s="8" t="s">
        <v>1099</v>
      </c>
      <c r="L954" s="10" t="s">
        <v>1896</v>
      </c>
      <c r="M954" s="10" t="s">
        <v>1897</v>
      </c>
      <c r="N954" s="10" t="s">
        <v>1413</v>
      </c>
      <c r="O954" s="8" t="s">
        <v>321</v>
      </c>
      <c r="P954" s="8"/>
      <c r="Q954" s="8">
        <v>1801</v>
      </c>
      <c r="R954" s="8">
        <v>5799</v>
      </c>
      <c r="S954" s="8" t="s">
        <v>331</v>
      </c>
      <c r="T954" s="8"/>
      <c r="U954" s="8"/>
      <c r="V954" s="8"/>
      <c r="W954" s="8"/>
      <c r="X954" s="8"/>
      <c r="Y954" s="8"/>
      <c r="Z954" s="10" t="s">
        <v>116</v>
      </c>
      <c r="AA954" s="8" t="s">
        <v>331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1093</v>
      </c>
      <c r="E955" s="8" t="s">
        <v>123</v>
      </c>
      <c r="F955" s="8" t="s">
        <v>235</v>
      </c>
      <c r="G955" s="8" t="s">
        <v>1297</v>
      </c>
      <c r="H955" s="8" t="s">
        <v>1317</v>
      </c>
      <c r="I955" s="8" t="s">
        <v>1434</v>
      </c>
      <c r="J955" s="8" t="s">
        <v>1214</v>
      </c>
      <c r="K955" s="8" t="s">
        <v>1099</v>
      </c>
      <c r="L955" s="10" t="s">
        <v>1314</v>
      </c>
      <c r="M955" s="10" t="s">
        <v>1435</v>
      </c>
      <c r="N955" s="10" t="s">
        <v>1436</v>
      </c>
      <c r="O955" s="8" t="s">
        <v>1106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1613</v>
      </c>
      <c r="AA955" s="8" t="s">
        <v>331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1093</v>
      </c>
      <c r="E956" s="8" t="s">
        <v>123</v>
      </c>
      <c r="F956" s="8" t="s">
        <v>2330</v>
      </c>
      <c r="G956" s="8" t="s">
        <v>1297</v>
      </c>
      <c r="H956" s="8" t="s">
        <v>2331</v>
      </c>
      <c r="I956" s="8" t="s">
        <v>1455</v>
      </c>
      <c r="J956" s="8" t="s">
        <v>1214</v>
      </c>
      <c r="K956" s="8" t="s">
        <v>1099</v>
      </c>
      <c r="L956" s="10" t="s">
        <v>1456</v>
      </c>
      <c r="M956" s="10" t="s">
        <v>1457</v>
      </c>
      <c r="N956" s="10"/>
      <c r="O956" s="8" t="s">
        <v>362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2332</v>
      </c>
      <c r="AA956" s="8" t="s">
        <v>331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1093</v>
      </c>
      <c r="E957" s="8" t="s">
        <v>123</v>
      </c>
      <c r="F957" s="8" t="s">
        <v>237</v>
      </c>
      <c r="G957" s="8" t="s">
        <v>1317</v>
      </c>
      <c r="H957" s="8" t="s">
        <v>1273</v>
      </c>
      <c r="I957" s="8" t="s">
        <v>2010</v>
      </c>
      <c r="J957" s="8" t="s">
        <v>1459</v>
      </c>
      <c r="K957" s="8" t="s">
        <v>1099</v>
      </c>
      <c r="L957" s="10" t="s">
        <v>2011</v>
      </c>
      <c r="M957" s="10" t="s">
        <v>2012</v>
      </c>
      <c r="N957" s="10" t="s">
        <v>1340</v>
      </c>
      <c r="O957" s="8" t="s">
        <v>1106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1613</v>
      </c>
      <c r="AA957" s="8" t="s">
        <v>331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1093</v>
      </c>
      <c r="E958" s="8" t="s">
        <v>123</v>
      </c>
      <c r="F958" s="8" t="s">
        <v>2328</v>
      </c>
      <c r="G958" s="8" t="s">
        <v>1120</v>
      </c>
      <c r="H958" s="8" t="s">
        <v>1343</v>
      </c>
      <c r="I958" s="8" t="s">
        <v>1281</v>
      </c>
      <c r="J958" s="8" t="s">
        <v>1111</v>
      </c>
      <c r="K958" s="8" t="s">
        <v>1099</v>
      </c>
      <c r="L958" s="10" t="s">
        <v>1282</v>
      </c>
      <c r="M958" s="10" t="s">
        <v>1283</v>
      </c>
      <c r="N958" s="10"/>
      <c r="O958" s="8" t="s">
        <v>1106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331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1093</v>
      </c>
      <c r="E959" s="8" t="s">
        <v>123</v>
      </c>
      <c r="F959" s="8" t="s">
        <v>228</v>
      </c>
      <c r="G959" s="8" t="s">
        <v>1196</v>
      </c>
      <c r="H959" s="8" t="s">
        <v>1149</v>
      </c>
      <c r="I959" s="8" t="s">
        <v>1853</v>
      </c>
      <c r="J959" s="8" t="s">
        <v>1111</v>
      </c>
      <c r="K959" s="8" t="s">
        <v>1099</v>
      </c>
      <c r="L959" s="10" t="s">
        <v>1293</v>
      </c>
      <c r="M959" s="10" t="s">
        <v>1854</v>
      </c>
      <c r="N959" s="10" t="s">
        <v>1855</v>
      </c>
      <c r="O959" s="8" t="s">
        <v>321</v>
      </c>
      <c r="P959" s="8"/>
      <c r="Q959" s="8">
        <v>29570</v>
      </c>
      <c r="R959" s="8">
        <v>25842</v>
      </c>
      <c r="S959" s="8"/>
      <c r="T959" s="8" t="s">
        <v>331</v>
      </c>
      <c r="U959" s="8"/>
      <c r="V959" s="8"/>
      <c r="W959" s="8"/>
      <c r="X959" s="8"/>
      <c r="Y959" s="8"/>
      <c r="Z959" s="10" t="s">
        <v>1239</v>
      </c>
      <c r="AA959" s="8" t="s">
        <v>331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1093</v>
      </c>
      <c r="E960" s="8" t="s">
        <v>123</v>
      </c>
      <c r="F960" s="8" t="s">
        <v>2328</v>
      </c>
      <c r="G960" s="8" t="s">
        <v>1273</v>
      </c>
      <c r="H960" s="8" t="s">
        <v>1258</v>
      </c>
      <c r="I960" s="8" t="s">
        <v>1857</v>
      </c>
      <c r="J960" s="8" t="s">
        <v>1140</v>
      </c>
      <c r="K960" s="8" t="s">
        <v>1099</v>
      </c>
      <c r="L960" s="10" t="s">
        <v>1299</v>
      </c>
      <c r="M960" s="10" t="s">
        <v>1858</v>
      </c>
      <c r="N960" s="10" t="s">
        <v>1859</v>
      </c>
      <c r="O960" s="8" t="s">
        <v>1106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331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1093</v>
      </c>
      <c r="E961" s="8" t="s">
        <v>123</v>
      </c>
      <c r="F961" s="8" t="s">
        <v>2319</v>
      </c>
      <c r="G961" s="8" t="s">
        <v>1120</v>
      </c>
      <c r="H961" s="8" t="s">
        <v>1343</v>
      </c>
      <c r="I961" s="8" t="s">
        <v>1630</v>
      </c>
      <c r="J961" s="8" t="s">
        <v>1193</v>
      </c>
      <c r="K961" s="8" t="s">
        <v>1099</v>
      </c>
      <c r="L961" s="10" t="s">
        <v>1378</v>
      </c>
      <c r="M961" s="10" t="s">
        <v>1631</v>
      </c>
      <c r="N961" s="10" t="s">
        <v>1632</v>
      </c>
      <c r="O961" s="8" t="s">
        <v>1106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1613</v>
      </c>
      <c r="AA961" s="8" t="s">
        <v>331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1093</v>
      </c>
      <c r="E962" s="8" t="s">
        <v>123</v>
      </c>
      <c r="F962" s="8" t="s">
        <v>2319</v>
      </c>
      <c r="G962" s="8" t="s">
        <v>1297</v>
      </c>
      <c r="H962" s="8" t="s">
        <v>1317</v>
      </c>
      <c r="I962" s="8" t="s">
        <v>1422</v>
      </c>
      <c r="J962" s="8" t="s">
        <v>1214</v>
      </c>
      <c r="K962" s="8" t="s">
        <v>1099</v>
      </c>
      <c r="L962" s="10" t="s">
        <v>1378</v>
      </c>
      <c r="M962" s="10" t="s">
        <v>1423</v>
      </c>
      <c r="N962" s="10" t="s">
        <v>1424</v>
      </c>
      <c r="O962" s="8" t="s">
        <v>1106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1613</v>
      </c>
      <c r="AA962" s="8" t="s">
        <v>331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1093</v>
      </c>
      <c r="E963" s="8" t="s">
        <v>123</v>
      </c>
      <c r="F963" s="8" t="s">
        <v>228</v>
      </c>
      <c r="G963" s="8" t="s">
        <v>1302</v>
      </c>
      <c r="H963" s="8" t="s">
        <v>1342</v>
      </c>
      <c r="I963" s="8" t="s">
        <v>1455</v>
      </c>
      <c r="J963" s="8" t="s">
        <v>1214</v>
      </c>
      <c r="K963" s="8" t="s">
        <v>1099</v>
      </c>
      <c r="L963" s="10" t="s">
        <v>1456</v>
      </c>
      <c r="M963" s="10" t="s">
        <v>1457</v>
      </c>
      <c r="N963" s="10"/>
      <c r="O963" s="8" t="s">
        <v>321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331</v>
      </c>
      <c r="Z963" s="10" t="s">
        <v>2241</v>
      </c>
      <c r="AA963" s="8" t="s">
        <v>331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1093</v>
      </c>
      <c r="E964" s="8" t="s">
        <v>123</v>
      </c>
      <c r="F964" s="8" t="s">
        <v>237</v>
      </c>
      <c r="G964" s="8" t="s">
        <v>1149</v>
      </c>
      <c r="H964" s="8" t="s">
        <v>1297</v>
      </c>
      <c r="I964" s="8" t="s">
        <v>2273</v>
      </c>
      <c r="J964" s="8" t="s">
        <v>1459</v>
      </c>
      <c r="K964" s="8" t="s">
        <v>1099</v>
      </c>
      <c r="L964" s="10" t="s">
        <v>1997</v>
      </c>
      <c r="M964" s="10" t="s">
        <v>2274</v>
      </c>
      <c r="N964" s="10" t="s">
        <v>1999</v>
      </c>
      <c r="O964" s="8" t="s">
        <v>1106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1613</v>
      </c>
      <c r="AA964" s="8" t="s">
        <v>331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1093</v>
      </c>
      <c r="E965" s="8" t="s">
        <v>139</v>
      </c>
      <c r="F965" s="8" t="s">
        <v>228</v>
      </c>
      <c r="G965" s="8" t="s">
        <v>1166</v>
      </c>
      <c r="H965" s="8" t="s">
        <v>1342</v>
      </c>
      <c r="I965" s="8" t="s">
        <v>2333</v>
      </c>
      <c r="J965" s="8" t="s">
        <v>1514</v>
      </c>
      <c r="K965" s="8" t="s">
        <v>1496</v>
      </c>
      <c r="L965" s="10" t="s">
        <v>1515</v>
      </c>
      <c r="M965" s="10" t="s">
        <v>2334</v>
      </c>
      <c r="N965" s="10" t="s">
        <v>2335</v>
      </c>
      <c r="O965" s="8" t="s">
        <v>321</v>
      </c>
      <c r="P965" s="8"/>
      <c r="Q965" s="8"/>
      <c r="R965" s="8">
        <v>0</v>
      </c>
      <c r="S965" s="8"/>
      <c r="T965" s="8" t="s">
        <v>331</v>
      </c>
      <c r="U965" s="8"/>
      <c r="V965" s="8"/>
      <c r="W965" s="8"/>
      <c r="X965" s="8"/>
      <c r="Y965" s="8"/>
      <c r="Z965" s="10" t="s">
        <v>2336</v>
      </c>
      <c r="AA965" s="8" t="s">
        <v>331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1093</v>
      </c>
      <c r="E966" s="8" t="s">
        <v>128</v>
      </c>
      <c r="F966" s="8" t="s">
        <v>2337</v>
      </c>
      <c r="G966" s="8" t="s">
        <v>1120</v>
      </c>
      <c r="H966" s="8" t="s">
        <v>1746</v>
      </c>
      <c r="I966" s="8" t="s">
        <v>1122</v>
      </c>
      <c r="J966" s="8" t="s">
        <v>1111</v>
      </c>
      <c r="K966" s="8" t="s">
        <v>1099</v>
      </c>
      <c r="L966" s="10" t="s">
        <v>1123</v>
      </c>
      <c r="M966" s="10" t="s">
        <v>1124</v>
      </c>
      <c r="N966" s="10" t="s">
        <v>1125</v>
      </c>
      <c r="O966" s="8" t="s">
        <v>321</v>
      </c>
      <c r="P966" s="8"/>
      <c r="Q966" s="8">
        <v>39823</v>
      </c>
      <c r="R966" s="8">
        <v>69850</v>
      </c>
      <c r="S966" s="8"/>
      <c r="T966" s="8" t="s">
        <v>331</v>
      </c>
      <c r="U966" s="8"/>
      <c r="V966" s="8"/>
      <c r="W966" s="8"/>
      <c r="X966" s="8"/>
      <c r="Y966" s="8"/>
      <c r="Z966" s="10" t="s">
        <v>2338</v>
      </c>
      <c r="AA966" s="8" t="s">
        <v>331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1093</v>
      </c>
      <c r="E967" s="8" t="s">
        <v>128</v>
      </c>
      <c r="F967" s="8" t="s">
        <v>2337</v>
      </c>
      <c r="G967" s="8" t="s">
        <v>1608</v>
      </c>
      <c r="H967" s="8" t="s">
        <v>1804</v>
      </c>
      <c r="I967" s="8" t="s">
        <v>1175</v>
      </c>
      <c r="J967" s="8" t="s">
        <v>1169</v>
      </c>
      <c r="K967" s="8" t="s">
        <v>1099</v>
      </c>
      <c r="L967" s="10" t="s">
        <v>1123</v>
      </c>
      <c r="M967" s="10" t="s">
        <v>1124</v>
      </c>
      <c r="N967" s="10" t="s">
        <v>1176</v>
      </c>
      <c r="O967" s="8" t="s">
        <v>321</v>
      </c>
      <c r="P967" s="8"/>
      <c r="Q967" s="8"/>
      <c r="R967" s="8">
        <v>90207</v>
      </c>
      <c r="S967" s="8" t="s">
        <v>331</v>
      </c>
      <c r="T967" s="8"/>
      <c r="U967" s="8"/>
      <c r="V967" s="8"/>
      <c r="W967" s="8"/>
      <c r="X967" s="8"/>
      <c r="Y967" s="8"/>
      <c r="Z967" s="10" t="s">
        <v>2339</v>
      </c>
      <c r="AA967" s="8" t="s">
        <v>331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1093</v>
      </c>
      <c r="E968" s="8" t="s">
        <v>128</v>
      </c>
      <c r="F968" s="8" t="s">
        <v>2337</v>
      </c>
      <c r="G968" s="8" t="s">
        <v>1174</v>
      </c>
      <c r="H968" s="8" t="s">
        <v>1302</v>
      </c>
      <c r="I968" s="8" t="s">
        <v>1213</v>
      </c>
      <c r="J968" s="8" t="s">
        <v>1214</v>
      </c>
      <c r="K968" s="8" t="s">
        <v>1099</v>
      </c>
      <c r="L968" s="10" t="s">
        <v>1123</v>
      </c>
      <c r="M968" s="10" t="s">
        <v>1124</v>
      </c>
      <c r="N968" s="10" t="s">
        <v>1215</v>
      </c>
      <c r="O968" s="8" t="s">
        <v>321</v>
      </c>
      <c r="P968" s="8"/>
      <c r="Q968" s="8"/>
      <c r="R968" s="8">
        <v>131689</v>
      </c>
      <c r="S968" s="8"/>
      <c r="T968" s="8" t="s">
        <v>331</v>
      </c>
      <c r="U968" s="8"/>
      <c r="V968" s="8"/>
      <c r="W968" s="8"/>
      <c r="X968" s="8"/>
      <c r="Y968" s="8"/>
      <c r="Z968" s="10" t="s">
        <v>2338</v>
      </c>
      <c r="AA968" s="8" t="s">
        <v>331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1093</v>
      </c>
      <c r="E969" s="8" t="s">
        <v>123</v>
      </c>
      <c r="F969" s="8" t="s">
        <v>2340</v>
      </c>
      <c r="G969" s="8" t="s">
        <v>1297</v>
      </c>
      <c r="H969" s="8" t="s">
        <v>1317</v>
      </c>
      <c r="I969" s="8" t="s">
        <v>1286</v>
      </c>
      <c r="J969" s="8" t="s">
        <v>1111</v>
      </c>
      <c r="K969" s="8" t="s">
        <v>1099</v>
      </c>
      <c r="L969" s="10" t="s">
        <v>1287</v>
      </c>
      <c r="M969" s="10" t="s">
        <v>1288</v>
      </c>
      <c r="N969" s="10" t="s">
        <v>1289</v>
      </c>
      <c r="O969" s="8" t="s">
        <v>1106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1613</v>
      </c>
      <c r="AA969" s="8" t="s">
        <v>331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1093</v>
      </c>
      <c r="E970" s="8" t="s">
        <v>123</v>
      </c>
      <c r="F970" s="8" t="s">
        <v>2337</v>
      </c>
      <c r="G970" s="8" t="s">
        <v>1258</v>
      </c>
      <c r="H970" s="8" t="s">
        <v>1684</v>
      </c>
      <c r="I970" s="8" t="s">
        <v>2320</v>
      </c>
      <c r="J970" s="8" t="s">
        <v>1140</v>
      </c>
      <c r="K970" s="8" t="s">
        <v>1099</v>
      </c>
      <c r="L970" s="10" t="s">
        <v>2321</v>
      </c>
      <c r="M970" s="10" t="s">
        <v>2341</v>
      </c>
      <c r="N970" s="10" t="s">
        <v>1413</v>
      </c>
      <c r="O970" s="8" t="s">
        <v>362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2342</v>
      </c>
      <c r="AA970" s="8" t="s">
        <v>331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1093</v>
      </c>
      <c r="E971" s="8" t="s">
        <v>123</v>
      </c>
      <c r="F971" s="8" t="s">
        <v>2340</v>
      </c>
      <c r="G971" s="8" t="s">
        <v>1343</v>
      </c>
      <c r="H971" s="8" t="s">
        <v>1303</v>
      </c>
      <c r="I971" s="8" t="s">
        <v>2343</v>
      </c>
      <c r="J971" s="8" t="s">
        <v>1193</v>
      </c>
      <c r="K971" s="8" t="s">
        <v>1099</v>
      </c>
      <c r="L971" s="10" t="s">
        <v>1314</v>
      </c>
      <c r="M971" s="10" t="s">
        <v>1438</v>
      </c>
      <c r="N971" s="10" t="s">
        <v>1439</v>
      </c>
      <c r="O971" s="8" t="s">
        <v>362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2344</v>
      </c>
      <c r="AA971" s="8" t="s">
        <v>331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1093</v>
      </c>
      <c r="E972" s="8" t="s">
        <v>123</v>
      </c>
      <c r="F972" s="8" t="s">
        <v>2340</v>
      </c>
      <c r="G972" s="8" t="s">
        <v>1120</v>
      </c>
      <c r="H972" s="8" t="s">
        <v>1343</v>
      </c>
      <c r="I972" s="8" t="s">
        <v>2345</v>
      </c>
      <c r="J972" s="8" t="s">
        <v>1193</v>
      </c>
      <c r="K972" s="8" t="s">
        <v>1099</v>
      </c>
      <c r="L972" s="10" t="s">
        <v>1314</v>
      </c>
      <c r="M972" s="10" t="s">
        <v>1315</v>
      </c>
      <c r="N972" s="10" t="s">
        <v>1316</v>
      </c>
      <c r="O972" s="8" t="s">
        <v>362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2346</v>
      </c>
      <c r="AA972" s="8" t="s">
        <v>331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1093</v>
      </c>
      <c r="E973" s="8" t="s">
        <v>123</v>
      </c>
      <c r="F973" s="8" t="s">
        <v>2340</v>
      </c>
      <c r="G973" s="8" t="s">
        <v>1284</v>
      </c>
      <c r="H973" s="8" t="s">
        <v>1120</v>
      </c>
      <c r="I973" s="8" t="s">
        <v>2347</v>
      </c>
      <c r="J973" s="8" t="s">
        <v>1193</v>
      </c>
      <c r="K973" s="8" t="s">
        <v>1099</v>
      </c>
      <c r="L973" s="10" t="s">
        <v>1314</v>
      </c>
      <c r="M973" s="10" t="s">
        <v>1451</v>
      </c>
      <c r="N973" s="10" t="s">
        <v>1410</v>
      </c>
      <c r="O973" s="8" t="s">
        <v>362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2348</v>
      </c>
      <c r="AA973" s="8" t="s">
        <v>331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1093</v>
      </c>
      <c r="E974" s="8" t="s">
        <v>123</v>
      </c>
      <c r="F974" s="8" t="s">
        <v>2340</v>
      </c>
      <c r="G974" s="8" t="s">
        <v>1149</v>
      </c>
      <c r="H974" s="8" t="s">
        <v>1297</v>
      </c>
      <c r="I974" s="8" t="s">
        <v>1996</v>
      </c>
      <c r="J974" s="8" t="s">
        <v>1214</v>
      </c>
      <c r="K974" s="8" t="s">
        <v>1099</v>
      </c>
      <c r="L974" s="10" t="s">
        <v>1997</v>
      </c>
      <c r="M974" s="10" t="s">
        <v>1998</v>
      </c>
      <c r="N974" s="10" t="s">
        <v>1999</v>
      </c>
      <c r="O974" s="8" t="s">
        <v>321</v>
      </c>
      <c r="P974" s="8"/>
      <c r="Q974" s="8"/>
      <c r="R974" s="8">
        <v>117282</v>
      </c>
      <c r="S974" s="8"/>
      <c r="T974" s="8"/>
      <c r="U974" s="8" t="s">
        <v>331</v>
      </c>
      <c r="V974" s="8"/>
      <c r="W974" s="8"/>
      <c r="X974" s="8"/>
      <c r="Y974" s="8"/>
      <c r="Z974" s="10" t="s">
        <v>1278</v>
      </c>
      <c r="AA974" s="8" t="s">
        <v>331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1093</v>
      </c>
      <c r="E975" s="8" t="s">
        <v>123</v>
      </c>
      <c r="F975" s="8" t="s">
        <v>2340</v>
      </c>
      <c r="G975" s="8" t="s">
        <v>1196</v>
      </c>
      <c r="H975" s="8" t="s">
        <v>1149</v>
      </c>
      <c r="I975" s="8" t="s">
        <v>1455</v>
      </c>
      <c r="J975" s="8" t="s">
        <v>1214</v>
      </c>
      <c r="K975" s="8" t="s">
        <v>1099</v>
      </c>
      <c r="L975" s="10" t="s">
        <v>1456</v>
      </c>
      <c r="M975" s="10" t="s">
        <v>1457</v>
      </c>
      <c r="N975" s="10"/>
      <c r="O975" s="8" t="s">
        <v>321</v>
      </c>
      <c r="P975" s="8"/>
      <c r="Q975" s="8"/>
      <c r="R975" s="8">
        <v>80962</v>
      </c>
      <c r="S975" s="8"/>
      <c r="T975" s="8"/>
      <c r="U975" s="8" t="s">
        <v>331</v>
      </c>
      <c r="V975" s="8"/>
      <c r="W975" s="8"/>
      <c r="X975" s="8"/>
      <c r="Y975" s="8" t="s">
        <v>331</v>
      </c>
      <c r="Z975" s="10" t="s">
        <v>2349</v>
      </c>
      <c r="AA975" s="8" t="s">
        <v>331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1093</v>
      </c>
      <c r="E976" s="8" t="s">
        <v>123</v>
      </c>
      <c r="F976" s="8" t="s">
        <v>237</v>
      </c>
      <c r="G976" s="8" t="s">
        <v>1302</v>
      </c>
      <c r="H976" s="8" t="s">
        <v>1303</v>
      </c>
      <c r="I976" s="8" t="s">
        <v>2292</v>
      </c>
      <c r="J976" s="8" t="s">
        <v>1459</v>
      </c>
      <c r="K976" s="8" t="s">
        <v>1099</v>
      </c>
      <c r="L976" s="10" t="s">
        <v>1170</v>
      </c>
      <c r="M976" s="10" t="s">
        <v>1659</v>
      </c>
      <c r="N976" s="10" t="s">
        <v>2293</v>
      </c>
      <c r="O976" s="8" t="s">
        <v>1106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1613</v>
      </c>
      <c r="AA976" s="8" t="s">
        <v>331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1093</v>
      </c>
      <c r="E977" s="8" t="s">
        <v>139</v>
      </c>
      <c r="F977" s="8" t="s">
        <v>2337</v>
      </c>
      <c r="G977" s="8" t="s">
        <v>2350</v>
      </c>
      <c r="H977" s="8" t="s">
        <v>1930</v>
      </c>
      <c r="I977" s="8" t="s">
        <v>1502</v>
      </c>
      <c r="J977" s="8" t="s">
        <v>1217</v>
      </c>
      <c r="K977" s="8" t="s">
        <v>1099</v>
      </c>
      <c r="L977" s="10" t="s">
        <v>1503</v>
      </c>
      <c r="M977" s="10" t="s">
        <v>1504</v>
      </c>
      <c r="N977" s="10" t="s">
        <v>1346</v>
      </c>
      <c r="O977" s="8" t="s">
        <v>1106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331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1093</v>
      </c>
      <c r="E978" s="8" t="s">
        <v>139</v>
      </c>
      <c r="F978" s="8" t="s">
        <v>2337</v>
      </c>
      <c r="G978" s="8" t="s">
        <v>1745</v>
      </c>
      <c r="H978" s="8" t="s">
        <v>1440</v>
      </c>
      <c r="I978" s="8" t="s">
        <v>1509</v>
      </c>
      <c r="J978" s="8" t="s">
        <v>1217</v>
      </c>
      <c r="K978" s="8" t="s">
        <v>1099</v>
      </c>
      <c r="L978" s="10" t="s">
        <v>1503</v>
      </c>
      <c r="M978" s="10" t="s">
        <v>1504</v>
      </c>
      <c r="N978" s="10" t="s">
        <v>1346</v>
      </c>
      <c r="O978" s="8" t="s">
        <v>1106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331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1093</v>
      </c>
      <c r="E979" s="8" t="s">
        <v>128</v>
      </c>
      <c r="F979" s="8" t="s">
        <v>235</v>
      </c>
      <c r="G979" s="8" t="s">
        <v>2267</v>
      </c>
      <c r="H979" s="8" t="s">
        <v>1555</v>
      </c>
      <c r="I979" s="8" t="s">
        <v>1209</v>
      </c>
      <c r="J979" s="8" t="s">
        <v>1204</v>
      </c>
      <c r="K979" s="8" t="s">
        <v>1099</v>
      </c>
      <c r="L979" s="10" t="s">
        <v>1210</v>
      </c>
      <c r="M979" s="10" t="s">
        <v>1211</v>
      </c>
      <c r="N979" s="10" t="s">
        <v>1188</v>
      </c>
      <c r="O979" s="8" t="s">
        <v>1106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1102</v>
      </c>
      <c r="AA979" s="8" t="s">
        <v>331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1093</v>
      </c>
      <c r="E980" s="8" t="s">
        <v>123</v>
      </c>
      <c r="F980" s="8" t="s">
        <v>2340</v>
      </c>
      <c r="G980" s="8" t="s">
        <v>1297</v>
      </c>
      <c r="H980" s="8" t="s">
        <v>1317</v>
      </c>
      <c r="I980" s="8" t="s">
        <v>1286</v>
      </c>
      <c r="J980" s="8" t="s">
        <v>1111</v>
      </c>
      <c r="K980" s="8" t="s">
        <v>1099</v>
      </c>
      <c r="L980" s="10" t="s">
        <v>1287</v>
      </c>
      <c r="M980" s="10" t="s">
        <v>1288</v>
      </c>
      <c r="N980" s="10" t="s">
        <v>1289</v>
      </c>
      <c r="O980" s="8" t="s">
        <v>321</v>
      </c>
      <c r="P980" s="8"/>
      <c r="Q980" s="8">
        <v>16366</v>
      </c>
      <c r="R980" s="8">
        <v>143510</v>
      </c>
      <c r="S980" s="8" t="s">
        <v>331</v>
      </c>
      <c r="T980" s="8"/>
      <c r="U980" s="8"/>
      <c r="V980" s="8"/>
      <c r="W980" s="8"/>
      <c r="X980" s="8"/>
      <c r="Y980" s="8"/>
      <c r="Z980" s="10" t="s">
        <v>1613</v>
      </c>
      <c r="AA980" s="8" t="s">
        <v>331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1093</v>
      </c>
      <c r="E981" s="8" t="s">
        <v>123</v>
      </c>
      <c r="F981" s="8" t="s">
        <v>235</v>
      </c>
      <c r="G981" s="8" t="s">
        <v>1273</v>
      </c>
      <c r="H981" s="8" t="s">
        <v>1258</v>
      </c>
      <c r="I981" s="8" t="s">
        <v>1313</v>
      </c>
      <c r="J981" s="8" t="s">
        <v>1169</v>
      </c>
      <c r="K981" s="8" t="s">
        <v>1099</v>
      </c>
      <c r="L981" s="10" t="s">
        <v>1314</v>
      </c>
      <c r="M981" s="10" t="s">
        <v>1315</v>
      </c>
      <c r="N981" s="10" t="s">
        <v>1316</v>
      </c>
      <c r="O981" s="8" t="s">
        <v>1106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1613</v>
      </c>
      <c r="AA981" s="8" t="s">
        <v>331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1093</v>
      </c>
      <c r="E982" s="8" t="s">
        <v>123</v>
      </c>
      <c r="F982" s="8" t="s">
        <v>235</v>
      </c>
      <c r="G982" s="8" t="s">
        <v>1317</v>
      </c>
      <c r="H982" s="8" t="s">
        <v>1273</v>
      </c>
      <c r="I982" s="8" t="s">
        <v>1426</v>
      </c>
      <c r="J982" s="8" t="s">
        <v>1214</v>
      </c>
      <c r="K982" s="8" t="s">
        <v>1099</v>
      </c>
      <c r="L982" s="10" t="s">
        <v>1314</v>
      </c>
      <c r="M982" s="10" t="s">
        <v>1427</v>
      </c>
      <c r="N982" s="10" t="s">
        <v>1428</v>
      </c>
      <c r="O982" s="8" t="s">
        <v>1106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1613</v>
      </c>
      <c r="AA982" s="8" t="s">
        <v>331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1093</v>
      </c>
      <c r="E983" s="8" t="s">
        <v>128</v>
      </c>
      <c r="F983" s="8" t="s">
        <v>2337</v>
      </c>
      <c r="G983" s="8" t="s">
        <v>1120</v>
      </c>
      <c r="H983" s="8" t="s">
        <v>1746</v>
      </c>
      <c r="I983" s="8" t="s">
        <v>1122</v>
      </c>
      <c r="J983" s="8" t="s">
        <v>1111</v>
      </c>
      <c r="K983" s="8" t="s">
        <v>1099</v>
      </c>
      <c r="L983" s="10" t="s">
        <v>1123</v>
      </c>
      <c r="M983" s="10" t="s">
        <v>1124</v>
      </c>
      <c r="N983" s="10" t="s">
        <v>1125</v>
      </c>
      <c r="O983" s="8" t="s">
        <v>1106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2338</v>
      </c>
      <c r="AA983" s="8" t="s">
        <v>331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1093</v>
      </c>
      <c r="E984" s="8" t="s">
        <v>128</v>
      </c>
      <c r="F984" s="8" t="s">
        <v>2337</v>
      </c>
      <c r="G984" s="8" t="s">
        <v>1608</v>
      </c>
      <c r="H984" s="8" t="s">
        <v>1804</v>
      </c>
      <c r="I984" s="8" t="s">
        <v>1175</v>
      </c>
      <c r="J984" s="8" t="s">
        <v>1169</v>
      </c>
      <c r="K984" s="8" t="s">
        <v>1099</v>
      </c>
      <c r="L984" s="10" t="s">
        <v>1123</v>
      </c>
      <c r="M984" s="10" t="s">
        <v>1124</v>
      </c>
      <c r="N984" s="10" t="s">
        <v>1176</v>
      </c>
      <c r="O984" s="8" t="s">
        <v>1106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2339</v>
      </c>
      <c r="AA984" s="8" t="s">
        <v>331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1093</v>
      </c>
      <c r="E985" s="8" t="s">
        <v>123</v>
      </c>
      <c r="F985" s="8" t="s">
        <v>2328</v>
      </c>
      <c r="G985" s="8" t="s">
        <v>1303</v>
      </c>
      <c r="H985" s="8" t="s">
        <v>1342</v>
      </c>
      <c r="I985" s="8" t="s">
        <v>1356</v>
      </c>
      <c r="J985" s="8" t="s">
        <v>1193</v>
      </c>
      <c r="K985" s="8" t="s">
        <v>1099</v>
      </c>
      <c r="L985" s="10" t="s">
        <v>1350</v>
      </c>
      <c r="M985" s="10" t="s">
        <v>1357</v>
      </c>
      <c r="N985" s="10" t="s">
        <v>1358</v>
      </c>
      <c r="O985" s="8" t="s">
        <v>1106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331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1093</v>
      </c>
      <c r="E986" s="8" t="s">
        <v>128</v>
      </c>
      <c r="F986" s="8" t="s">
        <v>2351</v>
      </c>
      <c r="G986" s="8" t="s">
        <v>1971</v>
      </c>
      <c r="H986" s="8" t="s">
        <v>2267</v>
      </c>
      <c r="I986" s="8" t="s">
        <v>1110</v>
      </c>
      <c r="J986" s="8" t="s">
        <v>1111</v>
      </c>
      <c r="K986" s="8" t="s">
        <v>1099</v>
      </c>
      <c r="L986" s="10" t="s">
        <v>1112</v>
      </c>
      <c r="M986" s="10" t="s">
        <v>1113</v>
      </c>
      <c r="N986" s="10" t="s">
        <v>128</v>
      </c>
      <c r="O986" s="8" t="s">
        <v>321</v>
      </c>
      <c r="P986" s="8"/>
      <c r="Q986" s="8">
        <v>84</v>
      </c>
      <c r="R986" s="8">
        <v>3496</v>
      </c>
      <c r="S986" s="8" t="s">
        <v>331</v>
      </c>
      <c r="T986" s="8"/>
      <c r="U986" s="8"/>
      <c r="V986" s="8"/>
      <c r="W986" s="8"/>
      <c r="X986" s="8"/>
      <c r="Y986" s="8"/>
      <c r="Z986" s="10" t="s">
        <v>1102</v>
      </c>
      <c r="AA986" s="8" t="s">
        <v>331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1093</v>
      </c>
      <c r="E987" s="8" t="s">
        <v>128</v>
      </c>
      <c r="F987" s="8" t="s">
        <v>2351</v>
      </c>
      <c r="G987" s="8" t="s">
        <v>1343</v>
      </c>
      <c r="H987" s="8" t="s">
        <v>1174</v>
      </c>
      <c r="I987" s="8" t="s">
        <v>1116</v>
      </c>
      <c r="J987" s="8" t="s">
        <v>1111</v>
      </c>
      <c r="K987" s="8" t="s">
        <v>1099</v>
      </c>
      <c r="L987" s="10" t="s">
        <v>1117</v>
      </c>
      <c r="M987" s="10" t="s">
        <v>1118</v>
      </c>
      <c r="N987" s="10" t="s">
        <v>1802</v>
      </c>
      <c r="O987" s="8" t="s">
        <v>1106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1102</v>
      </c>
      <c r="AA987" s="8" t="s">
        <v>331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1093</v>
      </c>
      <c r="E988" s="8" t="s">
        <v>128</v>
      </c>
      <c r="F988" s="8" t="s">
        <v>2351</v>
      </c>
      <c r="G988" s="8" t="s">
        <v>2352</v>
      </c>
      <c r="H988" s="8" t="s">
        <v>1940</v>
      </c>
      <c r="I988" s="8" t="s">
        <v>1128</v>
      </c>
      <c r="J988" s="8" t="s">
        <v>1111</v>
      </c>
      <c r="K988" s="8" t="s">
        <v>1099</v>
      </c>
      <c r="L988" s="10" t="s">
        <v>1129</v>
      </c>
      <c r="M988" s="10" t="s">
        <v>1130</v>
      </c>
      <c r="N988" s="10" t="s">
        <v>1131</v>
      </c>
      <c r="O988" s="8" t="s">
        <v>1106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1106</v>
      </c>
      <c r="AA988" s="8" t="s">
        <v>331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1093</v>
      </c>
      <c r="E989" s="8" t="s">
        <v>128</v>
      </c>
      <c r="F989" s="8" t="s">
        <v>2351</v>
      </c>
      <c r="G989" s="8" t="s">
        <v>1820</v>
      </c>
      <c r="H989" s="8" t="s">
        <v>1544</v>
      </c>
      <c r="I989" s="8" t="s">
        <v>1134</v>
      </c>
      <c r="J989" s="8" t="s">
        <v>1111</v>
      </c>
      <c r="K989" s="8" t="s">
        <v>1099</v>
      </c>
      <c r="L989" s="10" t="s">
        <v>1135</v>
      </c>
      <c r="M989" s="10" t="s">
        <v>1136</v>
      </c>
      <c r="N989" s="10"/>
      <c r="O989" s="8" t="s">
        <v>321</v>
      </c>
      <c r="P989" s="8"/>
      <c r="Q989" s="8">
        <v>155</v>
      </c>
      <c r="R989" s="8">
        <v>6998</v>
      </c>
      <c r="S989" s="8" t="s">
        <v>331</v>
      </c>
      <c r="T989" s="8"/>
      <c r="U989" s="8"/>
      <c r="V989" s="8"/>
      <c r="W989" s="8"/>
      <c r="X989" s="8"/>
      <c r="Y989" s="8"/>
      <c r="Z989" s="10" t="s">
        <v>1102</v>
      </c>
      <c r="AA989" s="8" t="s">
        <v>331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1093</v>
      </c>
      <c r="E990" s="8" t="s">
        <v>128</v>
      </c>
      <c r="F990" s="8" t="s">
        <v>2351</v>
      </c>
      <c r="G990" s="8" t="s">
        <v>1567</v>
      </c>
      <c r="H990" s="8" t="s">
        <v>1402</v>
      </c>
      <c r="I990" s="8" t="s">
        <v>1139</v>
      </c>
      <c r="J990" s="8" t="s">
        <v>1140</v>
      </c>
      <c r="K990" s="8" t="s">
        <v>1099</v>
      </c>
      <c r="L990" s="10" t="s">
        <v>1141</v>
      </c>
      <c r="M990" s="10" t="s">
        <v>1142</v>
      </c>
      <c r="N990" s="10" t="s">
        <v>1143</v>
      </c>
      <c r="O990" s="8" t="s">
        <v>321</v>
      </c>
      <c r="P990" s="8"/>
      <c r="Q990" s="8">
        <v>330</v>
      </c>
      <c r="R990" s="8">
        <v>1570</v>
      </c>
      <c r="S990" s="8" t="s">
        <v>331</v>
      </c>
      <c r="T990" s="8"/>
      <c r="U990" s="8"/>
      <c r="V990" s="8"/>
      <c r="W990" s="8"/>
      <c r="X990" s="8"/>
      <c r="Y990" s="8"/>
      <c r="Z990" s="10" t="s">
        <v>1102</v>
      </c>
      <c r="AA990" s="8" t="s">
        <v>331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1093</v>
      </c>
      <c r="E991" s="8" t="s">
        <v>128</v>
      </c>
      <c r="F991" s="8" t="s">
        <v>2351</v>
      </c>
      <c r="G991" s="8" t="s">
        <v>1668</v>
      </c>
      <c r="H991" s="8" t="s">
        <v>1273</v>
      </c>
      <c r="I991" s="8" t="s">
        <v>1145</v>
      </c>
      <c r="J991" s="8" t="s">
        <v>1140</v>
      </c>
      <c r="K991" s="8" t="s">
        <v>1099</v>
      </c>
      <c r="L991" s="10" t="s">
        <v>1146</v>
      </c>
      <c r="M991" s="10" t="s">
        <v>1147</v>
      </c>
      <c r="N991" s="10" t="s">
        <v>1131</v>
      </c>
      <c r="O991" s="8" t="s">
        <v>321</v>
      </c>
      <c r="P991" s="8"/>
      <c r="Q991" s="8">
        <v>4205</v>
      </c>
      <c r="R991" s="8">
        <v>3355</v>
      </c>
      <c r="S991" s="8" t="s">
        <v>331</v>
      </c>
      <c r="T991" s="8"/>
      <c r="U991" s="8"/>
      <c r="V991" s="8"/>
      <c r="W991" s="8"/>
      <c r="X991" s="8"/>
      <c r="Y991" s="8"/>
      <c r="Z991" s="10" t="s">
        <v>1102</v>
      </c>
      <c r="AA991" s="8" t="s">
        <v>331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1093</v>
      </c>
      <c r="E992" s="8" t="s">
        <v>128</v>
      </c>
      <c r="F992" s="8" t="s">
        <v>2351</v>
      </c>
      <c r="G992" s="8" t="s">
        <v>1245</v>
      </c>
      <c r="H992" s="8" t="s">
        <v>1246</v>
      </c>
      <c r="I992" s="8" t="s">
        <v>1156</v>
      </c>
      <c r="J992" s="8" t="s">
        <v>1140</v>
      </c>
      <c r="K992" s="8" t="s">
        <v>1099</v>
      </c>
      <c r="L992" s="10" t="s">
        <v>1157</v>
      </c>
      <c r="M992" s="10" t="s">
        <v>1158</v>
      </c>
      <c r="N992" s="10"/>
      <c r="O992" s="8" t="s">
        <v>321</v>
      </c>
      <c r="P992" s="8"/>
      <c r="Q992" s="8">
        <v>2199</v>
      </c>
      <c r="R992" s="8">
        <v>1601</v>
      </c>
      <c r="S992" s="8" t="s">
        <v>331</v>
      </c>
      <c r="T992" s="8"/>
      <c r="U992" s="8"/>
      <c r="V992" s="8"/>
      <c r="W992" s="8"/>
      <c r="X992" s="8"/>
      <c r="Y992" s="8"/>
      <c r="Z992" s="10" t="s">
        <v>1102</v>
      </c>
      <c r="AA992" s="8" t="s">
        <v>331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1093</v>
      </c>
      <c r="E993" s="8" t="s">
        <v>128</v>
      </c>
      <c r="F993" s="8" t="s">
        <v>2351</v>
      </c>
      <c r="G993" s="8" t="s">
        <v>1722</v>
      </c>
      <c r="H993" s="8" t="s">
        <v>1511</v>
      </c>
      <c r="I993" s="8" t="s">
        <v>1162</v>
      </c>
      <c r="J993" s="8" t="s">
        <v>1140</v>
      </c>
      <c r="K993" s="8" t="s">
        <v>1099</v>
      </c>
      <c r="L993" s="10" t="s">
        <v>1163</v>
      </c>
      <c r="M993" s="10" t="s">
        <v>1164</v>
      </c>
      <c r="N993" s="10" t="s">
        <v>1131</v>
      </c>
      <c r="O993" s="8" t="s">
        <v>321</v>
      </c>
      <c r="P993" s="8"/>
      <c r="Q993" s="8">
        <v>788</v>
      </c>
      <c r="R993" s="8">
        <v>1950</v>
      </c>
      <c r="S993" s="8" t="s">
        <v>331</v>
      </c>
      <c r="T993" s="8"/>
      <c r="U993" s="8"/>
      <c r="V993" s="8"/>
      <c r="W993" s="8"/>
      <c r="X993" s="8"/>
      <c r="Y993" s="8"/>
      <c r="Z993" s="10" t="s">
        <v>1102</v>
      </c>
      <c r="AA993" s="8" t="s">
        <v>331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1093</v>
      </c>
      <c r="E994" s="8" t="s">
        <v>128</v>
      </c>
      <c r="F994" s="8" t="s">
        <v>2351</v>
      </c>
      <c r="G994" s="8" t="s">
        <v>1279</v>
      </c>
      <c r="H994" s="8" t="s">
        <v>1148</v>
      </c>
      <c r="I994" s="8" t="s">
        <v>2287</v>
      </c>
      <c r="J994" s="8" t="s">
        <v>1140</v>
      </c>
      <c r="K994" s="8" t="s">
        <v>1099</v>
      </c>
      <c r="L994" s="10" t="s">
        <v>2288</v>
      </c>
      <c r="M994" s="10" t="s">
        <v>1101</v>
      </c>
      <c r="N994" s="10"/>
      <c r="O994" s="8" t="s">
        <v>321</v>
      </c>
      <c r="P994" s="8"/>
      <c r="Q994" s="8">
        <v>194</v>
      </c>
      <c r="R994" s="8">
        <v>2829</v>
      </c>
      <c r="S994" s="8" t="s">
        <v>331</v>
      </c>
      <c r="T994" s="8"/>
      <c r="U994" s="8"/>
      <c r="V994" s="8"/>
      <c r="W994" s="8"/>
      <c r="X994" s="8"/>
      <c r="Y994" s="8"/>
      <c r="Z994" s="10" t="s">
        <v>1102</v>
      </c>
      <c r="AA994" s="8" t="s">
        <v>331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1093</v>
      </c>
      <c r="E995" s="8" t="s">
        <v>128</v>
      </c>
      <c r="F995" s="8" t="s">
        <v>2323</v>
      </c>
      <c r="G995" s="8" t="s">
        <v>2324</v>
      </c>
      <c r="H995" s="8" t="s">
        <v>1688</v>
      </c>
      <c r="I995" s="8" t="s">
        <v>1192</v>
      </c>
      <c r="J995" s="8" t="s">
        <v>1193</v>
      </c>
      <c r="K995" s="8" t="s">
        <v>1099</v>
      </c>
      <c r="L995" s="10" t="s">
        <v>1194</v>
      </c>
      <c r="M995" s="10" t="s">
        <v>1195</v>
      </c>
      <c r="N995" s="10" t="s">
        <v>2325</v>
      </c>
      <c r="O995" s="8" t="s">
        <v>1106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1102</v>
      </c>
      <c r="AA995" s="8" t="s">
        <v>331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1093</v>
      </c>
      <c r="E996" s="8" t="s">
        <v>128</v>
      </c>
      <c r="F996" s="8" t="s">
        <v>2351</v>
      </c>
      <c r="G996" s="8" t="s">
        <v>1297</v>
      </c>
      <c r="H996" s="8" t="s">
        <v>1786</v>
      </c>
      <c r="I996" s="8" t="s">
        <v>1223</v>
      </c>
      <c r="J996" s="8" t="s">
        <v>1217</v>
      </c>
      <c r="K996" s="8" t="s">
        <v>1099</v>
      </c>
      <c r="L996" s="10" t="s">
        <v>1224</v>
      </c>
      <c r="M996" s="10" t="s">
        <v>1225</v>
      </c>
      <c r="N996" s="10" t="s">
        <v>1226</v>
      </c>
      <c r="O996" s="8" t="s">
        <v>321</v>
      </c>
      <c r="P996" s="8"/>
      <c r="Q996" s="8">
        <v>5522</v>
      </c>
      <c r="R996" s="8">
        <v>44340</v>
      </c>
      <c r="S996" s="8" t="s">
        <v>331</v>
      </c>
      <c r="T996" s="8"/>
      <c r="U996" s="8"/>
      <c r="V996" s="8"/>
      <c r="W996" s="8"/>
      <c r="X996" s="8"/>
      <c r="Y996" s="8"/>
      <c r="Z996" s="10" t="s">
        <v>1102</v>
      </c>
      <c r="AA996" s="8" t="s">
        <v>331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1093</v>
      </c>
      <c r="E997" s="8" t="s">
        <v>128</v>
      </c>
      <c r="F997" s="8" t="s">
        <v>2351</v>
      </c>
      <c r="G997" s="8" t="s">
        <v>1608</v>
      </c>
      <c r="H997" s="8" t="s">
        <v>1804</v>
      </c>
      <c r="I997" s="8" t="s">
        <v>2147</v>
      </c>
      <c r="J997" s="8" t="s">
        <v>1244</v>
      </c>
      <c r="K997" s="8" t="s">
        <v>1099</v>
      </c>
      <c r="L997" s="10" t="s">
        <v>1230</v>
      </c>
      <c r="M997" s="10" t="s">
        <v>1231</v>
      </c>
      <c r="N997" s="10"/>
      <c r="O997" s="8" t="s">
        <v>321</v>
      </c>
      <c r="P997" s="8"/>
      <c r="Q997" s="8">
        <v>1941</v>
      </c>
      <c r="R997" s="8">
        <v>3554</v>
      </c>
      <c r="S997" s="8" t="s">
        <v>331</v>
      </c>
      <c r="T997" s="8"/>
      <c r="U997" s="8"/>
      <c r="V997" s="8"/>
      <c r="W997" s="8"/>
      <c r="X997" s="8"/>
      <c r="Y997" s="8"/>
      <c r="Z997" s="10" t="s">
        <v>1102</v>
      </c>
      <c r="AA997" s="8" t="s">
        <v>331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1093</v>
      </c>
      <c r="E998" s="8" t="s">
        <v>123</v>
      </c>
      <c r="F998" s="8" t="s">
        <v>2351</v>
      </c>
      <c r="G998" s="8" t="s">
        <v>1279</v>
      </c>
      <c r="H998" s="8" t="s">
        <v>1149</v>
      </c>
      <c r="I998" s="8" t="s">
        <v>1274</v>
      </c>
      <c r="J998" s="8" t="s">
        <v>1111</v>
      </c>
      <c r="K998" s="8" t="s">
        <v>1099</v>
      </c>
      <c r="L998" s="10" t="s">
        <v>1275</v>
      </c>
      <c r="M998" s="10" t="s">
        <v>1276</v>
      </c>
      <c r="N998" s="10" t="s">
        <v>1277</v>
      </c>
      <c r="O998" s="8" t="s">
        <v>321</v>
      </c>
      <c r="P998" s="8"/>
      <c r="Q998" s="8">
        <v>22471</v>
      </c>
      <c r="R998" s="8">
        <v>87053</v>
      </c>
      <c r="S998" s="8" t="s">
        <v>331</v>
      </c>
      <c r="T998" s="8"/>
      <c r="U998" s="8"/>
      <c r="V998" s="8"/>
      <c r="W998" s="8"/>
      <c r="X998" s="8"/>
      <c r="Y998" s="8"/>
      <c r="Z998" s="10" t="s">
        <v>1613</v>
      </c>
      <c r="AA998" s="8" t="s">
        <v>331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1093</v>
      </c>
      <c r="E999" s="8" t="s">
        <v>123</v>
      </c>
      <c r="F999" s="8" t="s">
        <v>2353</v>
      </c>
      <c r="G999" s="8" t="s">
        <v>2258</v>
      </c>
      <c r="H999" s="8" t="s">
        <v>2006</v>
      </c>
      <c r="I999" s="8" t="s">
        <v>1368</v>
      </c>
      <c r="J999" s="8" t="s">
        <v>1193</v>
      </c>
      <c r="K999" s="8" t="s">
        <v>1099</v>
      </c>
      <c r="L999" s="10" t="s">
        <v>1170</v>
      </c>
      <c r="M999" s="10" t="s">
        <v>1369</v>
      </c>
      <c r="N999" s="10" t="s">
        <v>1863</v>
      </c>
      <c r="O999" s="8" t="s">
        <v>362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2354</v>
      </c>
      <c r="AA999" s="8" t="s">
        <v>331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1093</v>
      </c>
      <c r="E1000" s="8" t="s">
        <v>123</v>
      </c>
      <c r="F1000" s="8" t="s">
        <v>2351</v>
      </c>
      <c r="G1000" s="8" t="s">
        <v>2355</v>
      </c>
      <c r="H1000" s="8" t="s">
        <v>2356</v>
      </c>
      <c r="I1000" s="8" t="s">
        <v>1398</v>
      </c>
      <c r="J1000" s="8" t="s">
        <v>1204</v>
      </c>
      <c r="K1000" s="8" t="s">
        <v>1099</v>
      </c>
      <c r="L1000" s="10" t="s">
        <v>1399</v>
      </c>
      <c r="M1000" s="10" t="s">
        <v>1400</v>
      </c>
      <c r="N1000" s="10" t="s">
        <v>1401</v>
      </c>
      <c r="O1000" s="8" t="s">
        <v>321</v>
      </c>
      <c r="P1000" s="8">
        <v>1572</v>
      </c>
      <c r="Q1000" s="8">
        <v>4250</v>
      </c>
      <c r="R1000" s="8">
        <v>28898</v>
      </c>
      <c r="S1000" s="8" t="s">
        <v>331</v>
      </c>
      <c r="T1000" s="8"/>
      <c r="U1000" s="8"/>
      <c r="V1000" s="8"/>
      <c r="W1000" s="8"/>
      <c r="X1000" s="8"/>
      <c r="Y1000" s="8"/>
      <c r="Z1000" s="10" t="s">
        <v>1613</v>
      </c>
      <c r="AA1000" s="8" t="s">
        <v>331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1093</v>
      </c>
      <c r="E1001" s="8" t="s">
        <v>123</v>
      </c>
      <c r="F1001" s="8" t="s">
        <v>2351</v>
      </c>
      <c r="G1001" s="8" t="s">
        <v>1266</v>
      </c>
      <c r="H1001" s="8" t="s">
        <v>1196</v>
      </c>
      <c r="I1001" s="8" t="s">
        <v>1455</v>
      </c>
      <c r="J1001" s="8" t="s">
        <v>1214</v>
      </c>
      <c r="K1001" s="8" t="s">
        <v>1099</v>
      </c>
      <c r="L1001" s="10" t="s">
        <v>1456</v>
      </c>
      <c r="M1001" s="10" t="s">
        <v>1457</v>
      </c>
      <c r="N1001" s="10"/>
      <c r="O1001" s="8" t="s">
        <v>321</v>
      </c>
      <c r="P1001" s="8"/>
      <c r="Q1001" s="8"/>
      <c r="R1001" s="8">
        <v>83664</v>
      </c>
      <c r="S1001" s="8" t="s">
        <v>331</v>
      </c>
      <c r="T1001" s="8"/>
      <c r="U1001" s="8"/>
      <c r="V1001" s="8"/>
      <c r="W1001" s="8"/>
      <c r="X1001" s="8"/>
      <c r="Y1001" s="8"/>
      <c r="Z1001" s="10" t="s">
        <v>1613</v>
      </c>
      <c r="AA1001" s="8" t="s">
        <v>331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1093</v>
      </c>
      <c r="E1002" s="8" t="s">
        <v>123</v>
      </c>
      <c r="F1002" s="8" t="s">
        <v>2353</v>
      </c>
      <c r="G1002" s="8" t="s">
        <v>1342</v>
      </c>
      <c r="H1002" s="8" t="s">
        <v>1348</v>
      </c>
      <c r="I1002" s="8" t="s">
        <v>1484</v>
      </c>
      <c r="J1002" s="8" t="s">
        <v>1479</v>
      </c>
      <c r="K1002" s="8" t="s">
        <v>1099</v>
      </c>
      <c r="L1002" s="10" t="s">
        <v>1170</v>
      </c>
      <c r="M1002" s="10" t="s">
        <v>1463</v>
      </c>
      <c r="N1002" s="10" t="s">
        <v>1485</v>
      </c>
      <c r="O1002" s="8" t="s">
        <v>362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2357</v>
      </c>
      <c r="AA1002" s="8" t="s">
        <v>331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1093</v>
      </c>
      <c r="E1003" s="8" t="s">
        <v>123</v>
      </c>
      <c r="F1003" s="8" t="s">
        <v>2353</v>
      </c>
      <c r="G1003" s="8" t="s">
        <v>2358</v>
      </c>
      <c r="H1003" s="8" t="s">
        <v>2359</v>
      </c>
      <c r="I1003" s="8" t="s">
        <v>1487</v>
      </c>
      <c r="J1003" s="8" t="s">
        <v>1479</v>
      </c>
      <c r="K1003" s="8" t="s">
        <v>1099</v>
      </c>
      <c r="L1003" s="10" t="s">
        <v>1170</v>
      </c>
      <c r="M1003" s="10" t="s">
        <v>1463</v>
      </c>
      <c r="N1003" s="10" t="s">
        <v>1488</v>
      </c>
      <c r="O1003" s="8" t="s">
        <v>362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2360</v>
      </c>
      <c r="AA1003" s="8" t="s">
        <v>331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1093</v>
      </c>
      <c r="E1004" s="8" t="s">
        <v>128</v>
      </c>
      <c r="F1004" s="8" t="s">
        <v>2351</v>
      </c>
      <c r="G1004" s="8" t="s">
        <v>1343</v>
      </c>
      <c r="H1004" s="8" t="s">
        <v>1174</v>
      </c>
      <c r="I1004" s="8" t="s">
        <v>1116</v>
      </c>
      <c r="J1004" s="8" t="s">
        <v>1111</v>
      </c>
      <c r="K1004" s="8" t="s">
        <v>1099</v>
      </c>
      <c r="L1004" s="10" t="s">
        <v>1117</v>
      </c>
      <c r="M1004" s="10" t="s">
        <v>1118</v>
      </c>
      <c r="N1004" s="10" t="s">
        <v>1802</v>
      </c>
      <c r="O1004" s="8" t="s">
        <v>321</v>
      </c>
      <c r="P1004" s="8"/>
      <c r="Q1004" s="8">
        <v>2195</v>
      </c>
      <c r="R1004" s="8">
        <v>17416</v>
      </c>
      <c r="S1004" s="8" t="s">
        <v>331</v>
      </c>
      <c r="T1004" s="8"/>
      <c r="U1004" s="8"/>
      <c r="V1004" s="8"/>
      <c r="W1004" s="8"/>
      <c r="X1004" s="8"/>
      <c r="Y1004" s="8"/>
      <c r="Z1004" s="10" t="s">
        <v>1102</v>
      </c>
      <c r="AA1004" s="8" t="s">
        <v>331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1093</v>
      </c>
      <c r="E1005" s="8" t="s">
        <v>128</v>
      </c>
      <c r="F1005" s="8" t="s">
        <v>2351</v>
      </c>
      <c r="G1005" s="8" t="s">
        <v>2361</v>
      </c>
      <c r="H1005" s="8" t="s">
        <v>2362</v>
      </c>
      <c r="I1005" s="8" t="s">
        <v>1150</v>
      </c>
      <c r="J1005" s="8" t="s">
        <v>1140</v>
      </c>
      <c r="K1005" s="8" t="s">
        <v>1099</v>
      </c>
      <c r="L1005" s="10" t="s">
        <v>1151</v>
      </c>
      <c r="M1005" s="10" t="s">
        <v>1152</v>
      </c>
      <c r="N1005" s="10" t="s">
        <v>1153</v>
      </c>
      <c r="O1005" s="8" t="s">
        <v>321</v>
      </c>
      <c r="P1005" s="8"/>
      <c r="Q1005" s="8">
        <v>1507</v>
      </c>
      <c r="R1005" s="8">
        <v>65895</v>
      </c>
      <c r="S1005" s="8" t="s">
        <v>331</v>
      </c>
      <c r="T1005" s="8"/>
      <c r="U1005" s="8"/>
      <c r="V1005" s="8"/>
      <c r="W1005" s="8"/>
      <c r="X1005" s="8"/>
      <c r="Y1005" s="8"/>
      <c r="Z1005" s="10" t="s">
        <v>1102</v>
      </c>
      <c r="AA1005" s="8" t="s">
        <v>331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1093</v>
      </c>
      <c r="E1006" s="8" t="s">
        <v>128</v>
      </c>
      <c r="F1006" s="8" t="s">
        <v>2351</v>
      </c>
      <c r="G1006" s="8" t="s">
        <v>1549</v>
      </c>
      <c r="H1006" s="8" t="s">
        <v>2363</v>
      </c>
      <c r="I1006" s="8" t="s">
        <v>2144</v>
      </c>
      <c r="J1006" s="8" t="s">
        <v>1217</v>
      </c>
      <c r="K1006" s="8" t="s">
        <v>1099</v>
      </c>
      <c r="L1006" s="10" t="s">
        <v>1205</v>
      </c>
      <c r="M1006" s="10" t="s">
        <v>1206</v>
      </c>
      <c r="N1006" s="10"/>
      <c r="O1006" s="8" t="s">
        <v>321</v>
      </c>
      <c r="P1006" s="8"/>
      <c r="Q1006" s="8">
        <v>300</v>
      </c>
      <c r="R1006" s="8">
        <v>5977</v>
      </c>
      <c r="S1006" s="8" t="s">
        <v>331</v>
      </c>
      <c r="T1006" s="8"/>
      <c r="U1006" s="8"/>
      <c r="V1006" s="8"/>
      <c r="W1006" s="8"/>
      <c r="X1006" s="8"/>
      <c r="Y1006" s="8"/>
      <c r="Z1006" s="10" t="s">
        <v>1102</v>
      </c>
      <c r="AA1006" s="8" t="s">
        <v>331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1093</v>
      </c>
      <c r="E1007" s="8" t="s">
        <v>128</v>
      </c>
      <c r="F1007" s="8" t="s">
        <v>2337</v>
      </c>
      <c r="G1007" s="8" t="s">
        <v>1174</v>
      </c>
      <c r="H1007" s="8" t="s">
        <v>1302</v>
      </c>
      <c r="I1007" s="8" t="s">
        <v>1213</v>
      </c>
      <c r="J1007" s="8" t="s">
        <v>1214</v>
      </c>
      <c r="K1007" s="8" t="s">
        <v>1099</v>
      </c>
      <c r="L1007" s="10" t="s">
        <v>1123</v>
      </c>
      <c r="M1007" s="10" t="s">
        <v>1124</v>
      </c>
      <c r="N1007" s="10" t="s">
        <v>1215</v>
      </c>
      <c r="O1007" s="8" t="s">
        <v>1106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2338</v>
      </c>
      <c r="AA1007" s="8" t="s">
        <v>331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1093</v>
      </c>
      <c r="E1008" s="8" t="s">
        <v>128</v>
      </c>
      <c r="F1008" s="8" t="s">
        <v>2351</v>
      </c>
      <c r="G1008" s="8" t="s">
        <v>1549</v>
      </c>
      <c r="H1008" s="8" t="s">
        <v>2363</v>
      </c>
      <c r="I1008" s="8" t="s">
        <v>2144</v>
      </c>
      <c r="J1008" s="8" t="s">
        <v>1217</v>
      </c>
      <c r="K1008" s="8" t="s">
        <v>1099</v>
      </c>
      <c r="L1008" s="10" t="s">
        <v>1205</v>
      </c>
      <c r="M1008" s="10" t="s">
        <v>1206</v>
      </c>
      <c r="N1008" s="10"/>
      <c r="O1008" s="8" t="s">
        <v>1106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1102</v>
      </c>
      <c r="AA1008" s="8" t="s">
        <v>331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1093</v>
      </c>
      <c r="E1009" s="8" t="s">
        <v>123</v>
      </c>
      <c r="F1009" s="8" t="s">
        <v>228</v>
      </c>
      <c r="G1009" s="8" t="s">
        <v>1196</v>
      </c>
      <c r="H1009" s="8" t="s">
        <v>1149</v>
      </c>
      <c r="I1009" s="8" t="s">
        <v>1853</v>
      </c>
      <c r="J1009" s="8" t="s">
        <v>1111</v>
      </c>
      <c r="K1009" s="8" t="s">
        <v>1099</v>
      </c>
      <c r="L1009" s="10" t="s">
        <v>1293</v>
      </c>
      <c r="M1009" s="10" t="s">
        <v>1854</v>
      </c>
      <c r="N1009" s="10" t="s">
        <v>1855</v>
      </c>
      <c r="O1009" s="8" t="s">
        <v>1106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1239</v>
      </c>
      <c r="AA1009" s="8" t="s">
        <v>331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1093</v>
      </c>
      <c r="E1010" s="8" t="s">
        <v>123</v>
      </c>
      <c r="F1010" s="8" t="s">
        <v>2328</v>
      </c>
      <c r="G1010" s="8" t="s">
        <v>1317</v>
      </c>
      <c r="H1010" s="8" t="s">
        <v>1273</v>
      </c>
      <c r="I1010" s="8" t="s">
        <v>1298</v>
      </c>
      <c r="J1010" s="8" t="s">
        <v>1140</v>
      </c>
      <c r="K1010" s="8" t="s">
        <v>1099</v>
      </c>
      <c r="L1010" s="10" t="s">
        <v>1299</v>
      </c>
      <c r="M1010" s="10" t="s">
        <v>1300</v>
      </c>
      <c r="N1010" s="10" t="s">
        <v>1301</v>
      </c>
      <c r="O1010" s="8" t="s">
        <v>1106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331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1093</v>
      </c>
      <c r="E1011" s="8" t="s">
        <v>123</v>
      </c>
      <c r="F1011" s="8" t="s">
        <v>2328</v>
      </c>
      <c r="G1011" s="8" t="s">
        <v>1302</v>
      </c>
      <c r="H1011" s="8" t="s">
        <v>1303</v>
      </c>
      <c r="I1011" s="8" t="s">
        <v>1349</v>
      </c>
      <c r="J1011" s="8" t="s">
        <v>1193</v>
      </c>
      <c r="K1011" s="8" t="s">
        <v>1099</v>
      </c>
      <c r="L1011" s="10" t="s">
        <v>1350</v>
      </c>
      <c r="M1011" s="10" t="s">
        <v>1351</v>
      </c>
      <c r="N1011" s="10" t="s">
        <v>1352</v>
      </c>
      <c r="O1011" s="8" t="s">
        <v>1106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331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1093</v>
      </c>
      <c r="E1012" s="8" t="s">
        <v>123</v>
      </c>
      <c r="F1012" s="8" t="s">
        <v>2351</v>
      </c>
      <c r="G1012" s="8" t="s">
        <v>1303</v>
      </c>
      <c r="H1012" s="8" t="s">
        <v>1342</v>
      </c>
      <c r="I1012" s="8" t="s">
        <v>1408</v>
      </c>
      <c r="J1012" s="8" t="s">
        <v>1204</v>
      </c>
      <c r="K1012" s="8" t="s">
        <v>1099</v>
      </c>
      <c r="L1012" s="10" t="s">
        <v>1293</v>
      </c>
      <c r="M1012" s="10" t="s">
        <v>1409</v>
      </c>
      <c r="N1012" s="10" t="s">
        <v>1410</v>
      </c>
      <c r="O1012" s="8" t="s">
        <v>1106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1613</v>
      </c>
      <c r="AA1012" s="8" t="s">
        <v>331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1093</v>
      </c>
      <c r="E1013" s="8" t="s">
        <v>123</v>
      </c>
      <c r="F1013" s="8" t="s">
        <v>219</v>
      </c>
      <c r="G1013" s="8" t="s">
        <v>1317</v>
      </c>
      <c r="H1013" s="8" t="s">
        <v>1258</v>
      </c>
      <c r="I1013" s="8" t="s">
        <v>1669</v>
      </c>
      <c r="J1013" s="8" t="s">
        <v>1459</v>
      </c>
      <c r="K1013" s="8" t="s">
        <v>1099</v>
      </c>
      <c r="L1013" s="10" t="s">
        <v>1170</v>
      </c>
      <c r="M1013" s="10" t="s">
        <v>1463</v>
      </c>
      <c r="N1013" s="10" t="s">
        <v>1670</v>
      </c>
      <c r="O1013" s="8" t="s">
        <v>362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2364</v>
      </c>
      <c r="AA1013" s="8" t="s">
        <v>331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1093</v>
      </c>
      <c r="E1014" s="8" t="s">
        <v>123</v>
      </c>
      <c r="F1014" s="8" t="s">
        <v>219</v>
      </c>
      <c r="G1014" s="8" t="s">
        <v>1149</v>
      </c>
      <c r="H1014" s="8" t="s">
        <v>1297</v>
      </c>
      <c r="I1014" s="8" t="s">
        <v>1484</v>
      </c>
      <c r="J1014" s="8" t="s">
        <v>1479</v>
      </c>
      <c r="K1014" s="8" t="s">
        <v>1099</v>
      </c>
      <c r="L1014" s="10" t="s">
        <v>1170</v>
      </c>
      <c r="M1014" s="10" t="s">
        <v>1463</v>
      </c>
      <c r="N1014" s="10" t="s">
        <v>1485</v>
      </c>
      <c r="O1014" s="8" t="s">
        <v>321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331</v>
      </c>
      <c r="Z1014" s="10" t="s">
        <v>2365</v>
      </c>
      <c r="AA1014" s="8" t="s">
        <v>331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1093</v>
      </c>
      <c r="E1015" s="8" t="s">
        <v>123</v>
      </c>
      <c r="F1015" s="8" t="s">
        <v>219</v>
      </c>
      <c r="G1015" s="8" t="s">
        <v>1297</v>
      </c>
      <c r="H1015" s="8" t="s">
        <v>1317</v>
      </c>
      <c r="I1015" s="8" t="s">
        <v>1487</v>
      </c>
      <c r="J1015" s="8" t="s">
        <v>1479</v>
      </c>
      <c r="K1015" s="8" t="s">
        <v>1099</v>
      </c>
      <c r="L1015" s="10" t="s">
        <v>1170</v>
      </c>
      <c r="M1015" s="10" t="s">
        <v>1463</v>
      </c>
      <c r="N1015" s="10" t="s">
        <v>1488</v>
      </c>
      <c r="O1015" s="8" t="s">
        <v>321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331</v>
      </c>
      <c r="Z1015" s="10" t="s">
        <v>2366</v>
      </c>
      <c r="AA1015" s="8" t="s">
        <v>331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1093</v>
      </c>
      <c r="E1016" s="8" t="s">
        <v>123</v>
      </c>
      <c r="F1016" s="8" t="s">
        <v>219</v>
      </c>
      <c r="G1016" s="8" t="s">
        <v>1343</v>
      </c>
      <c r="H1016" s="8" t="s">
        <v>1303</v>
      </c>
      <c r="I1016" s="8" t="s">
        <v>1669</v>
      </c>
      <c r="J1016" s="8" t="s">
        <v>1459</v>
      </c>
      <c r="K1016" s="8" t="s">
        <v>1099</v>
      </c>
      <c r="L1016" s="10" t="s">
        <v>1170</v>
      </c>
      <c r="M1016" s="10" t="s">
        <v>1463</v>
      </c>
      <c r="N1016" s="10" t="s">
        <v>1670</v>
      </c>
      <c r="O1016" s="8" t="s">
        <v>321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331</v>
      </c>
      <c r="Z1016" s="10" t="s">
        <v>2241</v>
      </c>
      <c r="AA1016" s="8" t="s">
        <v>331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1093</v>
      </c>
      <c r="E1017" s="8" t="s">
        <v>123</v>
      </c>
      <c r="F1017" s="8" t="s">
        <v>235</v>
      </c>
      <c r="G1017" s="8" t="s">
        <v>1266</v>
      </c>
      <c r="H1017" s="8" t="s">
        <v>1196</v>
      </c>
      <c r="I1017" s="8" t="s">
        <v>2367</v>
      </c>
      <c r="J1017" s="8" t="s">
        <v>1479</v>
      </c>
      <c r="K1017" s="8" t="s">
        <v>1099</v>
      </c>
      <c r="L1017" s="10" t="s">
        <v>1170</v>
      </c>
      <c r="M1017" s="10" t="s">
        <v>1463</v>
      </c>
      <c r="N1017" s="10" t="s">
        <v>1664</v>
      </c>
      <c r="O1017" s="8" t="s">
        <v>1106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1613</v>
      </c>
      <c r="AA1017" s="8" t="s">
        <v>331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1093</v>
      </c>
      <c r="E1018" s="8" t="s">
        <v>128</v>
      </c>
      <c r="F1018" s="8" t="s">
        <v>2368</v>
      </c>
      <c r="G1018" s="8" t="s">
        <v>1940</v>
      </c>
      <c r="H1018" s="8" t="s">
        <v>1955</v>
      </c>
      <c r="I1018" s="8" t="s">
        <v>1179</v>
      </c>
      <c r="J1018" s="8" t="s">
        <v>1169</v>
      </c>
      <c r="K1018" s="8" t="s">
        <v>1099</v>
      </c>
      <c r="L1018" s="10" t="s">
        <v>1180</v>
      </c>
      <c r="M1018" s="10" t="s">
        <v>1181</v>
      </c>
      <c r="N1018" s="10" t="s">
        <v>128</v>
      </c>
      <c r="O1018" s="8" t="s">
        <v>321</v>
      </c>
      <c r="P1018" s="8"/>
      <c r="Q1018" s="8"/>
      <c r="R1018" s="8">
        <v>51678</v>
      </c>
      <c r="S1018" s="8" t="s">
        <v>331</v>
      </c>
      <c r="T1018" s="8"/>
      <c r="U1018" s="8"/>
      <c r="V1018" s="8"/>
      <c r="W1018" s="8"/>
      <c r="X1018" s="8"/>
      <c r="Y1018" s="8"/>
      <c r="Z1018" s="10" t="s">
        <v>1102</v>
      </c>
      <c r="AA1018" s="8" t="s">
        <v>331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1093</v>
      </c>
      <c r="E1019" s="8" t="s">
        <v>128</v>
      </c>
      <c r="F1019" s="8" t="s">
        <v>2368</v>
      </c>
      <c r="G1019" s="8" t="s">
        <v>1726</v>
      </c>
      <c r="H1019" s="8" t="s">
        <v>1727</v>
      </c>
      <c r="I1019" s="8" t="s">
        <v>1724</v>
      </c>
      <c r="J1019" s="8" t="s">
        <v>1725</v>
      </c>
      <c r="K1019" s="8" t="s">
        <v>1099</v>
      </c>
      <c r="L1019" s="10" t="s">
        <v>1249</v>
      </c>
      <c r="M1019" s="10" t="s">
        <v>1250</v>
      </c>
      <c r="N1019" s="10"/>
      <c r="O1019" s="8" t="s">
        <v>321</v>
      </c>
      <c r="P1019" s="8"/>
      <c r="Q1019" s="8"/>
      <c r="R1019" s="8">
        <v>38385</v>
      </c>
      <c r="S1019" s="8" t="s">
        <v>331</v>
      </c>
      <c r="T1019" s="8"/>
      <c r="U1019" s="8"/>
      <c r="V1019" s="8"/>
      <c r="W1019" s="8"/>
      <c r="X1019" s="8"/>
      <c r="Y1019" s="8"/>
      <c r="Z1019" s="10" t="s">
        <v>1102</v>
      </c>
      <c r="AA1019" s="8" t="s">
        <v>331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1093</v>
      </c>
      <c r="E1020" s="8" t="s">
        <v>123</v>
      </c>
      <c r="F1020" s="8" t="s">
        <v>2319</v>
      </c>
      <c r="G1020" s="8" t="s">
        <v>1342</v>
      </c>
      <c r="H1020" s="8" t="s">
        <v>1347</v>
      </c>
      <c r="I1020" s="8" t="s">
        <v>2320</v>
      </c>
      <c r="J1020" s="8" t="s">
        <v>1140</v>
      </c>
      <c r="K1020" s="8" t="s">
        <v>1099</v>
      </c>
      <c r="L1020" s="10" t="s">
        <v>2321</v>
      </c>
      <c r="M1020" s="10" t="s">
        <v>2322</v>
      </c>
      <c r="N1020" s="10" t="s">
        <v>1413</v>
      </c>
      <c r="O1020" s="8" t="s">
        <v>1106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1613</v>
      </c>
      <c r="AA1020" s="8" t="s">
        <v>331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1093</v>
      </c>
      <c r="E1021" s="8" t="s">
        <v>123</v>
      </c>
      <c r="F1021" s="8" t="s">
        <v>2368</v>
      </c>
      <c r="G1021" s="8" t="s">
        <v>1196</v>
      </c>
      <c r="H1021" s="8" t="s">
        <v>1197</v>
      </c>
      <c r="I1021" s="8" t="s">
        <v>1368</v>
      </c>
      <c r="J1021" s="8" t="s">
        <v>1193</v>
      </c>
      <c r="K1021" s="8" t="s">
        <v>1099</v>
      </c>
      <c r="L1021" s="10" t="s">
        <v>1170</v>
      </c>
      <c r="M1021" s="10" t="s">
        <v>1369</v>
      </c>
      <c r="N1021" s="10" t="s">
        <v>1863</v>
      </c>
      <c r="O1021" s="8" t="s">
        <v>321</v>
      </c>
      <c r="P1021" s="8"/>
      <c r="Q1021" s="8"/>
      <c r="R1021" s="8">
        <v>3180</v>
      </c>
      <c r="S1021" s="8"/>
      <c r="T1021" s="8"/>
      <c r="U1021" s="8" t="s">
        <v>331</v>
      </c>
      <c r="V1021" s="8"/>
      <c r="W1021" s="8"/>
      <c r="X1021" s="8"/>
      <c r="Y1021" s="8"/>
      <c r="Z1021" s="10" t="s">
        <v>1278</v>
      </c>
      <c r="AA1021" s="8" t="s">
        <v>331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1093</v>
      </c>
      <c r="E1022" s="8" t="s">
        <v>123</v>
      </c>
      <c r="F1022" s="8" t="s">
        <v>2319</v>
      </c>
      <c r="G1022" s="8" t="s">
        <v>1302</v>
      </c>
      <c r="H1022" s="8" t="s">
        <v>1303</v>
      </c>
      <c r="I1022" s="8" t="s">
        <v>1441</v>
      </c>
      <c r="J1022" s="8" t="s">
        <v>1214</v>
      </c>
      <c r="K1022" s="8" t="s">
        <v>1099</v>
      </c>
      <c r="L1022" s="10" t="s">
        <v>1378</v>
      </c>
      <c r="M1022" s="10" t="s">
        <v>1442</v>
      </c>
      <c r="N1022" s="10" t="s">
        <v>1424</v>
      </c>
      <c r="O1022" s="8" t="s">
        <v>1106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1613</v>
      </c>
      <c r="AA1022" s="8" t="s">
        <v>331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1093</v>
      </c>
      <c r="E1023" s="8" t="s">
        <v>123</v>
      </c>
      <c r="F1023" s="8" t="s">
        <v>2368</v>
      </c>
      <c r="G1023" s="8" t="s">
        <v>1148</v>
      </c>
      <c r="H1023" s="8" t="s">
        <v>1920</v>
      </c>
      <c r="I1023" s="8" t="s">
        <v>1658</v>
      </c>
      <c r="J1023" s="8" t="s">
        <v>1459</v>
      </c>
      <c r="K1023" s="8" t="s">
        <v>1099</v>
      </c>
      <c r="L1023" s="10" t="s">
        <v>1170</v>
      </c>
      <c r="M1023" s="10" t="s">
        <v>1659</v>
      </c>
      <c r="N1023" s="10" t="s">
        <v>1660</v>
      </c>
      <c r="O1023" s="8" t="s">
        <v>362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1647</v>
      </c>
      <c r="AA1023" s="8" t="s">
        <v>331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1093</v>
      </c>
      <c r="E1024" s="8" t="s">
        <v>123</v>
      </c>
      <c r="F1024" s="8" t="s">
        <v>2368</v>
      </c>
      <c r="G1024" s="8" t="s">
        <v>1266</v>
      </c>
      <c r="H1024" s="8" t="s">
        <v>1312</v>
      </c>
      <c r="I1024" s="8" t="s">
        <v>1484</v>
      </c>
      <c r="J1024" s="8" t="s">
        <v>1479</v>
      </c>
      <c r="K1024" s="8" t="s">
        <v>1099</v>
      </c>
      <c r="L1024" s="10" t="s">
        <v>1170</v>
      </c>
      <c r="M1024" s="10" t="s">
        <v>1463</v>
      </c>
      <c r="N1024" s="10" t="s">
        <v>1485</v>
      </c>
      <c r="O1024" s="8" t="s">
        <v>321</v>
      </c>
      <c r="P1024" s="8"/>
      <c r="Q1024" s="8"/>
      <c r="R1024" s="8">
        <v>2041</v>
      </c>
      <c r="S1024" s="8"/>
      <c r="T1024" s="8"/>
      <c r="U1024" s="8" t="s">
        <v>331</v>
      </c>
      <c r="V1024" s="8"/>
      <c r="W1024" s="8"/>
      <c r="X1024" s="8"/>
      <c r="Y1024" s="8"/>
      <c r="Z1024" s="10" t="s">
        <v>1278</v>
      </c>
      <c r="AA1024" s="8" t="s">
        <v>331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1093</v>
      </c>
      <c r="E1025" s="8" t="s">
        <v>123</v>
      </c>
      <c r="F1025" s="8" t="s">
        <v>2368</v>
      </c>
      <c r="G1025" s="8" t="s">
        <v>1312</v>
      </c>
      <c r="H1025" s="8" t="s">
        <v>1196</v>
      </c>
      <c r="I1025" s="8" t="s">
        <v>1487</v>
      </c>
      <c r="J1025" s="8" t="s">
        <v>1479</v>
      </c>
      <c r="K1025" s="8" t="s">
        <v>1099</v>
      </c>
      <c r="L1025" s="10" t="s">
        <v>1170</v>
      </c>
      <c r="M1025" s="10" t="s">
        <v>1463</v>
      </c>
      <c r="N1025" s="10" t="s">
        <v>1488</v>
      </c>
      <c r="O1025" s="8" t="s">
        <v>321</v>
      </c>
      <c r="P1025" s="8"/>
      <c r="Q1025" s="8"/>
      <c r="R1025" s="8">
        <v>23991</v>
      </c>
      <c r="S1025" s="8"/>
      <c r="T1025" s="8"/>
      <c r="U1025" s="8" t="s">
        <v>331</v>
      </c>
      <c r="V1025" s="8"/>
      <c r="W1025" s="8"/>
      <c r="X1025" s="8"/>
      <c r="Y1025" s="8"/>
      <c r="Z1025" s="10" t="s">
        <v>1278</v>
      </c>
      <c r="AA1025" s="8" t="s">
        <v>331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1093</v>
      </c>
      <c r="E1026" s="8" t="s">
        <v>123</v>
      </c>
      <c r="F1026" s="8" t="s">
        <v>219</v>
      </c>
      <c r="G1026" s="8" t="s">
        <v>1196</v>
      </c>
      <c r="H1026" s="8" t="s">
        <v>1279</v>
      </c>
      <c r="I1026" s="8" t="s">
        <v>1674</v>
      </c>
      <c r="J1026" s="8" t="s">
        <v>1675</v>
      </c>
      <c r="K1026" s="8" t="s">
        <v>1099</v>
      </c>
      <c r="L1026" s="10" t="s">
        <v>1676</v>
      </c>
      <c r="M1026" s="10" t="s">
        <v>1677</v>
      </c>
      <c r="N1026" s="10" t="s">
        <v>1678</v>
      </c>
      <c r="O1026" s="8" t="s">
        <v>1106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1613</v>
      </c>
      <c r="AA1026" s="8" t="s">
        <v>331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1093</v>
      </c>
      <c r="E1027" s="8" t="s">
        <v>139</v>
      </c>
      <c r="F1027" s="8" t="s">
        <v>2368</v>
      </c>
      <c r="G1027" s="8" t="s">
        <v>1684</v>
      </c>
      <c r="H1027" s="8" t="s">
        <v>1166</v>
      </c>
      <c r="I1027" s="8" t="s">
        <v>2333</v>
      </c>
      <c r="J1027" s="8" t="s">
        <v>1514</v>
      </c>
      <c r="K1027" s="8" t="s">
        <v>1496</v>
      </c>
      <c r="L1027" s="10" t="s">
        <v>1515</v>
      </c>
      <c r="M1027" s="10" t="s">
        <v>2334</v>
      </c>
      <c r="N1027" s="10" t="s">
        <v>2335</v>
      </c>
      <c r="O1027" s="8" t="s">
        <v>362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2369</v>
      </c>
      <c r="AA1027" s="8" t="s">
        <v>331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1093</v>
      </c>
      <c r="E1028" s="8" t="s">
        <v>128</v>
      </c>
      <c r="F1028" s="8" t="s">
        <v>2368</v>
      </c>
      <c r="G1028" s="8" t="s">
        <v>1095</v>
      </c>
      <c r="H1028" s="8" t="s">
        <v>1096</v>
      </c>
      <c r="I1028" s="8" t="s">
        <v>1216</v>
      </c>
      <c r="J1028" s="8" t="s">
        <v>1217</v>
      </c>
      <c r="K1028" s="8" t="s">
        <v>1099</v>
      </c>
      <c r="L1028" s="10" t="s">
        <v>1218</v>
      </c>
      <c r="M1028" s="10" t="s">
        <v>1219</v>
      </c>
      <c r="N1028" s="10" t="s">
        <v>1220</v>
      </c>
      <c r="O1028" s="8" t="s">
        <v>321</v>
      </c>
      <c r="P1028" s="8"/>
      <c r="Q1028" s="8">
        <v>37650</v>
      </c>
      <c r="R1028" s="8">
        <v>34404</v>
      </c>
      <c r="S1028" s="8" t="s">
        <v>331</v>
      </c>
      <c r="T1028" s="8"/>
      <c r="U1028" s="8"/>
      <c r="V1028" s="8"/>
      <c r="W1028" s="8"/>
      <c r="X1028" s="8"/>
      <c r="Y1028" s="8"/>
      <c r="Z1028" s="10" t="s">
        <v>1102</v>
      </c>
      <c r="AA1028" s="8" t="s">
        <v>331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1093</v>
      </c>
      <c r="E1029" s="8" t="s">
        <v>123</v>
      </c>
      <c r="F1029" s="8" t="s">
        <v>2337</v>
      </c>
      <c r="G1029" s="8" t="s">
        <v>1302</v>
      </c>
      <c r="H1029" s="8" t="s">
        <v>1303</v>
      </c>
      <c r="I1029" s="8" t="s">
        <v>1623</v>
      </c>
      <c r="J1029" s="8" t="s">
        <v>1169</v>
      </c>
      <c r="K1029" s="8" t="s">
        <v>1099</v>
      </c>
      <c r="L1029" s="10" t="s">
        <v>1624</v>
      </c>
      <c r="M1029" s="10" t="s">
        <v>1625</v>
      </c>
      <c r="N1029" s="10" t="s">
        <v>1340</v>
      </c>
      <c r="O1029" s="8" t="s">
        <v>1106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1738</v>
      </c>
      <c r="AA1029" s="8" t="s">
        <v>331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1093</v>
      </c>
      <c r="E1030" s="8" t="s">
        <v>123</v>
      </c>
      <c r="F1030" s="8" t="s">
        <v>2328</v>
      </c>
      <c r="G1030" s="8" t="s">
        <v>1166</v>
      </c>
      <c r="H1030" s="8" t="s">
        <v>1120</v>
      </c>
      <c r="I1030" s="8" t="s">
        <v>1363</v>
      </c>
      <c r="J1030" s="8" t="s">
        <v>1193</v>
      </c>
      <c r="K1030" s="8" t="s">
        <v>1099</v>
      </c>
      <c r="L1030" s="10" t="s">
        <v>1364</v>
      </c>
      <c r="M1030" s="10" t="s">
        <v>1365</v>
      </c>
      <c r="N1030" s="10"/>
      <c r="O1030" s="8" t="s">
        <v>1106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331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1093</v>
      </c>
      <c r="E1031" s="8" t="s">
        <v>123</v>
      </c>
      <c r="F1031" s="8" t="s">
        <v>2370</v>
      </c>
      <c r="G1031" s="8" t="s">
        <v>1196</v>
      </c>
      <c r="H1031" s="8" t="s">
        <v>1302</v>
      </c>
      <c r="I1031" s="8" t="s">
        <v>1418</v>
      </c>
      <c r="J1031" s="8" t="s">
        <v>1214</v>
      </c>
      <c r="K1031" s="8" t="s">
        <v>1099</v>
      </c>
      <c r="L1031" s="10" t="s">
        <v>1419</v>
      </c>
      <c r="M1031" s="10" t="s">
        <v>1420</v>
      </c>
      <c r="N1031" s="10" t="s">
        <v>216</v>
      </c>
      <c r="O1031" s="8" t="s">
        <v>321</v>
      </c>
      <c r="P1031" s="8"/>
      <c r="Q1031" s="8"/>
      <c r="R1031" s="8">
        <v>295043</v>
      </c>
      <c r="S1031" s="8"/>
      <c r="T1031" s="8" t="s">
        <v>331</v>
      </c>
      <c r="U1031" s="8"/>
      <c r="V1031" s="8"/>
      <c r="W1031" s="8"/>
      <c r="X1031" s="8"/>
      <c r="Y1031" s="8"/>
      <c r="Z1031" s="10" t="s">
        <v>2371</v>
      </c>
      <c r="AA1031" s="8" t="s">
        <v>331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1093</v>
      </c>
      <c r="E1032" s="8" t="s">
        <v>123</v>
      </c>
      <c r="F1032" s="8" t="s">
        <v>2368</v>
      </c>
      <c r="G1032" s="8" t="s">
        <v>1120</v>
      </c>
      <c r="H1032" s="8" t="s">
        <v>1303</v>
      </c>
      <c r="I1032" s="8" t="s">
        <v>1674</v>
      </c>
      <c r="J1032" s="8" t="s">
        <v>1675</v>
      </c>
      <c r="K1032" s="8" t="s">
        <v>1099</v>
      </c>
      <c r="L1032" s="10" t="s">
        <v>1676</v>
      </c>
      <c r="M1032" s="10" t="s">
        <v>1677</v>
      </c>
      <c r="N1032" s="10" t="s">
        <v>1678</v>
      </c>
      <c r="O1032" s="8" t="s">
        <v>321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331</v>
      </c>
      <c r="Z1032" s="10" t="s">
        <v>1407</v>
      </c>
      <c r="AA1032" s="8" t="s">
        <v>331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1093</v>
      </c>
      <c r="E1033" s="8" t="s">
        <v>123</v>
      </c>
      <c r="F1033" s="8" t="s">
        <v>2368</v>
      </c>
      <c r="G1033" s="8" t="s">
        <v>1303</v>
      </c>
      <c r="H1033" s="8" t="s">
        <v>1347</v>
      </c>
      <c r="I1033" s="8" t="s">
        <v>1680</v>
      </c>
      <c r="J1033" s="8" t="s">
        <v>1675</v>
      </c>
      <c r="K1033" s="8" t="s">
        <v>1099</v>
      </c>
      <c r="L1033" s="10" t="s">
        <v>1676</v>
      </c>
      <c r="M1033" s="10" t="s">
        <v>1677</v>
      </c>
      <c r="N1033" s="10" t="s">
        <v>1681</v>
      </c>
      <c r="O1033" s="8" t="s">
        <v>321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331</v>
      </c>
      <c r="Z1033" s="10" t="s">
        <v>2372</v>
      </c>
      <c r="AA1033" s="8" t="s">
        <v>331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1093</v>
      </c>
      <c r="E1034" s="8" t="s">
        <v>128</v>
      </c>
      <c r="F1034" s="8" t="s">
        <v>2351</v>
      </c>
      <c r="G1034" s="8" t="s">
        <v>1971</v>
      </c>
      <c r="H1034" s="8" t="s">
        <v>2267</v>
      </c>
      <c r="I1034" s="8" t="s">
        <v>1110</v>
      </c>
      <c r="J1034" s="8" t="s">
        <v>1111</v>
      </c>
      <c r="K1034" s="8" t="s">
        <v>1099</v>
      </c>
      <c r="L1034" s="10" t="s">
        <v>1112</v>
      </c>
      <c r="M1034" s="10" t="s">
        <v>1113</v>
      </c>
      <c r="N1034" s="10" t="s">
        <v>128</v>
      </c>
      <c r="O1034" s="8" t="s">
        <v>1106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1102</v>
      </c>
      <c r="AA1034" s="8" t="s">
        <v>331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1093</v>
      </c>
      <c r="E1035" s="8" t="s">
        <v>128</v>
      </c>
      <c r="F1035" s="8" t="s">
        <v>2351</v>
      </c>
      <c r="G1035" s="8" t="s">
        <v>1279</v>
      </c>
      <c r="H1035" s="8" t="s">
        <v>1148</v>
      </c>
      <c r="I1035" s="8" t="s">
        <v>2287</v>
      </c>
      <c r="J1035" s="8" t="s">
        <v>1140</v>
      </c>
      <c r="K1035" s="8" t="s">
        <v>1099</v>
      </c>
      <c r="L1035" s="10" t="s">
        <v>2288</v>
      </c>
      <c r="M1035" s="10" t="s">
        <v>1101</v>
      </c>
      <c r="N1035" s="10"/>
      <c r="O1035" s="8" t="s">
        <v>1106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1102</v>
      </c>
      <c r="AA1035" s="8" t="s">
        <v>331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1093</v>
      </c>
      <c r="E1036" s="8" t="s">
        <v>123</v>
      </c>
      <c r="F1036" s="8" t="s">
        <v>2373</v>
      </c>
      <c r="G1036" s="8" t="s">
        <v>1273</v>
      </c>
      <c r="H1036" s="8" t="s">
        <v>1258</v>
      </c>
      <c r="I1036" s="8" t="s">
        <v>1286</v>
      </c>
      <c r="J1036" s="8" t="s">
        <v>1111</v>
      </c>
      <c r="K1036" s="8" t="s">
        <v>1099</v>
      </c>
      <c r="L1036" s="10" t="s">
        <v>1287</v>
      </c>
      <c r="M1036" s="10" t="s">
        <v>1288</v>
      </c>
      <c r="N1036" s="10" t="s">
        <v>1289</v>
      </c>
      <c r="O1036" s="8" t="s">
        <v>362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2374</v>
      </c>
      <c r="AA1036" s="8" t="s">
        <v>331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1093</v>
      </c>
      <c r="E1037" s="8" t="s">
        <v>123</v>
      </c>
      <c r="F1037" s="8" t="s">
        <v>237</v>
      </c>
      <c r="G1037" s="8" t="s">
        <v>1196</v>
      </c>
      <c r="H1037" s="8" t="s">
        <v>1149</v>
      </c>
      <c r="I1037" s="8" t="s">
        <v>2154</v>
      </c>
      <c r="J1037" s="8" t="s">
        <v>1111</v>
      </c>
      <c r="K1037" s="8" t="s">
        <v>1099</v>
      </c>
      <c r="L1037" s="10" t="s">
        <v>1997</v>
      </c>
      <c r="M1037" s="10" t="s">
        <v>1998</v>
      </c>
      <c r="N1037" s="10" t="s">
        <v>2155</v>
      </c>
      <c r="O1037" s="8" t="s">
        <v>1106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1613</v>
      </c>
      <c r="AA1037" s="8" t="s">
        <v>331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1093</v>
      </c>
      <c r="E1038" s="8" t="s">
        <v>123</v>
      </c>
      <c r="F1038" s="8" t="s">
        <v>219</v>
      </c>
      <c r="G1038" s="8" t="s">
        <v>1266</v>
      </c>
      <c r="H1038" s="8" t="s">
        <v>1196</v>
      </c>
      <c r="I1038" s="8" t="s">
        <v>1292</v>
      </c>
      <c r="J1038" s="8" t="s">
        <v>1111</v>
      </c>
      <c r="K1038" s="8" t="s">
        <v>1099</v>
      </c>
      <c r="L1038" s="10" t="s">
        <v>1293</v>
      </c>
      <c r="M1038" s="10" t="s">
        <v>1294</v>
      </c>
      <c r="N1038" s="10" t="s">
        <v>1295</v>
      </c>
      <c r="O1038" s="8" t="s">
        <v>1106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1613</v>
      </c>
      <c r="AA1038" s="8" t="s">
        <v>331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1093</v>
      </c>
      <c r="E1039" s="8" t="s">
        <v>123</v>
      </c>
      <c r="F1039" s="8" t="s">
        <v>2373</v>
      </c>
      <c r="G1039" s="8" t="s">
        <v>1196</v>
      </c>
      <c r="H1039" s="8" t="s">
        <v>1279</v>
      </c>
      <c r="I1039" s="8" t="s">
        <v>1895</v>
      </c>
      <c r="J1039" s="8" t="s">
        <v>1217</v>
      </c>
      <c r="K1039" s="8" t="s">
        <v>1099</v>
      </c>
      <c r="L1039" s="10" t="s">
        <v>1896</v>
      </c>
      <c r="M1039" s="10" t="s">
        <v>1897</v>
      </c>
      <c r="N1039" s="10" t="s">
        <v>1413</v>
      </c>
      <c r="O1039" s="8" t="s">
        <v>362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2375</v>
      </c>
      <c r="AA1039" s="8" t="s">
        <v>331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1093</v>
      </c>
      <c r="E1040" s="8" t="s">
        <v>123</v>
      </c>
      <c r="F1040" s="8" t="s">
        <v>2373</v>
      </c>
      <c r="G1040" s="8" t="s">
        <v>1297</v>
      </c>
      <c r="H1040" s="8" t="s">
        <v>1317</v>
      </c>
      <c r="I1040" s="8" t="s">
        <v>1473</v>
      </c>
      <c r="J1040" s="8" t="s">
        <v>1244</v>
      </c>
      <c r="K1040" s="8" t="s">
        <v>1099</v>
      </c>
      <c r="L1040" s="10" t="s">
        <v>1474</v>
      </c>
      <c r="M1040" s="10" t="s">
        <v>1475</v>
      </c>
      <c r="N1040" s="10" t="s">
        <v>1424</v>
      </c>
      <c r="O1040" s="8" t="s">
        <v>321</v>
      </c>
      <c r="P1040" s="8"/>
      <c r="Q1040" s="8">
        <v>3951</v>
      </c>
      <c r="R1040" s="8">
        <v>1430</v>
      </c>
      <c r="S1040" s="8" t="s">
        <v>331</v>
      </c>
      <c r="T1040" s="8"/>
      <c r="U1040" s="8"/>
      <c r="V1040" s="8"/>
      <c r="W1040" s="8"/>
      <c r="X1040" s="8"/>
      <c r="Y1040" s="8"/>
      <c r="Z1040" s="10" t="s">
        <v>1613</v>
      </c>
      <c r="AA1040" s="8" t="s">
        <v>331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1093</v>
      </c>
      <c r="E1041" s="8" t="s">
        <v>128</v>
      </c>
      <c r="F1041" s="8" t="s">
        <v>2351</v>
      </c>
      <c r="G1041" s="8" t="s">
        <v>1722</v>
      </c>
      <c r="H1041" s="8" t="s">
        <v>1511</v>
      </c>
      <c r="I1041" s="8" t="s">
        <v>1162</v>
      </c>
      <c r="J1041" s="8" t="s">
        <v>1140</v>
      </c>
      <c r="K1041" s="8" t="s">
        <v>1099</v>
      </c>
      <c r="L1041" s="10" t="s">
        <v>1163</v>
      </c>
      <c r="M1041" s="10" t="s">
        <v>1164</v>
      </c>
      <c r="N1041" s="10" t="s">
        <v>1131</v>
      </c>
      <c r="O1041" s="8" t="s">
        <v>1106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1102</v>
      </c>
      <c r="AA1041" s="8" t="s">
        <v>331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1093</v>
      </c>
      <c r="E1042" s="8" t="s">
        <v>128</v>
      </c>
      <c r="F1042" s="8" t="s">
        <v>2351</v>
      </c>
      <c r="G1042" s="8" t="s">
        <v>1608</v>
      </c>
      <c r="H1042" s="8" t="s">
        <v>1804</v>
      </c>
      <c r="I1042" s="8" t="s">
        <v>2147</v>
      </c>
      <c r="J1042" s="8" t="s">
        <v>1244</v>
      </c>
      <c r="K1042" s="8" t="s">
        <v>1099</v>
      </c>
      <c r="L1042" s="10" t="s">
        <v>1230</v>
      </c>
      <c r="M1042" s="10" t="s">
        <v>1231</v>
      </c>
      <c r="N1042" s="10"/>
      <c r="O1042" s="8" t="s">
        <v>1106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1102</v>
      </c>
      <c r="AA1042" s="8" t="s">
        <v>331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1093</v>
      </c>
      <c r="E1043" s="8" t="s">
        <v>123</v>
      </c>
      <c r="F1043" s="8" t="s">
        <v>2373</v>
      </c>
      <c r="G1043" s="8" t="s">
        <v>1284</v>
      </c>
      <c r="H1043" s="8" t="s">
        <v>1166</v>
      </c>
      <c r="I1043" s="8" t="s">
        <v>1286</v>
      </c>
      <c r="J1043" s="8" t="s">
        <v>1111</v>
      </c>
      <c r="K1043" s="8" t="s">
        <v>1099</v>
      </c>
      <c r="L1043" s="10" t="s">
        <v>1287</v>
      </c>
      <c r="M1043" s="10" t="s">
        <v>1288</v>
      </c>
      <c r="N1043" s="10" t="s">
        <v>1289</v>
      </c>
      <c r="O1043" s="8" t="s">
        <v>362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2376</v>
      </c>
      <c r="AA1043" s="8" t="s">
        <v>331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1093</v>
      </c>
      <c r="E1044" s="8" t="s">
        <v>123</v>
      </c>
      <c r="F1044" s="8" t="s">
        <v>2351</v>
      </c>
      <c r="G1044" s="8" t="s">
        <v>1302</v>
      </c>
      <c r="H1044" s="8" t="s">
        <v>1303</v>
      </c>
      <c r="I1044" s="8" t="s">
        <v>2316</v>
      </c>
      <c r="J1044" s="8" t="s">
        <v>1111</v>
      </c>
      <c r="K1044" s="8" t="s">
        <v>1099</v>
      </c>
      <c r="L1044" s="10" t="s">
        <v>1293</v>
      </c>
      <c r="M1044" s="10" t="s">
        <v>2317</v>
      </c>
      <c r="N1044" s="10" t="s">
        <v>2318</v>
      </c>
      <c r="O1044" s="8" t="s">
        <v>1106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1613</v>
      </c>
      <c r="AA1044" s="8" t="s">
        <v>331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1093</v>
      </c>
      <c r="E1045" s="8" t="s">
        <v>123</v>
      </c>
      <c r="F1045" s="8" t="s">
        <v>2373</v>
      </c>
      <c r="G1045" s="8" t="s">
        <v>1120</v>
      </c>
      <c r="H1045" s="8" t="s">
        <v>1302</v>
      </c>
      <c r="I1045" s="8" t="s">
        <v>1487</v>
      </c>
      <c r="J1045" s="8" t="s">
        <v>1479</v>
      </c>
      <c r="K1045" s="8" t="s">
        <v>1099</v>
      </c>
      <c r="L1045" s="10" t="s">
        <v>1170</v>
      </c>
      <c r="M1045" s="10" t="s">
        <v>1463</v>
      </c>
      <c r="N1045" s="10" t="s">
        <v>1488</v>
      </c>
      <c r="O1045" s="8" t="s">
        <v>362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2377</v>
      </c>
      <c r="AA1045" s="8" t="s">
        <v>331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1093</v>
      </c>
      <c r="E1046" s="8" t="s">
        <v>123</v>
      </c>
      <c r="F1046" s="8" t="s">
        <v>2373</v>
      </c>
      <c r="G1046" s="8" t="s">
        <v>1302</v>
      </c>
      <c r="H1046" s="8" t="s">
        <v>1342</v>
      </c>
      <c r="I1046" s="8" t="s">
        <v>2367</v>
      </c>
      <c r="J1046" s="8" t="s">
        <v>1479</v>
      </c>
      <c r="K1046" s="8" t="s">
        <v>1099</v>
      </c>
      <c r="L1046" s="10" t="s">
        <v>1170</v>
      </c>
      <c r="M1046" s="10" t="s">
        <v>1463</v>
      </c>
      <c r="N1046" s="10" t="s">
        <v>1664</v>
      </c>
      <c r="O1046" s="8" t="s">
        <v>362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2378</v>
      </c>
      <c r="AA1046" s="8" t="s">
        <v>331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1093</v>
      </c>
      <c r="E1047" s="8" t="s">
        <v>128</v>
      </c>
      <c r="F1047" s="8" t="s">
        <v>235</v>
      </c>
      <c r="G1047" s="8" t="s">
        <v>1279</v>
      </c>
      <c r="H1047" s="8" t="s">
        <v>1148</v>
      </c>
      <c r="I1047" s="8" t="s">
        <v>1198</v>
      </c>
      <c r="J1047" s="8" t="s">
        <v>1193</v>
      </c>
      <c r="K1047" s="8" t="s">
        <v>1099</v>
      </c>
      <c r="L1047" s="10" t="s">
        <v>1199</v>
      </c>
      <c r="M1047" s="10" t="s">
        <v>1200</v>
      </c>
      <c r="N1047" s="10"/>
      <c r="O1047" s="8" t="s">
        <v>1106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1102</v>
      </c>
      <c r="AA1047" s="8" t="s">
        <v>331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1093</v>
      </c>
      <c r="E1048" s="8" t="s">
        <v>123</v>
      </c>
      <c r="F1048" s="8" t="s">
        <v>2379</v>
      </c>
      <c r="G1048" s="8" t="s">
        <v>1196</v>
      </c>
      <c r="H1048" s="8" t="s">
        <v>1279</v>
      </c>
      <c r="I1048" s="8" t="s">
        <v>1267</v>
      </c>
      <c r="J1048" s="8" t="s">
        <v>1111</v>
      </c>
      <c r="K1048" s="8" t="s">
        <v>1099</v>
      </c>
      <c r="L1048" s="10" t="s">
        <v>1268</v>
      </c>
      <c r="M1048" s="10" t="s">
        <v>1269</v>
      </c>
      <c r="N1048" s="10" t="s">
        <v>1584</v>
      </c>
      <c r="O1048" s="8" t="s">
        <v>362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2380</v>
      </c>
      <c r="AA1048" s="8" t="s">
        <v>331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1093</v>
      </c>
      <c r="E1049" s="8" t="s">
        <v>123</v>
      </c>
      <c r="F1049" s="8" t="s">
        <v>2381</v>
      </c>
      <c r="G1049" s="8" t="s">
        <v>1279</v>
      </c>
      <c r="H1049" s="8" t="s">
        <v>1258</v>
      </c>
      <c r="I1049" s="8" t="s">
        <v>1418</v>
      </c>
      <c r="J1049" s="8" t="s">
        <v>1214</v>
      </c>
      <c r="K1049" s="8" t="s">
        <v>1099</v>
      </c>
      <c r="L1049" s="10" t="s">
        <v>1419</v>
      </c>
      <c r="M1049" s="10" t="s">
        <v>1420</v>
      </c>
      <c r="N1049" s="10" t="s">
        <v>216</v>
      </c>
      <c r="O1049" s="8" t="s">
        <v>1106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1239</v>
      </c>
      <c r="AA1049" s="8" t="s">
        <v>331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1093</v>
      </c>
      <c r="E1050" s="8" t="s">
        <v>123</v>
      </c>
      <c r="F1050" s="8" t="s">
        <v>2319</v>
      </c>
      <c r="G1050" s="8" t="s">
        <v>1343</v>
      </c>
      <c r="H1050" s="8" t="s">
        <v>1302</v>
      </c>
      <c r="I1050" s="8" t="s">
        <v>1446</v>
      </c>
      <c r="J1050" s="8" t="s">
        <v>1214</v>
      </c>
      <c r="K1050" s="8" t="s">
        <v>1099</v>
      </c>
      <c r="L1050" s="10" t="s">
        <v>1378</v>
      </c>
      <c r="M1050" s="10" t="s">
        <v>1447</v>
      </c>
      <c r="N1050" s="10" t="s">
        <v>1448</v>
      </c>
      <c r="O1050" s="8" t="s">
        <v>1106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1613</v>
      </c>
      <c r="AA1050" s="8" t="s">
        <v>331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1093</v>
      </c>
      <c r="E1051" s="8" t="s">
        <v>123</v>
      </c>
      <c r="F1051" s="8" t="s">
        <v>2373</v>
      </c>
      <c r="G1051" s="8" t="s">
        <v>1297</v>
      </c>
      <c r="H1051" s="8" t="s">
        <v>1317</v>
      </c>
      <c r="I1051" s="8" t="s">
        <v>1473</v>
      </c>
      <c r="J1051" s="8" t="s">
        <v>1244</v>
      </c>
      <c r="K1051" s="8" t="s">
        <v>1099</v>
      </c>
      <c r="L1051" s="10" t="s">
        <v>1474</v>
      </c>
      <c r="M1051" s="10" t="s">
        <v>1475</v>
      </c>
      <c r="N1051" s="10" t="s">
        <v>1424</v>
      </c>
      <c r="O1051" s="8" t="s">
        <v>1106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1613</v>
      </c>
      <c r="AA1051" s="8" t="s">
        <v>331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1093</v>
      </c>
      <c r="E1052" s="8" t="s">
        <v>123</v>
      </c>
      <c r="F1052" s="8" t="s">
        <v>219</v>
      </c>
      <c r="G1052" s="8" t="s">
        <v>1279</v>
      </c>
      <c r="H1052" s="8" t="s">
        <v>1149</v>
      </c>
      <c r="I1052" s="8" t="s">
        <v>1680</v>
      </c>
      <c r="J1052" s="8" t="s">
        <v>1675</v>
      </c>
      <c r="K1052" s="8" t="s">
        <v>1099</v>
      </c>
      <c r="L1052" s="10" t="s">
        <v>1676</v>
      </c>
      <c r="M1052" s="10" t="s">
        <v>1677</v>
      </c>
      <c r="N1052" s="10" t="s">
        <v>1681</v>
      </c>
      <c r="O1052" s="8" t="s">
        <v>1106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1613</v>
      </c>
      <c r="AA1052" s="8" t="s">
        <v>331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1093</v>
      </c>
      <c r="E1053" s="8" t="s">
        <v>123</v>
      </c>
      <c r="F1053" s="8" t="s">
        <v>2351</v>
      </c>
      <c r="G1053" s="8" t="s">
        <v>1279</v>
      </c>
      <c r="H1053" s="8" t="s">
        <v>1149</v>
      </c>
      <c r="I1053" s="8" t="s">
        <v>1274</v>
      </c>
      <c r="J1053" s="8" t="s">
        <v>1111</v>
      </c>
      <c r="K1053" s="8" t="s">
        <v>1099</v>
      </c>
      <c r="L1053" s="10" t="s">
        <v>1275</v>
      </c>
      <c r="M1053" s="10" t="s">
        <v>1276</v>
      </c>
      <c r="N1053" s="10" t="s">
        <v>1277</v>
      </c>
      <c r="O1053" s="8" t="s">
        <v>1106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1613</v>
      </c>
      <c r="AA1053" s="8" t="s">
        <v>331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1093</v>
      </c>
      <c r="E1054" s="8" t="s">
        <v>123</v>
      </c>
      <c r="F1054" s="8" t="s">
        <v>2379</v>
      </c>
      <c r="G1054" s="8" t="s">
        <v>1279</v>
      </c>
      <c r="H1054" s="8" t="s">
        <v>1149</v>
      </c>
      <c r="I1054" s="8" t="s">
        <v>1324</v>
      </c>
      <c r="J1054" s="8" t="s">
        <v>1169</v>
      </c>
      <c r="K1054" s="8" t="s">
        <v>1099</v>
      </c>
      <c r="L1054" s="10" t="s">
        <v>1325</v>
      </c>
      <c r="M1054" s="10" t="s">
        <v>1326</v>
      </c>
      <c r="N1054" s="10"/>
      <c r="O1054" s="8" t="s">
        <v>321</v>
      </c>
      <c r="P1054" s="8"/>
      <c r="Q1054" s="8"/>
      <c r="R1054" s="8">
        <v>331302</v>
      </c>
      <c r="S1054" s="8" t="s">
        <v>331</v>
      </c>
      <c r="T1054" s="8"/>
      <c r="U1054" s="8"/>
      <c r="V1054" s="8"/>
      <c r="W1054" s="8"/>
      <c r="X1054" s="8"/>
      <c r="Y1054" s="8"/>
      <c r="Z1054" s="10" t="s">
        <v>1613</v>
      </c>
      <c r="AA1054" s="8" t="s">
        <v>331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1093</v>
      </c>
      <c r="E1055" s="8" t="s">
        <v>123</v>
      </c>
      <c r="F1055" s="8" t="s">
        <v>2379</v>
      </c>
      <c r="G1055" s="8" t="s">
        <v>1149</v>
      </c>
      <c r="H1055" s="8" t="s">
        <v>1297</v>
      </c>
      <c r="I1055" s="8" t="s">
        <v>1386</v>
      </c>
      <c r="J1055" s="8" t="s">
        <v>1387</v>
      </c>
      <c r="K1055" s="8" t="s">
        <v>1099</v>
      </c>
      <c r="L1055" s="10" t="s">
        <v>1388</v>
      </c>
      <c r="M1055" s="10" t="s">
        <v>1326</v>
      </c>
      <c r="N1055" s="10" t="s">
        <v>1358</v>
      </c>
      <c r="O1055" s="8" t="s">
        <v>321</v>
      </c>
      <c r="P1055" s="8"/>
      <c r="Q1055" s="8"/>
      <c r="R1055" s="8">
        <v>74991</v>
      </c>
      <c r="S1055" s="8" t="s">
        <v>331</v>
      </c>
      <c r="T1055" s="8"/>
      <c r="U1055" s="8"/>
      <c r="V1055" s="8"/>
      <c r="W1055" s="8"/>
      <c r="X1055" s="8"/>
      <c r="Y1055" s="8"/>
      <c r="Z1055" s="10" t="s">
        <v>1613</v>
      </c>
      <c r="AA1055" s="8" t="s">
        <v>331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1093</v>
      </c>
      <c r="E1056" s="8" t="s">
        <v>123</v>
      </c>
      <c r="F1056" s="8" t="s">
        <v>2379</v>
      </c>
      <c r="G1056" s="8" t="s">
        <v>1284</v>
      </c>
      <c r="H1056" s="8" t="s">
        <v>1302</v>
      </c>
      <c r="I1056" s="8" t="s">
        <v>1418</v>
      </c>
      <c r="J1056" s="8" t="s">
        <v>1214</v>
      </c>
      <c r="K1056" s="8" t="s">
        <v>1099</v>
      </c>
      <c r="L1056" s="10" t="s">
        <v>1419</v>
      </c>
      <c r="M1056" s="10" t="s">
        <v>1420</v>
      </c>
      <c r="N1056" s="10" t="s">
        <v>216</v>
      </c>
      <c r="O1056" s="8" t="s">
        <v>362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2382</v>
      </c>
      <c r="AA1056" s="8" t="s">
        <v>331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1093</v>
      </c>
      <c r="E1057" s="8" t="s">
        <v>123</v>
      </c>
      <c r="F1057" s="8" t="s">
        <v>235</v>
      </c>
      <c r="G1057" s="8" t="s">
        <v>1149</v>
      </c>
      <c r="H1057" s="8" t="s">
        <v>1297</v>
      </c>
      <c r="I1057" s="8" t="s">
        <v>1450</v>
      </c>
      <c r="J1057" s="8" t="s">
        <v>1214</v>
      </c>
      <c r="K1057" s="8" t="s">
        <v>1099</v>
      </c>
      <c r="L1057" s="10" t="s">
        <v>1314</v>
      </c>
      <c r="M1057" s="10" t="s">
        <v>1451</v>
      </c>
      <c r="N1057" s="10" t="s">
        <v>1410</v>
      </c>
      <c r="O1057" s="8" t="s">
        <v>1106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1613</v>
      </c>
      <c r="AA1057" s="8" t="s">
        <v>331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1093</v>
      </c>
      <c r="E1058" s="8" t="s">
        <v>123</v>
      </c>
      <c r="F1058" s="8" t="s">
        <v>2379</v>
      </c>
      <c r="G1058" s="8" t="s">
        <v>1297</v>
      </c>
      <c r="H1058" s="8" t="s">
        <v>1317</v>
      </c>
      <c r="I1058" s="8" t="s">
        <v>1489</v>
      </c>
      <c r="J1058" s="8" t="s">
        <v>1479</v>
      </c>
      <c r="K1058" s="8" t="s">
        <v>1099</v>
      </c>
      <c r="L1058" s="10" t="s">
        <v>1388</v>
      </c>
      <c r="M1058" s="10" t="s">
        <v>1326</v>
      </c>
      <c r="N1058" s="10" t="s">
        <v>1358</v>
      </c>
      <c r="O1058" s="8" t="s">
        <v>321</v>
      </c>
      <c r="P1058" s="8"/>
      <c r="Q1058" s="8"/>
      <c r="R1058" s="8">
        <v>99737</v>
      </c>
      <c r="S1058" s="8" t="s">
        <v>331</v>
      </c>
      <c r="T1058" s="8"/>
      <c r="U1058" s="8"/>
      <c r="V1058" s="8"/>
      <c r="W1058" s="8"/>
      <c r="X1058" s="8"/>
      <c r="Y1058" s="8"/>
      <c r="Z1058" s="10" t="s">
        <v>1613</v>
      </c>
      <c r="AA1058" s="8" t="s">
        <v>331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1093</v>
      </c>
      <c r="E1059" s="8" t="s">
        <v>128</v>
      </c>
      <c r="F1059" s="8" t="s">
        <v>2383</v>
      </c>
      <c r="G1059" s="8" t="s">
        <v>2384</v>
      </c>
      <c r="H1059" s="8" t="s">
        <v>1415</v>
      </c>
      <c r="I1059" s="8" t="s">
        <v>1243</v>
      </c>
      <c r="J1059" s="8" t="s">
        <v>1244</v>
      </c>
      <c r="K1059" s="8" t="s">
        <v>1099</v>
      </c>
      <c r="L1059" s="10" t="s">
        <v>1236</v>
      </c>
      <c r="M1059" s="10" t="s">
        <v>1237</v>
      </c>
      <c r="N1059" s="10" t="s">
        <v>1238</v>
      </c>
      <c r="O1059" s="8" t="s">
        <v>321</v>
      </c>
      <c r="P1059" s="8"/>
      <c r="Q1059" s="8">
        <v>594</v>
      </c>
      <c r="R1059" s="8">
        <v>25705</v>
      </c>
      <c r="S1059" s="8" t="s">
        <v>331</v>
      </c>
      <c r="T1059" s="8"/>
      <c r="U1059" s="8"/>
      <c r="V1059" s="8"/>
      <c r="W1059" s="8"/>
      <c r="X1059" s="8"/>
      <c r="Y1059" s="8"/>
      <c r="Z1059" s="10" t="s">
        <v>1102</v>
      </c>
      <c r="AA1059" s="8" t="s">
        <v>331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1093</v>
      </c>
      <c r="E1060" s="8" t="s">
        <v>128</v>
      </c>
      <c r="F1060" s="8" t="s">
        <v>2383</v>
      </c>
      <c r="G1060" s="8" t="s">
        <v>1343</v>
      </c>
      <c r="H1060" s="8" t="s">
        <v>1174</v>
      </c>
      <c r="I1060" s="8" t="s">
        <v>1251</v>
      </c>
      <c r="J1060" s="8" t="s">
        <v>1252</v>
      </c>
      <c r="K1060" s="8" t="s">
        <v>1099</v>
      </c>
      <c r="L1060" s="10" t="s">
        <v>1236</v>
      </c>
      <c r="M1060" s="10" t="s">
        <v>1237</v>
      </c>
      <c r="N1060" s="10" t="s">
        <v>1253</v>
      </c>
      <c r="O1060" s="8" t="s">
        <v>321</v>
      </c>
      <c r="P1060" s="8"/>
      <c r="Q1060" s="8"/>
      <c r="R1060" s="8">
        <v>137378</v>
      </c>
      <c r="S1060" s="8" t="s">
        <v>331</v>
      </c>
      <c r="T1060" s="8"/>
      <c r="U1060" s="8"/>
      <c r="V1060" s="8"/>
      <c r="W1060" s="8"/>
      <c r="X1060" s="8"/>
      <c r="Y1060" s="8"/>
      <c r="Z1060" s="10" t="s">
        <v>1102</v>
      </c>
      <c r="AA1060" s="8" t="s">
        <v>331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1093</v>
      </c>
      <c r="E1061" s="8" t="s">
        <v>128</v>
      </c>
      <c r="F1061" s="8" t="s">
        <v>2383</v>
      </c>
      <c r="G1061" s="8" t="s">
        <v>1694</v>
      </c>
      <c r="H1061" s="8" t="s">
        <v>1534</v>
      </c>
      <c r="I1061" s="8" t="s">
        <v>1256</v>
      </c>
      <c r="J1061" s="8" t="s">
        <v>1252</v>
      </c>
      <c r="K1061" s="8" t="s">
        <v>1099</v>
      </c>
      <c r="L1061" s="10" t="s">
        <v>1236</v>
      </c>
      <c r="M1061" s="10" t="s">
        <v>1237</v>
      </c>
      <c r="N1061" s="10" t="s">
        <v>1257</v>
      </c>
      <c r="O1061" s="8" t="s">
        <v>321</v>
      </c>
      <c r="P1061" s="8"/>
      <c r="Q1061" s="8"/>
      <c r="R1061" s="8">
        <v>58065</v>
      </c>
      <c r="S1061" s="8" t="s">
        <v>331</v>
      </c>
      <c r="T1061" s="8"/>
      <c r="U1061" s="8"/>
      <c r="V1061" s="8"/>
      <c r="W1061" s="8"/>
      <c r="X1061" s="8"/>
      <c r="Y1061" s="8"/>
      <c r="Z1061" s="10" t="s">
        <v>1102</v>
      </c>
      <c r="AA1061" s="8" t="s">
        <v>331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1093</v>
      </c>
      <c r="E1062" s="8" t="s">
        <v>123</v>
      </c>
      <c r="F1062" s="8" t="s">
        <v>2383</v>
      </c>
      <c r="G1062" s="8" t="s">
        <v>1196</v>
      </c>
      <c r="H1062" s="8" t="s">
        <v>1317</v>
      </c>
      <c r="I1062" s="8" t="s">
        <v>1377</v>
      </c>
      <c r="J1062" s="8" t="s">
        <v>1193</v>
      </c>
      <c r="K1062" s="8" t="s">
        <v>1099</v>
      </c>
      <c r="L1062" s="10" t="s">
        <v>1378</v>
      </c>
      <c r="M1062" s="10" t="s">
        <v>1379</v>
      </c>
      <c r="N1062" s="10" t="s">
        <v>1380</v>
      </c>
      <c r="O1062" s="8" t="s">
        <v>321</v>
      </c>
      <c r="P1062" s="8"/>
      <c r="Q1062" s="8"/>
      <c r="R1062" s="8">
        <v>299683</v>
      </c>
      <c r="S1062" s="8"/>
      <c r="T1062" s="8" t="s">
        <v>331</v>
      </c>
      <c r="U1062" s="8"/>
      <c r="V1062" s="8"/>
      <c r="W1062" s="8"/>
      <c r="X1062" s="8"/>
      <c r="Y1062" s="8"/>
      <c r="Z1062" s="10" t="s">
        <v>1239</v>
      </c>
      <c r="AA1062" s="8" t="s">
        <v>331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1093</v>
      </c>
      <c r="E1063" s="8" t="s">
        <v>123</v>
      </c>
      <c r="F1063" s="8" t="s">
        <v>2383</v>
      </c>
      <c r="G1063" s="8" t="s">
        <v>1284</v>
      </c>
      <c r="H1063" s="8" t="s">
        <v>1120</v>
      </c>
      <c r="I1063" s="8" t="s">
        <v>2345</v>
      </c>
      <c r="J1063" s="8" t="s">
        <v>1193</v>
      </c>
      <c r="K1063" s="8" t="s">
        <v>1099</v>
      </c>
      <c r="L1063" s="10" t="s">
        <v>1314</v>
      </c>
      <c r="M1063" s="10" t="s">
        <v>1315</v>
      </c>
      <c r="N1063" s="10" t="s">
        <v>1316</v>
      </c>
      <c r="O1063" s="8" t="s">
        <v>362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2346</v>
      </c>
      <c r="AA1063" s="8" t="s">
        <v>331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1093</v>
      </c>
      <c r="E1064" s="8" t="s">
        <v>123</v>
      </c>
      <c r="F1064" s="8" t="s">
        <v>2319</v>
      </c>
      <c r="G1064" s="8" t="s">
        <v>1303</v>
      </c>
      <c r="H1064" s="8" t="s">
        <v>1342</v>
      </c>
      <c r="I1064" s="8" t="s">
        <v>1418</v>
      </c>
      <c r="J1064" s="8" t="s">
        <v>1214</v>
      </c>
      <c r="K1064" s="8" t="s">
        <v>1099</v>
      </c>
      <c r="L1064" s="10" t="s">
        <v>1419</v>
      </c>
      <c r="M1064" s="10" t="s">
        <v>1420</v>
      </c>
      <c r="N1064" s="10" t="s">
        <v>216</v>
      </c>
      <c r="O1064" s="8" t="s">
        <v>1106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1613</v>
      </c>
      <c r="AA1064" s="8" t="s">
        <v>331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1093</v>
      </c>
      <c r="E1065" s="8" t="s">
        <v>123</v>
      </c>
      <c r="F1065" s="8" t="s">
        <v>2383</v>
      </c>
      <c r="G1065" s="8" t="s">
        <v>1120</v>
      </c>
      <c r="H1065" s="8" t="s">
        <v>1302</v>
      </c>
      <c r="I1065" s="8" t="s">
        <v>1426</v>
      </c>
      <c r="J1065" s="8" t="s">
        <v>1214</v>
      </c>
      <c r="K1065" s="8" t="s">
        <v>1099</v>
      </c>
      <c r="L1065" s="10" t="s">
        <v>1314</v>
      </c>
      <c r="M1065" s="10" t="s">
        <v>1427</v>
      </c>
      <c r="N1065" s="10" t="s">
        <v>1428</v>
      </c>
      <c r="O1065" s="8" t="s">
        <v>362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2346</v>
      </c>
      <c r="AA1065" s="8" t="s">
        <v>331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1093</v>
      </c>
      <c r="E1066" s="8" t="s">
        <v>123</v>
      </c>
      <c r="F1066" s="8" t="s">
        <v>2383</v>
      </c>
      <c r="G1066" s="8" t="s">
        <v>1302</v>
      </c>
      <c r="H1066" s="8" t="s">
        <v>1342</v>
      </c>
      <c r="I1066" s="8" t="s">
        <v>1437</v>
      </c>
      <c r="J1066" s="8" t="s">
        <v>1214</v>
      </c>
      <c r="K1066" s="8" t="s">
        <v>1099</v>
      </c>
      <c r="L1066" s="10" t="s">
        <v>1314</v>
      </c>
      <c r="M1066" s="10" t="s">
        <v>1321</v>
      </c>
      <c r="N1066" s="10" t="s">
        <v>1322</v>
      </c>
      <c r="O1066" s="8" t="s">
        <v>362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2385</v>
      </c>
      <c r="AA1066" s="8" t="s">
        <v>331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1093</v>
      </c>
      <c r="E1067" s="8" t="s">
        <v>128</v>
      </c>
      <c r="F1067" s="8" t="s">
        <v>2386</v>
      </c>
      <c r="G1067" s="8" t="s">
        <v>1297</v>
      </c>
      <c r="H1067" s="8" t="s">
        <v>1127</v>
      </c>
      <c r="I1067" s="8" t="s">
        <v>2387</v>
      </c>
      <c r="J1067" s="8" t="s">
        <v>1140</v>
      </c>
      <c r="K1067" s="8" t="s">
        <v>1099</v>
      </c>
      <c r="L1067" s="10" t="s">
        <v>2321</v>
      </c>
      <c r="M1067" s="10" t="s">
        <v>2388</v>
      </c>
      <c r="N1067" s="10" t="s">
        <v>1131</v>
      </c>
      <c r="O1067" s="8" t="s">
        <v>321</v>
      </c>
      <c r="P1067" s="8"/>
      <c r="Q1067" s="8">
        <v>24</v>
      </c>
      <c r="R1067" s="8">
        <v>159</v>
      </c>
      <c r="S1067" s="8" t="s">
        <v>331</v>
      </c>
      <c r="T1067" s="8"/>
      <c r="U1067" s="8"/>
      <c r="V1067" s="8"/>
      <c r="W1067" s="8"/>
      <c r="X1067" s="8"/>
      <c r="Y1067" s="8"/>
      <c r="Z1067" s="10" t="s">
        <v>1102</v>
      </c>
      <c r="AA1067" s="8" t="s">
        <v>331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1093</v>
      </c>
      <c r="E1068" s="8" t="s">
        <v>128</v>
      </c>
      <c r="F1068" s="8" t="s">
        <v>2386</v>
      </c>
      <c r="G1068" s="8" t="s">
        <v>1284</v>
      </c>
      <c r="H1068" s="8" t="s">
        <v>1561</v>
      </c>
      <c r="I1068" s="8" t="s">
        <v>1185</v>
      </c>
      <c r="J1068" s="8" t="s">
        <v>1169</v>
      </c>
      <c r="K1068" s="8" t="s">
        <v>1099</v>
      </c>
      <c r="L1068" s="10" t="s">
        <v>1186</v>
      </c>
      <c r="M1068" s="10" t="s">
        <v>1187</v>
      </c>
      <c r="N1068" s="10" t="s">
        <v>1188</v>
      </c>
      <c r="O1068" s="8" t="s">
        <v>321</v>
      </c>
      <c r="P1068" s="8"/>
      <c r="Q1068" s="8"/>
      <c r="R1068" s="8">
        <v>25058</v>
      </c>
      <c r="S1068" s="8" t="s">
        <v>331</v>
      </c>
      <c r="T1068" s="8"/>
      <c r="U1068" s="8"/>
      <c r="V1068" s="8"/>
      <c r="W1068" s="8"/>
      <c r="X1068" s="8"/>
      <c r="Y1068" s="8"/>
      <c r="Z1068" s="10" t="s">
        <v>1102</v>
      </c>
      <c r="AA1068" s="8" t="s">
        <v>331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1093</v>
      </c>
      <c r="E1069" s="8" t="s">
        <v>128</v>
      </c>
      <c r="F1069" s="8" t="s">
        <v>2386</v>
      </c>
      <c r="G1069" s="8" t="s">
        <v>1367</v>
      </c>
      <c r="H1069" s="8" t="s">
        <v>1912</v>
      </c>
      <c r="I1069" s="8" t="s">
        <v>1209</v>
      </c>
      <c r="J1069" s="8" t="s">
        <v>1204</v>
      </c>
      <c r="K1069" s="8" t="s">
        <v>1099</v>
      </c>
      <c r="L1069" s="10" t="s">
        <v>1210</v>
      </c>
      <c r="M1069" s="10" t="s">
        <v>1211</v>
      </c>
      <c r="N1069" s="10" t="s">
        <v>1188</v>
      </c>
      <c r="O1069" s="8" t="s">
        <v>321</v>
      </c>
      <c r="P1069" s="8"/>
      <c r="Q1069" s="8">
        <v>2436</v>
      </c>
      <c r="R1069" s="8">
        <v>302935</v>
      </c>
      <c r="S1069" s="8" t="s">
        <v>331</v>
      </c>
      <c r="T1069" s="8"/>
      <c r="U1069" s="8"/>
      <c r="V1069" s="8"/>
      <c r="W1069" s="8"/>
      <c r="X1069" s="8"/>
      <c r="Y1069" s="8"/>
      <c r="Z1069" s="10" t="s">
        <v>1102</v>
      </c>
      <c r="AA1069" s="8" t="s">
        <v>331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1093</v>
      </c>
      <c r="E1070" s="8" t="s">
        <v>123</v>
      </c>
      <c r="F1070" s="8" t="s">
        <v>2386</v>
      </c>
      <c r="G1070" s="8" t="s">
        <v>1207</v>
      </c>
      <c r="H1070" s="8" t="s">
        <v>1258</v>
      </c>
      <c r="I1070" s="8" t="s">
        <v>1320</v>
      </c>
      <c r="J1070" s="8" t="s">
        <v>1169</v>
      </c>
      <c r="K1070" s="8" t="s">
        <v>1099</v>
      </c>
      <c r="L1070" s="10" t="s">
        <v>1314</v>
      </c>
      <c r="M1070" s="10" t="s">
        <v>1492</v>
      </c>
      <c r="N1070" s="10" t="s">
        <v>1493</v>
      </c>
      <c r="O1070" s="8" t="s">
        <v>321</v>
      </c>
      <c r="P1070" s="8"/>
      <c r="Q1070" s="8"/>
      <c r="R1070" s="8">
        <v>193</v>
      </c>
      <c r="S1070" s="8" t="s">
        <v>331</v>
      </c>
      <c r="T1070" s="8"/>
      <c r="U1070" s="8"/>
      <c r="V1070" s="8"/>
      <c r="W1070" s="8"/>
      <c r="X1070" s="8"/>
      <c r="Y1070" s="8"/>
      <c r="Z1070" s="10" t="s">
        <v>1613</v>
      </c>
      <c r="AA1070" s="8" t="s">
        <v>331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1093</v>
      </c>
      <c r="E1071" s="8" t="s">
        <v>123</v>
      </c>
      <c r="F1071" s="8" t="s">
        <v>2386</v>
      </c>
      <c r="G1071" s="8" t="s">
        <v>1317</v>
      </c>
      <c r="H1071" s="8" t="s">
        <v>1273</v>
      </c>
      <c r="I1071" s="8" t="s">
        <v>2343</v>
      </c>
      <c r="J1071" s="8" t="s">
        <v>1193</v>
      </c>
      <c r="K1071" s="8" t="s">
        <v>1099</v>
      </c>
      <c r="L1071" s="10" t="s">
        <v>1314</v>
      </c>
      <c r="M1071" s="10" t="s">
        <v>1438</v>
      </c>
      <c r="N1071" s="10" t="s">
        <v>1439</v>
      </c>
      <c r="O1071" s="8" t="s">
        <v>321</v>
      </c>
      <c r="P1071" s="8"/>
      <c r="Q1071" s="8"/>
      <c r="R1071" s="8">
        <v>4020</v>
      </c>
      <c r="S1071" s="8" t="s">
        <v>331</v>
      </c>
      <c r="T1071" s="8"/>
      <c r="U1071" s="8"/>
      <c r="V1071" s="8"/>
      <c r="W1071" s="8"/>
      <c r="X1071" s="8"/>
      <c r="Y1071" s="8"/>
      <c r="Z1071" s="10" t="s">
        <v>1613</v>
      </c>
      <c r="AA1071" s="8" t="s">
        <v>331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1093</v>
      </c>
      <c r="E1072" s="8" t="s">
        <v>123</v>
      </c>
      <c r="F1072" s="8" t="s">
        <v>2386</v>
      </c>
      <c r="G1072" s="8" t="s">
        <v>1149</v>
      </c>
      <c r="H1072" s="8" t="s">
        <v>1297</v>
      </c>
      <c r="I1072" s="8" t="s">
        <v>2389</v>
      </c>
      <c r="J1072" s="8" t="s">
        <v>1193</v>
      </c>
      <c r="K1072" s="8" t="s">
        <v>1099</v>
      </c>
      <c r="L1072" s="10" t="s">
        <v>1314</v>
      </c>
      <c r="M1072" s="10" t="s">
        <v>1435</v>
      </c>
      <c r="N1072" s="10" t="s">
        <v>1436</v>
      </c>
      <c r="O1072" s="8" t="s">
        <v>321</v>
      </c>
      <c r="P1072" s="8"/>
      <c r="Q1072" s="8"/>
      <c r="R1072" s="8">
        <v>5001</v>
      </c>
      <c r="S1072" s="8" t="s">
        <v>331</v>
      </c>
      <c r="T1072" s="8"/>
      <c r="U1072" s="8"/>
      <c r="V1072" s="8"/>
      <c r="W1072" s="8"/>
      <c r="X1072" s="8"/>
      <c r="Y1072" s="8"/>
      <c r="Z1072" s="10" t="s">
        <v>1613</v>
      </c>
      <c r="AA1072" s="8" t="s">
        <v>331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1093</v>
      </c>
      <c r="E1073" s="8" t="s">
        <v>123</v>
      </c>
      <c r="F1073" s="8" t="s">
        <v>2386</v>
      </c>
      <c r="G1073" s="8" t="s">
        <v>1266</v>
      </c>
      <c r="H1073" s="8" t="s">
        <v>1196</v>
      </c>
      <c r="I1073" s="8" t="s">
        <v>2345</v>
      </c>
      <c r="J1073" s="8" t="s">
        <v>1193</v>
      </c>
      <c r="K1073" s="8" t="s">
        <v>1099</v>
      </c>
      <c r="L1073" s="10" t="s">
        <v>1314</v>
      </c>
      <c r="M1073" s="10" t="s">
        <v>1315</v>
      </c>
      <c r="N1073" s="10" t="s">
        <v>1316</v>
      </c>
      <c r="O1073" s="8" t="s">
        <v>321</v>
      </c>
      <c r="P1073" s="8"/>
      <c r="Q1073" s="8"/>
      <c r="R1073" s="8">
        <v>3173</v>
      </c>
      <c r="S1073" s="8" t="s">
        <v>331</v>
      </c>
      <c r="T1073" s="8"/>
      <c r="U1073" s="8"/>
      <c r="V1073" s="8"/>
      <c r="W1073" s="8"/>
      <c r="X1073" s="8"/>
      <c r="Y1073" s="8"/>
      <c r="Z1073" s="10" t="s">
        <v>1613</v>
      </c>
      <c r="AA1073" s="8" t="s">
        <v>331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1093</v>
      </c>
      <c r="E1074" s="8" t="s">
        <v>123</v>
      </c>
      <c r="F1074" s="8" t="s">
        <v>2386</v>
      </c>
      <c r="G1074" s="8" t="s">
        <v>1279</v>
      </c>
      <c r="H1074" s="8" t="s">
        <v>1149</v>
      </c>
      <c r="I1074" s="8" t="s">
        <v>2347</v>
      </c>
      <c r="J1074" s="8" t="s">
        <v>1193</v>
      </c>
      <c r="K1074" s="8" t="s">
        <v>1099</v>
      </c>
      <c r="L1074" s="10" t="s">
        <v>1314</v>
      </c>
      <c r="M1074" s="10" t="s">
        <v>1451</v>
      </c>
      <c r="N1074" s="10" t="s">
        <v>1410</v>
      </c>
      <c r="O1074" s="8" t="s">
        <v>321</v>
      </c>
      <c r="P1074" s="8"/>
      <c r="Q1074" s="8"/>
      <c r="R1074" s="8">
        <v>2841</v>
      </c>
      <c r="S1074" s="8" t="s">
        <v>331</v>
      </c>
      <c r="T1074" s="8"/>
      <c r="U1074" s="8"/>
      <c r="V1074" s="8"/>
      <c r="W1074" s="8"/>
      <c r="X1074" s="8"/>
      <c r="Y1074" s="8"/>
      <c r="Z1074" s="10" t="s">
        <v>1613</v>
      </c>
      <c r="AA1074" s="8" t="s">
        <v>331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1093</v>
      </c>
      <c r="E1075" s="8" t="s">
        <v>123</v>
      </c>
      <c r="F1075" s="8" t="s">
        <v>2386</v>
      </c>
      <c r="G1075" s="8" t="s">
        <v>1196</v>
      </c>
      <c r="H1075" s="8" t="s">
        <v>1279</v>
      </c>
      <c r="I1075" s="8" t="s">
        <v>2390</v>
      </c>
      <c r="J1075" s="8" t="s">
        <v>1193</v>
      </c>
      <c r="K1075" s="8" t="s">
        <v>1099</v>
      </c>
      <c r="L1075" s="10" t="s">
        <v>1314</v>
      </c>
      <c r="M1075" s="10" t="s">
        <v>1430</v>
      </c>
      <c r="N1075" s="10" t="s">
        <v>1295</v>
      </c>
      <c r="O1075" s="8" t="s">
        <v>321</v>
      </c>
      <c r="P1075" s="8"/>
      <c r="Q1075" s="8"/>
      <c r="R1075" s="8">
        <v>1935</v>
      </c>
      <c r="S1075" s="8" t="s">
        <v>331</v>
      </c>
      <c r="T1075" s="8"/>
      <c r="U1075" s="8"/>
      <c r="V1075" s="8"/>
      <c r="W1075" s="8"/>
      <c r="X1075" s="8"/>
      <c r="Y1075" s="8"/>
      <c r="Z1075" s="10" t="s">
        <v>1613</v>
      </c>
      <c r="AA1075" s="8" t="s">
        <v>331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1093</v>
      </c>
      <c r="E1076" s="8" t="s">
        <v>123</v>
      </c>
      <c r="F1076" s="8" t="s">
        <v>2386</v>
      </c>
      <c r="G1076" s="8" t="s">
        <v>1273</v>
      </c>
      <c r="H1076" s="8" t="s">
        <v>1207</v>
      </c>
      <c r="I1076" s="8" t="s">
        <v>1426</v>
      </c>
      <c r="J1076" s="8" t="s">
        <v>1214</v>
      </c>
      <c r="K1076" s="8" t="s">
        <v>1099</v>
      </c>
      <c r="L1076" s="10" t="s">
        <v>1314</v>
      </c>
      <c r="M1076" s="10" t="s">
        <v>1427</v>
      </c>
      <c r="N1076" s="10" t="s">
        <v>1428</v>
      </c>
      <c r="O1076" s="8" t="s">
        <v>321</v>
      </c>
      <c r="P1076" s="8"/>
      <c r="Q1076" s="8"/>
      <c r="R1076" s="8">
        <v>54</v>
      </c>
      <c r="S1076" s="8" t="s">
        <v>331</v>
      </c>
      <c r="T1076" s="8"/>
      <c r="U1076" s="8"/>
      <c r="V1076" s="8"/>
      <c r="W1076" s="8"/>
      <c r="X1076" s="8"/>
      <c r="Y1076" s="8"/>
      <c r="Z1076" s="10" t="s">
        <v>1613</v>
      </c>
      <c r="AA1076" s="8" t="s">
        <v>331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1093</v>
      </c>
      <c r="E1077" s="8" t="s">
        <v>123</v>
      </c>
      <c r="F1077" s="8" t="s">
        <v>2386</v>
      </c>
      <c r="G1077" s="8" t="s">
        <v>1297</v>
      </c>
      <c r="H1077" s="8" t="s">
        <v>1317</v>
      </c>
      <c r="I1077" s="8" t="s">
        <v>1437</v>
      </c>
      <c r="J1077" s="8" t="s">
        <v>1214</v>
      </c>
      <c r="K1077" s="8" t="s">
        <v>1099</v>
      </c>
      <c r="L1077" s="10" t="s">
        <v>1314</v>
      </c>
      <c r="M1077" s="10" t="s">
        <v>1321</v>
      </c>
      <c r="N1077" s="10" t="s">
        <v>1322</v>
      </c>
      <c r="O1077" s="8" t="s">
        <v>321</v>
      </c>
      <c r="P1077" s="8"/>
      <c r="Q1077" s="8"/>
      <c r="R1077" s="8">
        <v>942</v>
      </c>
      <c r="S1077" s="8" t="s">
        <v>331</v>
      </c>
      <c r="T1077" s="8"/>
      <c r="U1077" s="8"/>
      <c r="V1077" s="8"/>
      <c r="W1077" s="8"/>
      <c r="X1077" s="8"/>
      <c r="Y1077" s="8"/>
      <c r="Z1077" s="10" t="s">
        <v>1613</v>
      </c>
      <c r="AA1077" s="8" t="s">
        <v>331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1093</v>
      </c>
      <c r="E1078" s="8" t="s">
        <v>128</v>
      </c>
      <c r="F1078" s="8" t="s">
        <v>2386</v>
      </c>
      <c r="G1078" s="8" t="s">
        <v>1574</v>
      </c>
      <c r="H1078" s="8" t="s">
        <v>2121</v>
      </c>
      <c r="I1078" s="8" t="s">
        <v>2391</v>
      </c>
      <c r="J1078" s="8" t="s">
        <v>1140</v>
      </c>
      <c r="K1078" s="8" t="s">
        <v>1099</v>
      </c>
      <c r="L1078" s="10" t="s">
        <v>2392</v>
      </c>
      <c r="M1078" s="10" t="s">
        <v>2393</v>
      </c>
      <c r="N1078" s="10" t="s">
        <v>2394</v>
      </c>
      <c r="O1078" s="8" t="s">
        <v>321</v>
      </c>
      <c r="P1078" s="8"/>
      <c r="Q1078" s="8">
        <v>12</v>
      </c>
      <c r="R1078" s="8">
        <v>105</v>
      </c>
      <c r="S1078" s="8" t="s">
        <v>331</v>
      </c>
      <c r="T1078" s="8"/>
      <c r="U1078" s="8"/>
      <c r="V1078" s="8"/>
      <c r="W1078" s="8"/>
      <c r="X1078" s="8"/>
      <c r="Y1078" s="8"/>
      <c r="Z1078" s="10" t="s">
        <v>1102</v>
      </c>
      <c r="AA1078" s="8" t="s">
        <v>331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1093</v>
      </c>
      <c r="E1079" s="8" t="s">
        <v>128</v>
      </c>
      <c r="F1079" s="8" t="s">
        <v>2386</v>
      </c>
      <c r="G1079" s="8" t="s">
        <v>1297</v>
      </c>
      <c r="H1079" s="8" t="s">
        <v>1127</v>
      </c>
      <c r="I1079" s="8" t="s">
        <v>2387</v>
      </c>
      <c r="J1079" s="8" t="s">
        <v>1140</v>
      </c>
      <c r="K1079" s="8" t="s">
        <v>1099</v>
      </c>
      <c r="L1079" s="10" t="s">
        <v>2321</v>
      </c>
      <c r="M1079" s="10" t="s">
        <v>2388</v>
      </c>
      <c r="N1079" s="10" t="s">
        <v>1131</v>
      </c>
      <c r="O1079" s="8" t="s">
        <v>1106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1102</v>
      </c>
      <c r="AA1079" s="8" t="s">
        <v>331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1093</v>
      </c>
      <c r="E1080" s="8" t="s">
        <v>128</v>
      </c>
      <c r="F1080" s="8" t="s">
        <v>2386</v>
      </c>
      <c r="G1080" s="8" t="s">
        <v>1703</v>
      </c>
      <c r="H1080" s="8" t="s">
        <v>1704</v>
      </c>
      <c r="I1080" s="8" t="s">
        <v>1192</v>
      </c>
      <c r="J1080" s="8" t="s">
        <v>1193</v>
      </c>
      <c r="K1080" s="8" t="s">
        <v>1099</v>
      </c>
      <c r="L1080" s="10" t="s">
        <v>1194</v>
      </c>
      <c r="M1080" s="10" t="s">
        <v>1195</v>
      </c>
      <c r="N1080" s="10" t="s">
        <v>2325</v>
      </c>
      <c r="O1080" s="8" t="s">
        <v>321</v>
      </c>
      <c r="P1080" s="8"/>
      <c r="Q1080" s="8"/>
      <c r="R1080" s="8">
        <v>68653</v>
      </c>
      <c r="S1080" s="8" t="s">
        <v>331</v>
      </c>
      <c r="T1080" s="8"/>
      <c r="U1080" s="8"/>
      <c r="V1080" s="8"/>
      <c r="W1080" s="8"/>
      <c r="X1080" s="8"/>
      <c r="Y1080" s="8"/>
      <c r="Z1080" s="10" t="s">
        <v>1102</v>
      </c>
      <c r="AA1080" s="8" t="s">
        <v>331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1093</v>
      </c>
      <c r="E1081" s="8" t="s">
        <v>128</v>
      </c>
      <c r="F1081" s="8" t="s">
        <v>2386</v>
      </c>
      <c r="G1081" s="8" t="s">
        <v>1729</v>
      </c>
      <c r="H1081" s="8" t="s">
        <v>1518</v>
      </c>
      <c r="I1081" s="8" t="s">
        <v>1198</v>
      </c>
      <c r="J1081" s="8" t="s">
        <v>1193</v>
      </c>
      <c r="K1081" s="8" t="s">
        <v>1099</v>
      </c>
      <c r="L1081" s="10" t="s">
        <v>1199</v>
      </c>
      <c r="M1081" s="10" t="s">
        <v>1200</v>
      </c>
      <c r="N1081" s="10"/>
      <c r="O1081" s="8" t="s">
        <v>321</v>
      </c>
      <c r="P1081" s="8"/>
      <c r="Q1081" s="8"/>
      <c r="R1081" s="8">
        <v>28400</v>
      </c>
      <c r="S1081" s="8" t="s">
        <v>331</v>
      </c>
      <c r="T1081" s="8"/>
      <c r="U1081" s="8"/>
      <c r="V1081" s="8"/>
      <c r="W1081" s="8"/>
      <c r="X1081" s="8"/>
      <c r="Y1081" s="8"/>
      <c r="Z1081" s="10" t="s">
        <v>1102</v>
      </c>
      <c r="AA1081" s="8" t="s">
        <v>331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1093</v>
      </c>
      <c r="E1082" s="8" t="s">
        <v>123</v>
      </c>
      <c r="F1082" s="8" t="s">
        <v>2395</v>
      </c>
      <c r="G1082" s="8" t="s">
        <v>1266</v>
      </c>
      <c r="H1082" s="8" t="s">
        <v>1196</v>
      </c>
      <c r="I1082" s="8" t="s">
        <v>1286</v>
      </c>
      <c r="J1082" s="8" t="s">
        <v>1111</v>
      </c>
      <c r="K1082" s="8" t="s">
        <v>1099</v>
      </c>
      <c r="L1082" s="10" t="s">
        <v>1287</v>
      </c>
      <c r="M1082" s="10" t="s">
        <v>1288</v>
      </c>
      <c r="N1082" s="10" t="s">
        <v>1289</v>
      </c>
      <c r="O1082" s="8" t="s">
        <v>321</v>
      </c>
      <c r="P1082" s="8"/>
      <c r="Q1082" s="8">
        <v>16366</v>
      </c>
      <c r="R1082" s="8">
        <v>143510</v>
      </c>
      <c r="S1082" s="8"/>
      <c r="T1082" s="8"/>
      <c r="U1082" s="8" t="s">
        <v>331</v>
      </c>
      <c r="V1082" s="8"/>
      <c r="W1082" s="8"/>
      <c r="X1082" s="8"/>
      <c r="Y1082" s="8"/>
      <c r="Z1082" s="10" t="s">
        <v>1278</v>
      </c>
      <c r="AA1082" s="8" t="s">
        <v>331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1093</v>
      </c>
      <c r="E1083" s="8" t="s">
        <v>123</v>
      </c>
      <c r="F1083" s="8" t="s">
        <v>2395</v>
      </c>
      <c r="G1083" s="8" t="s">
        <v>1196</v>
      </c>
      <c r="H1083" s="8" t="s">
        <v>1279</v>
      </c>
      <c r="I1083" s="8" t="s">
        <v>2316</v>
      </c>
      <c r="J1083" s="8" t="s">
        <v>1111</v>
      </c>
      <c r="K1083" s="8" t="s">
        <v>1099</v>
      </c>
      <c r="L1083" s="10" t="s">
        <v>1293</v>
      </c>
      <c r="M1083" s="10" t="s">
        <v>2317</v>
      </c>
      <c r="N1083" s="10" t="s">
        <v>2318</v>
      </c>
      <c r="O1083" s="8" t="s">
        <v>321</v>
      </c>
      <c r="P1083" s="8"/>
      <c r="Q1083" s="8">
        <v>5983</v>
      </c>
      <c r="R1083" s="8">
        <v>32582</v>
      </c>
      <c r="S1083" s="8"/>
      <c r="T1083" s="8"/>
      <c r="U1083" s="8" t="s">
        <v>331</v>
      </c>
      <c r="V1083" s="8"/>
      <c r="W1083" s="8"/>
      <c r="X1083" s="8"/>
      <c r="Y1083" s="8"/>
      <c r="Z1083" s="10" t="s">
        <v>1278</v>
      </c>
      <c r="AA1083" s="8" t="s">
        <v>331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1093</v>
      </c>
      <c r="E1084" s="8" t="s">
        <v>123</v>
      </c>
      <c r="F1084" s="8" t="s">
        <v>2395</v>
      </c>
      <c r="G1084" s="8" t="s">
        <v>1342</v>
      </c>
      <c r="H1084" s="8" t="s">
        <v>1347</v>
      </c>
      <c r="I1084" s="8" t="s">
        <v>2075</v>
      </c>
      <c r="J1084" s="8" t="s">
        <v>1140</v>
      </c>
      <c r="K1084" s="8" t="s">
        <v>1099</v>
      </c>
      <c r="L1084" s="10" t="s">
        <v>1466</v>
      </c>
      <c r="M1084" s="10" t="s">
        <v>2076</v>
      </c>
      <c r="N1084" s="10" t="s">
        <v>1618</v>
      </c>
      <c r="O1084" s="8" t="s">
        <v>362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2396</v>
      </c>
      <c r="AA1084" s="8" t="s">
        <v>331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1093</v>
      </c>
      <c r="E1085" s="8" t="s">
        <v>123</v>
      </c>
      <c r="F1085" s="8" t="s">
        <v>2386</v>
      </c>
      <c r="G1085" s="8" t="s">
        <v>1120</v>
      </c>
      <c r="H1085" s="8" t="s">
        <v>1343</v>
      </c>
      <c r="I1085" s="8" t="s">
        <v>2320</v>
      </c>
      <c r="J1085" s="8" t="s">
        <v>1140</v>
      </c>
      <c r="K1085" s="8" t="s">
        <v>1099</v>
      </c>
      <c r="L1085" s="10" t="s">
        <v>2321</v>
      </c>
      <c r="M1085" s="10" t="s">
        <v>2341</v>
      </c>
      <c r="N1085" s="10" t="s">
        <v>1413</v>
      </c>
      <c r="O1085" s="8" t="s">
        <v>321</v>
      </c>
      <c r="P1085" s="8"/>
      <c r="Q1085" s="8">
        <v>56</v>
      </c>
      <c r="R1085" s="8">
        <v>400</v>
      </c>
      <c r="S1085" s="8" t="s">
        <v>331</v>
      </c>
      <c r="T1085" s="8"/>
      <c r="U1085" s="8"/>
      <c r="V1085" s="8"/>
      <c r="W1085" s="8"/>
      <c r="X1085" s="8"/>
      <c r="Y1085" s="8"/>
      <c r="Z1085" s="10" t="s">
        <v>1613</v>
      </c>
      <c r="AA1085" s="8" t="s">
        <v>331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1093</v>
      </c>
      <c r="E1086" s="8" t="s">
        <v>123</v>
      </c>
      <c r="F1086" s="8" t="s">
        <v>2395</v>
      </c>
      <c r="G1086" s="8" t="s">
        <v>1149</v>
      </c>
      <c r="H1086" s="8" t="s">
        <v>1297</v>
      </c>
      <c r="I1086" s="8" t="s">
        <v>1349</v>
      </c>
      <c r="J1086" s="8" t="s">
        <v>1193</v>
      </c>
      <c r="K1086" s="8" t="s">
        <v>1099</v>
      </c>
      <c r="L1086" s="10" t="s">
        <v>1350</v>
      </c>
      <c r="M1086" s="10" t="s">
        <v>1351</v>
      </c>
      <c r="N1086" s="10" t="s">
        <v>1352</v>
      </c>
      <c r="O1086" s="8" t="s">
        <v>321</v>
      </c>
      <c r="P1086" s="8"/>
      <c r="Q1086" s="8"/>
      <c r="R1086" s="8">
        <v>155192</v>
      </c>
      <c r="S1086" s="8" t="s">
        <v>331</v>
      </c>
      <c r="T1086" s="8"/>
      <c r="U1086" s="8"/>
      <c r="V1086" s="8"/>
      <c r="W1086" s="8"/>
      <c r="X1086" s="8"/>
      <c r="Y1086" s="8"/>
      <c r="Z1086" s="10" t="s">
        <v>1613</v>
      </c>
      <c r="AA1086" s="8" t="s">
        <v>331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1093</v>
      </c>
      <c r="E1087" s="8" t="s">
        <v>123</v>
      </c>
      <c r="F1087" s="8" t="s">
        <v>2395</v>
      </c>
      <c r="G1087" s="8" t="s">
        <v>1297</v>
      </c>
      <c r="H1087" s="8" t="s">
        <v>1317</v>
      </c>
      <c r="I1087" s="8" t="s">
        <v>1356</v>
      </c>
      <c r="J1087" s="8" t="s">
        <v>1193</v>
      </c>
      <c r="K1087" s="8" t="s">
        <v>1099</v>
      </c>
      <c r="L1087" s="10" t="s">
        <v>1350</v>
      </c>
      <c r="M1087" s="10" t="s">
        <v>1357</v>
      </c>
      <c r="N1087" s="10" t="s">
        <v>1358</v>
      </c>
      <c r="O1087" s="8" t="s">
        <v>1106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1613</v>
      </c>
      <c r="AA1087" s="8" t="s">
        <v>331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1093</v>
      </c>
      <c r="E1088" s="8" t="s">
        <v>123</v>
      </c>
      <c r="F1088" s="8" t="s">
        <v>2395</v>
      </c>
      <c r="G1088" s="8" t="s">
        <v>1279</v>
      </c>
      <c r="H1088" s="8" t="s">
        <v>1149</v>
      </c>
      <c r="I1088" s="8" t="s">
        <v>1403</v>
      </c>
      <c r="J1088" s="8" t="s">
        <v>1204</v>
      </c>
      <c r="K1088" s="8" t="s">
        <v>1099</v>
      </c>
      <c r="L1088" s="10" t="s">
        <v>1404</v>
      </c>
      <c r="M1088" s="10" t="s">
        <v>1405</v>
      </c>
      <c r="N1088" s="10" t="s">
        <v>1406</v>
      </c>
      <c r="O1088" s="8" t="s">
        <v>321</v>
      </c>
      <c r="P1088" s="8"/>
      <c r="Q1088" s="8">
        <v>28805</v>
      </c>
      <c r="R1088" s="8">
        <v>28881</v>
      </c>
      <c r="S1088" s="8"/>
      <c r="T1088" s="8"/>
      <c r="U1088" s="8" t="s">
        <v>331</v>
      </c>
      <c r="V1088" s="8"/>
      <c r="W1088" s="8"/>
      <c r="X1088" s="8"/>
      <c r="Y1088" s="8"/>
      <c r="Z1088" s="10" t="s">
        <v>1278</v>
      </c>
      <c r="AA1088" s="8" t="s">
        <v>331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1093</v>
      </c>
      <c r="E1089" s="8" t="s">
        <v>128</v>
      </c>
      <c r="F1089" s="8" t="s">
        <v>2386</v>
      </c>
      <c r="G1089" s="8" t="s">
        <v>1574</v>
      </c>
      <c r="H1089" s="8" t="s">
        <v>2121</v>
      </c>
      <c r="I1089" s="8" t="s">
        <v>2391</v>
      </c>
      <c r="J1089" s="8" t="s">
        <v>1140</v>
      </c>
      <c r="K1089" s="8" t="s">
        <v>1099</v>
      </c>
      <c r="L1089" s="10" t="s">
        <v>2392</v>
      </c>
      <c r="M1089" s="10" t="s">
        <v>2393</v>
      </c>
      <c r="N1089" s="10" t="s">
        <v>2394</v>
      </c>
      <c r="O1089" s="8" t="s">
        <v>1106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1102</v>
      </c>
      <c r="AA1089" s="8" t="s">
        <v>331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1093</v>
      </c>
      <c r="E1090" s="8" t="s">
        <v>123</v>
      </c>
      <c r="F1090" s="8" t="s">
        <v>2397</v>
      </c>
      <c r="G1090" s="8" t="s">
        <v>1297</v>
      </c>
      <c r="H1090" s="8" t="s">
        <v>1317</v>
      </c>
      <c r="I1090" s="8" t="s">
        <v>1281</v>
      </c>
      <c r="J1090" s="8" t="s">
        <v>1111</v>
      </c>
      <c r="K1090" s="8" t="s">
        <v>1099</v>
      </c>
      <c r="L1090" s="10" t="s">
        <v>1282</v>
      </c>
      <c r="M1090" s="10" t="s">
        <v>1283</v>
      </c>
      <c r="N1090" s="10"/>
      <c r="O1090" s="8" t="s">
        <v>321</v>
      </c>
      <c r="P1090" s="8"/>
      <c r="Q1090" s="8">
        <v>2150</v>
      </c>
      <c r="R1090" s="8">
        <v>43000</v>
      </c>
      <c r="S1090" s="8" t="s">
        <v>331</v>
      </c>
      <c r="T1090" s="8"/>
      <c r="U1090" s="8"/>
      <c r="V1090" s="8"/>
      <c r="W1090" s="8"/>
      <c r="X1090" s="8"/>
      <c r="Y1090" s="8"/>
      <c r="Z1090" s="10" t="s">
        <v>1613</v>
      </c>
      <c r="AA1090" s="8" t="s">
        <v>331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1093</v>
      </c>
      <c r="E1091" s="8" t="s">
        <v>123</v>
      </c>
      <c r="F1091" s="8" t="s">
        <v>2397</v>
      </c>
      <c r="G1091" s="8" t="s">
        <v>1279</v>
      </c>
      <c r="H1091" s="8" t="s">
        <v>1149</v>
      </c>
      <c r="I1091" s="8" t="s">
        <v>1606</v>
      </c>
      <c r="J1091" s="8" t="s">
        <v>1140</v>
      </c>
      <c r="K1091" s="8" t="s">
        <v>1099</v>
      </c>
      <c r="L1091" s="10" t="s">
        <v>1260</v>
      </c>
      <c r="M1091" s="10" t="s">
        <v>1261</v>
      </c>
      <c r="N1091" s="10" t="s">
        <v>1413</v>
      </c>
      <c r="O1091" s="8" t="s">
        <v>321</v>
      </c>
      <c r="P1091" s="8"/>
      <c r="Q1091" s="8">
        <v>900</v>
      </c>
      <c r="R1091" s="8">
        <v>13500</v>
      </c>
      <c r="S1091" s="8" t="s">
        <v>331</v>
      </c>
      <c r="T1091" s="8"/>
      <c r="U1091" s="8"/>
      <c r="V1091" s="8"/>
      <c r="W1091" s="8"/>
      <c r="X1091" s="8"/>
      <c r="Y1091" s="8"/>
      <c r="Z1091" s="10" t="s">
        <v>1613</v>
      </c>
      <c r="AA1091" s="8" t="s">
        <v>331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1093</v>
      </c>
      <c r="E1092" s="8" t="s">
        <v>123</v>
      </c>
      <c r="F1092" s="8" t="s">
        <v>2397</v>
      </c>
      <c r="G1092" s="8" t="s">
        <v>1149</v>
      </c>
      <c r="H1092" s="8" t="s">
        <v>1297</v>
      </c>
      <c r="I1092" s="8" t="s">
        <v>1363</v>
      </c>
      <c r="J1092" s="8" t="s">
        <v>1193</v>
      </c>
      <c r="K1092" s="8" t="s">
        <v>1099</v>
      </c>
      <c r="L1092" s="10" t="s">
        <v>1364</v>
      </c>
      <c r="M1092" s="10" t="s">
        <v>1365</v>
      </c>
      <c r="N1092" s="10"/>
      <c r="O1092" s="8" t="s">
        <v>321</v>
      </c>
      <c r="P1092" s="8"/>
      <c r="Q1092" s="8"/>
      <c r="R1092" s="8">
        <v>50000</v>
      </c>
      <c r="S1092" s="8" t="s">
        <v>331</v>
      </c>
      <c r="T1092" s="8"/>
      <c r="U1092" s="8"/>
      <c r="V1092" s="8"/>
      <c r="W1092" s="8"/>
      <c r="X1092" s="8"/>
      <c r="Y1092" s="8"/>
      <c r="Z1092" s="10" t="s">
        <v>1613</v>
      </c>
      <c r="AA1092" s="8" t="s">
        <v>331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1093</v>
      </c>
      <c r="E1093" s="8" t="s">
        <v>123</v>
      </c>
      <c r="F1093" s="8" t="s">
        <v>2397</v>
      </c>
      <c r="G1093" s="8" t="s">
        <v>1196</v>
      </c>
      <c r="H1093" s="8" t="s">
        <v>1279</v>
      </c>
      <c r="I1093" s="8" t="s">
        <v>1452</v>
      </c>
      <c r="J1093" s="8" t="s">
        <v>1214</v>
      </c>
      <c r="K1093" s="8" t="s">
        <v>1099</v>
      </c>
      <c r="L1093" s="10" t="s">
        <v>1453</v>
      </c>
      <c r="M1093" s="10" t="s">
        <v>1454</v>
      </c>
      <c r="N1093" s="10"/>
      <c r="O1093" s="8" t="s">
        <v>321</v>
      </c>
      <c r="P1093" s="8"/>
      <c r="Q1093" s="8"/>
      <c r="R1093" s="8">
        <v>140018</v>
      </c>
      <c r="S1093" s="8" t="s">
        <v>331</v>
      </c>
      <c r="T1093" s="8"/>
      <c r="U1093" s="8"/>
      <c r="V1093" s="8"/>
      <c r="W1093" s="8"/>
      <c r="X1093" s="8"/>
      <c r="Y1093" s="8"/>
      <c r="Z1093" s="10" t="s">
        <v>1613</v>
      </c>
      <c r="AA1093" s="8" t="s">
        <v>331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1093</v>
      </c>
      <c r="E1094" s="8" t="s">
        <v>123</v>
      </c>
      <c r="F1094" s="8" t="s">
        <v>2397</v>
      </c>
      <c r="G1094" s="8" t="s">
        <v>1266</v>
      </c>
      <c r="H1094" s="8" t="s">
        <v>1196</v>
      </c>
      <c r="I1094" s="8" t="s">
        <v>1895</v>
      </c>
      <c r="J1094" s="8" t="s">
        <v>1217</v>
      </c>
      <c r="K1094" s="8" t="s">
        <v>1099</v>
      </c>
      <c r="L1094" s="10" t="s">
        <v>2398</v>
      </c>
      <c r="M1094" s="10" t="s">
        <v>1897</v>
      </c>
      <c r="N1094" s="10" t="s">
        <v>1413</v>
      </c>
      <c r="O1094" s="8" t="s">
        <v>321</v>
      </c>
      <c r="P1094" s="8"/>
      <c r="Q1094" s="8">
        <v>3480</v>
      </c>
      <c r="R1094" s="8">
        <v>8923</v>
      </c>
      <c r="S1094" s="8" t="s">
        <v>331</v>
      </c>
      <c r="T1094" s="8"/>
      <c r="U1094" s="8"/>
      <c r="V1094" s="8"/>
      <c r="W1094" s="8"/>
      <c r="X1094" s="8"/>
      <c r="Y1094" s="8"/>
      <c r="Z1094" s="10" t="s">
        <v>1613</v>
      </c>
      <c r="AA1094" s="8" t="s">
        <v>331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1093</v>
      </c>
      <c r="E1095" s="8" t="s">
        <v>139</v>
      </c>
      <c r="F1095" s="8" t="s">
        <v>2397</v>
      </c>
      <c r="G1095" s="8" t="s">
        <v>1273</v>
      </c>
      <c r="H1095" s="8" t="s">
        <v>1684</v>
      </c>
      <c r="I1095" s="8" t="s">
        <v>2399</v>
      </c>
      <c r="J1095" s="8" t="s">
        <v>1514</v>
      </c>
      <c r="K1095" s="8" t="s">
        <v>1496</v>
      </c>
      <c r="L1095" s="10" t="s">
        <v>1515</v>
      </c>
      <c r="M1095" s="10" t="s">
        <v>1964</v>
      </c>
      <c r="N1095" s="10" t="s">
        <v>2400</v>
      </c>
      <c r="O1095" s="8" t="s">
        <v>362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2401</v>
      </c>
      <c r="AA1095" s="8" t="s">
        <v>331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1093</v>
      </c>
      <c r="E1096" s="8" t="s">
        <v>123</v>
      </c>
      <c r="F1096" s="8" t="s">
        <v>2395</v>
      </c>
      <c r="G1096" s="8" t="s">
        <v>1297</v>
      </c>
      <c r="H1096" s="8" t="s">
        <v>1317</v>
      </c>
      <c r="I1096" s="8" t="s">
        <v>1356</v>
      </c>
      <c r="J1096" s="8" t="s">
        <v>1193</v>
      </c>
      <c r="K1096" s="8" t="s">
        <v>1099</v>
      </c>
      <c r="L1096" s="10" t="s">
        <v>1350</v>
      </c>
      <c r="M1096" s="10" t="s">
        <v>1357</v>
      </c>
      <c r="N1096" s="10" t="s">
        <v>1358</v>
      </c>
      <c r="O1096" s="8" t="s">
        <v>321</v>
      </c>
      <c r="P1096" s="8"/>
      <c r="Q1096" s="8"/>
      <c r="R1096" s="8">
        <v>140987</v>
      </c>
      <c r="S1096" s="8" t="s">
        <v>331</v>
      </c>
      <c r="T1096" s="8"/>
      <c r="U1096" s="8"/>
      <c r="V1096" s="8"/>
      <c r="W1096" s="8"/>
      <c r="X1096" s="8"/>
      <c r="Y1096" s="8"/>
      <c r="Z1096" s="10" t="s">
        <v>1613</v>
      </c>
      <c r="AA1096" s="8" t="s">
        <v>331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1093</v>
      </c>
      <c r="E1097" s="8" t="s">
        <v>123</v>
      </c>
      <c r="F1097" s="8" t="s">
        <v>2397</v>
      </c>
      <c r="G1097" s="8" t="s">
        <v>1343</v>
      </c>
      <c r="H1097" s="8" t="s">
        <v>1302</v>
      </c>
      <c r="I1097" s="8" t="s">
        <v>1368</v>
      </c>
      <c r="J1097" s="8" t="s">
        <v>1193</v>
      </c>
      <c r="K1097" s="8" t="s">
        <v>1099</v>
      </c>
      <c r="L1097" s="10" t="s">
        <v>1170</v>
      </c>
      <c r="M1097" s="10" t="s">
        <v>1369</v>
      </c>
      <c r="N1097" s="10" t="s">
        <v>1863</v>
      </c>
      <c r="O1097" s="8" t="s">
        <v>321</v>
      </c>
      <c r="P1097" s="8"/>
      <c r="Q1097" s="8"/>
      <c r="R1097" s="8">
        <v>10255</v>
      </c>
      <c r="S1097" s="8"/>
      <c r="T1097" s="8"/>
      <c r="U1097" s="8" t="s">
        <v>331</v>
      </c>
      <c r="V1097" s="8"/>
      <c r="W1097" s="8"/>
      <c r="X1097" s="8"/>
      <c r="Y1097" s="8"/>
      <c r="Z1097" s="10" t="s">
        <v>1278</v>
      </c>
      <c r="AA1097" s="8" t="s">
        <v>331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1093</v>
      </c>
      <c r="E1098" s="8" t="s">
        <v>123</v>
      </c>
      <c r="F1098" s="8" t="s">
        <v>2395</v>
      </c>
      <c r="G1098" s="8" t="s">
        <v>1166</v>
      </c>
      <c r="H1098" s="8" t="s">
        <v>1120</v>
      </c>
      <c r="I1098" s="8" t="s">
        <v>1377</v>
      </c>
      <c r="J1098" s="8" t="s">
        <v>1193</v>
      </c>
      <c r="K1098" s="8" t="s">
        <v>1099</v>
      </c>
      <c r="L1098" s="10" t="s">
        <v>1378</v>
      </c>
      <c r="M1098" s="10" t="s">
        <v>1379</v>
      </c>
      <c r="N1098" s="10" t="s">
        <v>1380</v>
      </c>
      <c r="O1098" s="8" t="s">
        <v>1106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1613</v>
      </c>
      <c r="AA1098" s="8" t="s">
        <v>331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1093</v>
      </c>
      <c r="E1099" s="8" t="s">
        <v>123</v>
      </c>
      <c r="F1099" s="8" t="s">
        <v>2395</v>
      </c>
      <c r="G1099" s="8" t="s">
        <v>1302</v>
      </c>
      <c r="H1099" s="8" t="s">
        <v>1303</v>
      </c>
      <c r="I1099" s="8" t="s">
        <v>1422</v>
      </c>
      <c r="J1099" s="8" t="s">
        <v>1214</v>
      </c>
      <c r="K1099" s="8" t="s">
        <v>1099</v>
      </c>
      <c r="L1099" s="10" t="s">
        <v>1378</v>
      </c>
      <c r="M1099" s="10" t="s">
        <v>1423</v>
      </c>
      <c r="N1099" s="10" t="s">
        <v>1424</v>
      </c>
      <c r="O1099" s="8" t="s">
        <v>1106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1613</v>
      </c>
      <c r="AA1099" s="8" t="s">
        <v>331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1093</v>
      </c>
      <c r="E1100" s="8" t="s">
        <v>123</v>
      </c>
      <c r="F1100" s="8" t="s">
        <v>2397</v>
      </c>
      <c r="G1100" s="8" t="s">
        <v>1120</v>
      </c>
      <c r="H1100" s="8" t="s">
        <v>1343</v>
      </c>
      <c r="I1100" s="8" t="s">
        <v>1484</v>
      </c>
      <c r="J1100" s="8" t="s">
        <v>1479</v>
      </c>
      <c r="K1100" s="8" t="s">
        <v>1099</v>
      </c>
      <c r="L1100" s="10" t="s">
        <v>1170</v>
      </c>
      <c r="M1100" s="10" t="s">
        <v>1463</v>
      </c>
      <c r="N1100" s="10" t="s">
        <v>1485</v>
      </c>
      <c r="O1100" s="8" t="s">
        <v>321</v>
      </c>
      <c r="P1100" s="8"/>
      <c r="Q1100" s="8"/>
      <c r="R1100" s="8">
        <v>12160</v>
      </c>
      <c r="S1100" s="8"/>
      <c r="T1100" s="8"/>
      <c r="U1100" s="8" t="s">
        <v>331</v>
      </c>
      <c r="V1100" s="8"/>
      <c r="W1100" s="8"/>
      <c r="X1100" s="8"/>
      <c r="Y1100" s="8"/>
      <c r="Z1100" s="10" t="s">
        <v>1278</v>
      </c>
      <c r="AA1100" s="8" t="s">
        <v>331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1093</v>
      </c>
      <c r="E1101" s="8" t="s">
        <v>123</v>
      </c>
      <c r="F1101" s="8" t="s">
        <v>2397</v>
      </c>
      <c r="G1101" s="8" t="s">
        <v>1166</v>
      </c>
      <c r="H1101" s="8" t="s">
        <v>1120</v>
      </c>
      <c r="I1101" s="8" t="s">
        <v>1487</v>
      </c>
      <c r="J1101" s="8" t="s">
        <v>1479</v>
      </c>
      <c r="K1101" s="8" t="s">
        <v>1099</v>
      </c>
      <c r="L1101" s="10" t="s">
        <v>1170</v>
      </c>
      <c r="M1101" s="10" t="s">
        <v>1463</v>
      </c>
      <c r="N1101" s="10" t="s">
        <v>1488</v>
      </c>
      <c r="O1101" s="8" t="s">
        <v>321</v>
      </c>
      <c r="P1101" s="8"/>
      <c r="Q1101" s="8"/>
      <c r="R1101" s="8">
        <v>87781</v>
      </c>
      <c r="S1101" s="8"/>
      <c r="T1101" s="8"/>
      <c r="U1101" s="8" t="s">
        <v>331</v>
      </c>
      <c r="V1101" s="8"/>
      <c r="W1101" s="8"/>
      <c r="X1101" s="8"/>
      <c r="Y1101" s="8"/>
      <c r="Z1101" s="10" t="s">
        <v>1278</v>
      </c>
      <c r="AA1101" s="8" t="s">
        <v>331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1093</v>
      </c>
      <c r="E1102" s="8" t="s">
        <v>123</v>
      </c>
      <c r="F1102" s="8" t="s">
        <v>2397</v>
      </c>
      <c r="G1102" s="8" t="s">
        <v>1284</v>
      </c>
      <c r="H1102" s="8" t="s">
        <v>1166</v>
      </c>
      <c r="I1102" s="8" t="s">
        <v>2367</v>
      </c>
      <c r="J1102" s="8" t="s">
        <v>1479</v>
      </c>
      <c r="K1102" s="8" t="s">
        <v>1099</v>
      </c>
      <c r="L1102" s="10" t="s">
        <v>1170</v>
      </c>
      <c r="M1102" s="10" t="s">
        <v>1463</v>
      </c>
      <c r="N1102" s="10" t="s">
        <v>1664</v>
      </c>
      <c r="O1102" s="8" t="s">
        <v>321</v>
      </c>
      <c r="P1102" s="8"/>
      <c r="Q1102" s="8"/>
      <c r="R1102" s="8">
        <v>47607</v>
      </c>
      <c r="S1102" s="8"/>
      <c r="T1102" s="8"/>
      <c r="U1102" s="8" t="s">
        <v>331</v>
      </c>
      <c r="V1102" s="8"/>
      <c r="W1102" s="8"/>
      <c r="X1102" s="8"/>
      <c r="Y1102" s="8"/>
      <c r="Z1102" s="10" t="s">
        <v>1278</v>
      </c>
      <c r="AA1102" s="8" t="s">
        <v>331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1093</v>
      </c>
      <c r="E1103" s="8" t="s">
        <v>123</v>
      </c>
      <c r="F1103" s="8" t="s">
        <v>2402</v>
      </c>
      <c r="G1103" s="8" t="s">
        <v>1149</v>
      </c>
      <c r="H1103" s="8" t="s">
        <v>1297</v>
      </c>
      <c r="I1103" s="8" t="s">
        <v>1298</v>
      </c>
      <c r="J1103" s="8" t="s">
        <v>1140</v>
      </c>
      <c r="K1103" s="8" t="s">
        <v>1099</v>
      </c>
      <c r="L1103" s="10" t="s">
        <v>1299</v>
      </c>
      <c r="M1103" s="10" t="s">
        <v>1300</v>
      </c>
      <c r="N1103" s="10" t="s">
        <v>1301</v>
      </c>
      <c r="O1103" s="8" t="s">
        <v>321</v>
      </c>
      <c r="P1103" s="8">
        <v>6677</v>
      </c>
      <c r="Q1103" s="8">
        <v>15120</v>
      </c>
      <c r="R1103" s="8">
        <v>19337</v>
      </c>
      <c r="S1103" s="8" t="s">
        <v>331</v>
      </c>
      <c r="T1103" s="8"/>
      <c r="U1103" s="8"/>
      <c r="V1103" s="8"/>
      <c r="W1103" s="8"/>
      <c r="X1103" s="8"/>
      <c r="Y1103" s="8"/>
      <c r="Z1103" s="10" t="s">
        <v>1613</v>
      </c>
      <c r="AA1103" s="8" t="s">
        <v>331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1093</v>
      </c>
      <c r="E1104" s="8" t="s">
        <v>123</v>
      </c>
      <c r="F1104" s="8" t="s">
        <v>2402</v>
      </c>
      <c r="G1104" s="8" t="s">
        <v>1279</v>
      </c>
      <c r="H1104" s="8" t="s">
        <v>1149</v>
      </c>
      <c r="I1104" s="8" t="s">
        <v>1600</v>
      </c>
      <c r="J1104" s="8" t="s">
        <v>1140</v>
      </c>
      <c r="K1104" s="8" t="s">
        <v>1099</v>
      </c>
      <c r="L1104" s="10" t="s">
        <v>1299</v>
      </c>
      <c r="M1104" s="10" t="s">
        <v>1601</v>
      </c>
      <c r="N1104" s="10" t="s">
        <v>1602</v>
      </c>
      <c r="O1104" s="8" t="s">
        <v>321</v>
      </c>
      <c r="P1104" s="8">
        <v>1800</v>
      </c>
      <c r="Q1104" s="8">
        <v>2596</v>
      </c>
      <c r="R1104" s="8">
        <v>7150</v>
      </c>
      <c r="S1104" s="8" t="s">
        <v>331</v>
      </c>
      <c r="T1104" s="8"/>
      <c r="U1104" s="8"/>
      <c r="V1104" s="8"/>
      <c r="W1104" s="8"/>
      <c r="X1104" s="8"/>
      <c r="Y1104" s="8"/>
      <c r="Z1104" s="10" t="s">
        <v>1613</v>
      </c>
      <c r="AA1104" s="8" t="s">
        <v>331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1093</v>
      </c>
      <c r="E1105" s="8" t="s">
        <v>123</v>
      </c>
      <c r="F1105" s="8" t="s">
        <v>2402</v>
      </c>
      <c r="G1105" s="8" t="s">
        <v>1342</v>
      </c>
      <c r="H1105" s="8" t="s">
        <v>1347</v>
      </c>
      <c r="I1105" s="8" t="s">
        <v>1857</v>
      </c>
      <c r="J1105" s="8" t="s">
        <v>1140</v>
      </c>
      <c r="K1105" s="8" t="s">
        <v>1099</v>
      </c>
      <c r="L1105" s="10" t="s">
        <v>1299</v>
      </c>
      <c r="M1105" s="10" t="s">
        <v>1858</v>
      </c>
      <c r="N1105" s="10" t="s">
        <v>1859</v>
      </c>
      <c r="O1105" s="8" t="s">
        <v>321</v>
      </c>
      <c r="P1105" s="8">
        <v>117</v>
      </c>
      <c r="Q1105" s="8">
        <v>926</v>
      </c>
      <c r="R1105" s="8">
        <v>3189</v>
      </c>
      <c r="S1105" s="8" t="s">
        <v>331</v>
      </c>
      <c r="T1105" s="8"/>
      <c r="U1105" s="8"/>
      <c r="V1105" s="8"/>
      <c r="W1105" s="8"/>
      <c r="X1105" s="8"/>
      <c r="Y1105" s="8"/>
      <c r="Z1105" s="10" t="s">
        <v>1613</v>
      </c>
      <c r="AA1105" s="8" t="s">
        <v>331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1093</v>
      </c>
      <c r="E1106" s="8" t="s">
        <v>123</v>
      </c>
      <c r="F1106" s="8" t="s">
        <v>2386</v>
      </c>
      <c r="G1106" s="8" t="s">
        <v>1120</v>
      </c>
      <c r="H1106" s="8" t="s">
        <v>1343</v>
      </c>
      <c r="I1106" s="8" t="s">
        <v>2320</v>
      </c>
      <c r="J1106" s="8" t="s">
        <v>1140</v>
      </c>
      <c r="K1106" s="8" t="s">
        <v>1099</v>
      </c>
      <c r="L1106" s="10" t="s">
        <v>2321</v>
      </c>
      <c r="M1106" s="10" t="s">
        <v>2341</v>
      </c>
      <c r="N1106" s="10" t="s">
        <v>1413</v>
      </c>
      <c r="O1106" s="8" t="s">
        <v>1106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1613</v>
      </c>
      <c r="AA1106" s="8" t="s">
        <v>331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1093</v>
      </c>
      <c r="E1107" s="8" t="s">
        <v>123</v>
      </c>
      <c r="F1107" s="8" t="s">
        <v>2402</v>
      </c>
      <c r="G1107" s="8" t="s">
        <v>1197</v>
      </c>
      <c r="H1107" s="8" t="s">
        <v>1279</v>
      </c>
      <c r="I1107" s="8" t="s">
        <v>1368</v>
      </c>
      <c r="J1107" s="8" t="s">
        <v>1193</v>
      </c>
      <c r="K1107" s="8" t="s">
        <v>1099</v>
      </c>
      <c r="L1107" s="10" t="s">
        <v>1170</v>
      </c>
      <c r="M1107" s="10" t="s">
        <v>1369</v>
      </c>
      <c r="N1107" s="10" t="s">
        <v>1863</v>
      </c>
      <c r="O1107" s="8" t="s">
        <v>321</v>
      </c>
      <c r="P1107" s="8"/>
      <c r="Q1107" s="8"/>
      <c r="R1107" s="8">
        <v>10255</v>
      </c>
      <c r="S1107" s="8"/>
      <c r="T1107" s="8"/>
      <c r="U1107" s="8" t="s">
        <v>331</v>
      </c>
      <c r="V1107" s="8"/>
      <c r="W1107" s="8"/>
      <c r="X1107" s="8"/>
      <c r="Y1107" s="8"/>
      <c r="Z1107" s="10" t="s">
        <v>1278</v>
      </c>
      <c r="AA1107" s="8" t="s">
        <v>331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1093</v>
      </c>
      <c r="E1108" s="8" t="s">
        <v>123</v>
      </c>
      <c r="F1108" s="8" t="s">
        <v>2402</v>
      </c>
      <c r="G1108" s="8" t="s">
        <v>1196</v>
      </c>
      <c r="H1108" s="8" t="s">
        <v>1197</v>
      </c>
      <c r="I1108" s="8" t="s">
        <v>1484</v>
      </c>
      <c r="J1108" s="8" t="s">
        <v>1479</v>
      </c>
      <c r="K1108" s="8" t="s">
        <v>1099</v>
      </c>
      <c r="L1108" s="10" t="s">
        <v>1170</v>
      </c>
      <c r="M1108" s="10" t="s">
        <v>1463</v>
      </c>
      <c r="N1108" s="10" t="s">
        <v>1485</v>
      </c>
      <c r="O1108" s="8" t="s">
        <v>321</v>
      </c>
      <c r="P1108" s="8"/>
      <c r="Q1108" s="8"/>
      <c r="R1108" s="8">
        <v>12160</v>
      </c>
      <c r="S1108" s="8"/>
      <c r="T1108" s="8"/>
      <c r="U1108" s="8" t="s">
        <v>331</v>
      </c>
      <c r="V1108" s="8"/>
      <c r="W1108" s="8"/>
      <c r="X1108" s="8"/>
      <c r="Y1108" s="8"/>
      <c r="Z1108" s="10" t="s">
        <v>1278</v>
      </c>
      <c r="AA1108" s="8" t="s">
        <v>331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1093</v>
      </c>
      <c r="E1109" s="8" t="s">
        <v>123</v>
      </c>
      <c r="F1109" s="8" t="s">
        <v>2402</v>
      </c>
      <c r="G1109" s="8" t="s">
        <v>1312</v>
      </c>
      <c r="H1109" s="8" t="s">
        <v>1196</v>
      </c>
      <c r="I1109" s="8" t="s">
        <v>1487</v>
      </c>
      <c r="J1109" s="8" t="s">
        <v>1479</v>
      </c>
      <c r="K1109" s="8" t="s">
        <v>1099</v>
      </c>
      <c r="L1109" s="10" t="s">
        <v>1170</v>
      </c>
      <c r="M1109" s="10" t="s">
        <v>1463</v>
      </c>
      <c r="N1109" s="10" t="s">
        <v>1488</v>
      </c>
      <c r="O1109" s="8" t="s">
        <v>321</v>
      </c>
      <c r="P1109" s="8"/>
      <c r="Q1109" s="8"/>
      <c r="R1109" s="8">
        <v>87781</v>
      </c>
      <c r="S1109" s="8"/>
      <c r="T1109" s="8"/>
      <c r="U1109" s="8" t="s">
        <v>331</v>
      </c>
      <c r="V1109" s="8"/>
      <c r="W1109" s="8"/>
      <c r="X1109" s="8"/>
      <c r="Y1109" s="8"/>
      <c r="Z1109" s="10" t="s">
        <v>1278</v>
      </c>
      <c r="AA1109" s="8" t="s">
        <v>331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1093</v>
      </c>
      <c r="E1110" s="8" t="s">
        <v>123</v>
      </c>
      <c r="F1110" s="8" t="s">
        <v>2402</v>
      </c>
      <c r="G1110" s="8" t="s">
        <v>1266</v>
      </c>
      <c r="H1110" s="8" t="s">
        <v>1312</v>
      </c>
      <c r="I1110" s="8" t="s">
        <v>2367</v>
      </c>
      <c r="J1110" s="8" t="s">
        <v>1479</v>
      </c>
      <c r="K1110" s="8" t="s">
        <v>1099</v>
      </c>
      <c r="L1110" s="10" t="s">
        <v>1170</v>
      </c>
      <c r="M1110" s="10" t="s">
        <v>1463</v>
      </c>
      <c r="N1110" s="10" t="s">
        <v>1664</v>
      </c>
      <c r="O1110" s="8" t="s">
        <v>321</v>
      </c>
      <c r="P1110" s="8"/>
      <c r="Q1110" s="8"/>
      <c r="R1110" s="8">
        <v>47607</v>
      </c>
      <c r="S1110" s="8"/>
      <c r="T1110" s="8"/>
      <c r="U1110" s="8" t="s">
        <v>331</v>
      </c>
      <c r="V1110" s="8"/>
      <c r="W1110" s="8"/>
      <c r="X1110" s="8"/>
      <c r="Y1110" s="8"/>
      <c r="Z1110" s="10" t="s">
        <v>1278</v>
      </c>
      <c r="AA1110" s="8" t="s">
        <v>331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1093</v>
      </c>
      <c r="E1111" s="8" t="s">
        <v>123</v>
      </c>
      <c r="F1111" s="8" t="s">
        <v>2403</v>
      </c>
      <c r="G1111" s="8" t="s">
        <v>1166</v>
      </c>
      <c r="H1111" s="8" t="s">
        <v>2404</v>
      </c>
      <c r="I1111" s="8" t="s">
        <v>2320</v>
      </c>
      <c r="J1111" s="8" t="s">
        <v>1140</v>
      </c>
      <c r="K1111" s="8" t="s">
        <v>1099</v>
      </c>
      <c r="L1111" s="10" t="s">
        <v>2321</v>
      </c>
      <c r="M1111" s="10" t="s">
        <v>2341</v>
      </c>
      <c r="N1111" s="10" t="s">
        <v>1413</v>
      </c>
      <c r="O1111" s="8" t="s">
        <v>362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2405</v>
      </c>
      <c r="AA1111" s="8" t="s">
        <v>331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1093</v>
      </c>
      <c r="E1112" s="8" t="s">
        <v>123</v>
      </c>
      <c r="F1112" s="8" t="s">
        <v>2403</v>
      </c>
      <c r="G1112" s="8" t="s">
        <v>1279</v>
      </c>
      <c r="H1112" s="8" t="s">
        <v>1149</v>
      </c>
      <c r="I1112" s="8" t="s">
        <v>1338</v>
      </c>
      <c r="J1112" s="8" t="s">
        <v>1169</v>
      </c>
      <c r="K1112" s="8" t="s">
        <v>1099</v>
      </c>
      <c r="L1112" s="10" t="s">
        <v>1186</v>
      </c>
      <c r="M1112" s="10" t="s">
        <v>1339</v>
      </c>
      <c r="N1112" s="10" t="s">
        <v>1340</v>
      </c>
      <c r="O1112" s="8" t="s">
        <v>321</v>
      </c>
      <c r="P1112" s="8"/>
      <c r="Q1112" s="8"/>
      <c r="R1112" s="8">
        <v>47953</v>
      </c>
      <c r="S1112" s="8" t="s">
        <v>331</v>
      </c>
      <c r="T1112" s="8"/>
      <c r="U1112" s="8"/>
      <c r="V1112" s="8"/>
      <c r="W1112" s="8"/>
      <c r="X1112" s="8"/>
      <c r="Y1112" s="8"/>
      <c r="Z1112" s="10" t="s">
        <v>1613</v>
      </c>
      <c r="AA1112" s="8" t="s">
        <v>331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1093</v>
      </c>
      <c r="E1113" s="8" t="s">
        <v>123</v>
      </c>
      <c r="F1113" s="8" t="s">
        <v>2403</v>
      </c>
      <c r="G1113" s="8" t="s">
        <v>1196</v>
      </c>
      <c r="H1113" s="8" t="s">
        <v>1279</v>
      </c>
      <c r="I1113" s="8" t="s">
        <v>1344</v>
      </c>
      <c r="J1113" s="8" t="s">
        <v>1169</v>
      </c>
      <c r="K1113" s="8" t="s">
        <v>1099</v>
      </c>
      <c r="L1113" s="10" t="s">
        <v>1186</v>
      </c>
      <c r="M1113" s="10" t="s">
        <v>1345</v>
      </c>
      <c r="N1113" s="10" t="s">
        <v>1346</v>
      </c>
      <c r="O1113" s="8" t="s">
        <v>1106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1613</v>
      </c>
      <c r="AA1113" s="8" t="s">
        <v>331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1093</v>
      </c>
      <c r="E1114" s="8" t="s">
        <v>123</v>
      </c>
      <c r="F1114" s="8" t="s">
        <v>2403</v>
      </c>
      <c r="G1114" s="8" t="s">
        <v>1266</v>
      </c>
      <c r="H1114" s="8" t="s">
        <v>1196</v>
      </c>
      <c r="I1114" s="8" t="s">
        <v>2088</v>
      </c>
      <c r="J1114" s="8" t="s">
        <v>1193</v>
      </c>
      <c r="K1114" s="8" t="s">
        <v>1099</v>
      </c>
      <c r="L1114" s="10" t="s">
        <v>1186</v>
      </c>
      <c r="M1114" s="10" t="s">
        <v>1412</v>
      </c>
      <c r="N1114" s="10" t="s">
        <v>1413</v>
      </c>
      <c r="O1114" s="8" t="s">
        <v>321</v>
      </c>
      <c r="P1114" s="8"/>
      <c r="Q1114" s="8"/>
      <c r="R1114" s="8">
        <v>3516</v>
      </c>
      <c r="S1114" s="8" t="s">
        <v>331</v>
      </c>
      <c r="T1114" s="8"/>
      <c r="U1114" s="8"/>
      <c r="V1114" s="8"/>
      <c r="W1114" s="8"/>
      <c r="X1114" s="8"/>
      <c r="Y1114" s="8"/>
      <c r="Z1114" s="10" t="s">
        <v>1613</v>
      </c>
      <c r="AA1114" s="8" t="s">
        <v>331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1093</v>
      </c>
      <c r="E1115" s="8" t="s">
        <v>123</v>
      </c>
      <c r="F1115" s="8" t="s">
        <v>2403</v>
      </c>
      <c r="G1115" s="8" t="s">
        <v>1347</v>
      </c>
      <c r="H1115" s="8" t="s">
        <v>1348</v>
      </c>
      <c r="I1115" s="8" t="s">
        <v>2295</v>
      </c>
      <c r="J1115" s="8" t="s">
        <v>1459</v>
      </c>
      <c r="K1115" s="8" t="s">
        <v>1099</v>
      </c>
      <c r="L1115" s="10" t="s">
        <v>1170</v>
      </c>
      <c r="M1115" s="10" t="s">
        <v>2296</v>
      </c>
      <c r="N1115" s="10" t="s">
        <v>2297</v>
      </c>
      <c r="O1115" s="8" t="s">
        <v>321</v>
      </c>
      <c r="P1115" s="8"/>
      <c r="Q1115" s="8"/>
      <c r="R1115" s="8">
        <v>29514</v>
      </c>
      <c r="S1115" s="8"/>
      <c r="T1115" s="8"/>
      <c r="U1115" s="8"/>
      <c r="V1115" s="8" t="s">
        <v>331</v>
      </c>
      <c r="W1115" s="8"/>
      <c r="X1115" s="8"/>
      <c r="Y1115" s="8"/>
      <c r="Z1115" s="10" t="s">
        <v>2406</v>
      </c>
      <c r="AA1115" s="8" t="s">
        <v>331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1093</v>
      </c>
      <c r="E1116" s="8" t="s">
        <v>128</v>
      </c>
      <c r="F1116" s="8" t="s">
        <v>2407</v>
      </c>
      <c r="G1116" s="8" t="s">
        <v>1149</v>
      </c>
      <c r="H1116" s="8" t="s">
        <v>1348</v>
      </c>
      <c r="I1116" s="8" t="s">
        <v>2268</v>
      </c>
      <c r="J1116" s="8" t="s">
        <v>1204</v>
      </c>
      <c r="K1116" s="8" t="s">
        <v>1099</v>
      </c>
      <c r="L1116" s="10" t="s">
        <v>1170</v>
      </c>
      <c r="M1116" s="10" t="s">
        <v>2269</v>
      </c>
      <c r="N1116" s="10" t="s">
        <v>2270</v>
      </c>
      <c r="O1116" s="8" t="s">
        <v>321</v>
      </c>
      <c r="P1116" s="8"/>
      <c r="Q1116" s="8">
        <v>1000</v>
      </c>
      <c r="R1116" s="8">
        <v>9152</v>
      </c>
      <c r="S1116" s="8"/>
      <c r="T1116" s="8" t="s">
        <v>331</v>
      </c>
      <c r="U1116" s="8"/>
      <c r="V1116" s="8"/>
      <c r="W1116" s="8"/>
      <c r="X1116" s="8"/>
      <c r="Y1116" s="8"/>
      <c r="Z1116" s="10" t="s">
        <v>2408</v>
      </c>
      <c r="AA1116" s="8" t="s">
        <v>331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1093</v>
      </c>
      <c r="E1117" s="8" t="s">
        <v>123</v>
      </c>
      <c r="F1117" s="8" t="s">
        <v>2397</v>
      </c>
      <c r="G1117" s="8" t="s">
        <v>1297</v>
      </c>
      <c r="H1117" s="8" t="s">
        <v>1317</v>
      </c>
      <c r="I1117" s="8" t="s">
        <v>1281</v>
      </c>
      <c r="J1117" s="8" t="s">
        <v>1111</v>
      </c>
      <c r="K1117" s="8" t="s">
        <v>1099</v>
      </c>
      <c r="L1117" s="10" t="s">
        <v>1282</v>
      </c>
      <c r="M1117" s="10" t="s">
        <v>1283</v>
      </c>
      <c r="N1117" s="10"/>
      <c r="O1117" s="8" t="s">
        <v>1106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1613</v>
      </c>
      <c r="AA1117" s="8" t="s">
        <v>331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1093</v>
      </c>
      <c r="E1118" s="8" t="s">
        <v>123</v>
      </c>
      <c r="F1118" s="8" t="s">
        <v>2403</v>
      </c>
      <c r="G1118" s="8" t="s">
        <v>1196</v>
      </c>
      <c r="H1118" s="8" t="s">
        <v>1279</v>
      </c>
      <c r="I1118" s="8" t="s">
        <v>1344</v>
      </c>
      <c r="J1118" s="8" t="s">
        <v>1169</v>
      </c>
      <c r="K1118" s="8" t="s">
        <v>1099</v>
      </c>
      <c r="L1118" s="10" t="s">
        <v>1186</v>
      </c>
      <c r="M1118" s="10" t="s">
        <v>1345</v>
      </c>
      <c r="N1118" s="10" t="s">
        <v>1346</v>
      </c>
      <c r="O1118" s="8" t="s">
        <v>321</v>
      </c>
      <c r="P1118" s="8"/>
      <c r="Q1118" s="8"/>
      <c r="R1118" s="8">
        <v>79124</v>
      </c>
      <c r="S1118" s="8" t="s">
        <v>331</v>
      </c>
      <c r="T1118" s="8"/>
      <c r="U1118" s="8"/>
      <c r="V1118" s="8"/>
      <c r="W1118" s="8"/>
      <c r="X1118" s="8"/>
      <c r="Y1118" s="8"/>
      <c r="Z1118" s="10" t="s">
        <v>1613</v>
      </c>
      <c r="AA1118" s="8" t="s">
        <v>331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1093</v>
      </c>
      <c r="E1119" s="8" t="s">
        <v>123</v>
      </c>
      <c r="F1119" s="8" t="s">
        <v>2403</v>
      </c>
      <c r="G1119" s="8" t="s">
        <v>1149</v>
      </c>
      <c r="H1119" s="8" t="s">
        <v>1297</v>
      </c>
      <c r="I1119" s="8" t="s">
        <v>1996</v>
      </c>
      <c r="J1119" s="8" t="s">
        <v>1214</v>
      </c>
      <c r="K1119" s="8" t="s">
        <v>1099</v>
      </c>
      <c r="L1119" s="10" t="s">
        <v>1997</v>
      </c>
      <c r="M1119" s="10" t="s">
        <v>1998</v>
      </c>
      <c r="N1119" s="10" t="s">
        <v>1999</v>
      </c>
      <c r="O1119" s="8" t="s">
        <v>1106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1613</v>
      </c>
      <c r="AA1119" s="8" t="s">
        <v>331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1093</v>
      </c>
      <c r="E1120" s="8" t="s">
        <v>123</v>
      </c>
      <c r="F1120" s="8" t="s">
        <v>2409</v>
      </c>
      <c r="G1120" s="8" t="s">
        <v>1196</v>
      </c>
      <c r="H1120" s="8" t="s">
        <v>1279</v>
      </c>
      <c r="I1120" s="8" t="s">
        <v>1267</v>
      </c>
      <c r="J1120" s="8" t="s">
        <v>1111</v>
      </c>
      <c r="K1120" s="8" t="s">
        <v>1099</v>
      </c>
      <c r="L1120" s="10" t="s">
        <v>1268</v>
      </c>
      <c r="M1120" s="10" t="s">
        <v>1269</v>
      </c>
      <c r="N1120" s="10" t="s">
        <v>1584</v>
      </c>
      <c r="O1120" s="8" t="s">
        <v>321</v>
      </c>
      <c r="P1120" s="8"/>
      <c r="Q1120" s="8">
        <v>11309</v>
      </c>
      <c r="R1120" s="8">
        <v>80833</v>
      </c>
      <c r="S1120" s="8" t="s">
        <v>331</v>
      </c>
      <c r="T1120" s="8"/>
      <c r="U1120" s="8"/>
      <c r="V1120" s="8"/>
      <c r="W1120" s="8"/>
      <c r="X1120" s="8"/>
      <c r="Y1120" s="8"/>
      <c r="Z1120" s="10" t="s">
        <v>1613</v>
      </c>
      <c r="AA1120" s="8" t="s">
        <v>331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1093</v>
      </c>
      <c r="E1121" s="8" t="s">
        <v>123</v>
      </c>
      <c r="F1121" s="8" t="s">
        <v>2409</v>
      </c>
      <c r="G1121" s="8" t="s">
        <v>1266</v>
      </c>
      <c r="H1121" s="8" t="s">
        <v>1196</v>
      </c>
      <c r="I1121" s="8" t="s">
        <v>1286</v>
      </c>
      <c r="J1121" s="8" t="s">
        <v>1111</v>
      </c>
      <c r="K1121" s="8" t="s">
        <v>1099</v>
      </c>
      <c r="L1121" s="10" t="s">
        <v>1287</v>
      </c>
      <c r="M1121" s="10" t="s">
        <v>1288</v>
      </c>
      <c r="N1121" s="10" t="s">
        <v>1289</v>
      </c>
      <c r="O1121" s="8" t="s">
        <v>321</v>
      </c>
      <c r="P1121" s="8"/>
      <c r="Q1121" s="8">
        <v>17215</v>
      </c>
      <c r="R1121" s="8">
        <v>147527</v>
      </c>
      <c r="S1121" s="8" t="s">
        <v>331</v>
      </c>
      <c r="T1121" s="8"/>
      <c r="U1121" s="8"/>
      <c r="V1121" s="8"/>
      <c r="W1121" s="8"/>
      <c r="X1121" s="8"/>
      <c r="Y1121" s="8"/>
      <c r="Z1121" s="10" t="s">
        <v>1613</v>
      </c>
      <c r="AA1121" s="8" t="s">
        <v>331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1093</v>
      </c>
      <c r="E1122" s="8" t="s">
        <v>123</v>
      </c>
      <c r="F1122" s="8" t="s">
        <v>2386</v>
      </c>
      <c r="G1122" s="8" t="s">
        <v>1279</v>
      </c>
      <c r="H1122" s="8" t="s">
        <v>1149</v>
      </c>
      <c r="I1122" s="8" t="s">
        <v>2347</v>
      </c>
      <c r="J1122" s="8" t="s">
        <v>1193</v>
      </c>
      <c r="K1122" s="8" t="s">
        <v>1099</v>
      </c>
      <c r="L1122" s="10" t="s">
        <v>1314</v>
      </c>
      <c r="M1122" s="10" t="s">
        <v>1451</v>
      </c>
      <c r="N1122" s="10" t="s">
        <v>1410</v>
      </c>
      <c r="O1122" s="8" t="s">
        <v>1106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1613</v>
      </c>
      <c r="AA1122" s="8" t="s">
        <v>331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1093</v>
      </c>
      <c r="E1123" s="8" t="s">
        <v>123</v>
      </c>
      <c r="F1123" s="8" t="s">
        <v>2407</v>
      </c>
      <c r="G1123" s="8" t="s">
        <v>1348</v>
      </c>
      <c r="H1123" s="8" t="s">
        <v>2258</v>
      </c>
      <c r="I1123" s="8" t="s">
        <v>1403</v>
      </c>
      <c r="J1123" s="8" t="s">
        <v>1204</v>
      </c>
      <c r="K1123" s="8" t="s">
        <v>1099</v>
      </c>
      <c r="L1123" s="10" t="s">
        <v>1404</v>
      </c>
      <c r="M1123" s="10" t="s">
        <v>1405</v>
      </c>
      <c r="N1123" s="10" t="s">
        <v>1406</v>
      </c>
      <c r="O1123" s="8" t="s">
        <v>321</v>
      </c>
      <c r="P1123" s="8"/>
      <c r="Q1123" s="8">
        <v>28805</v>
      </c>
      <c r="R1123" s="8">
        <v>28881</v>
      </c>
      <c r="S1123" s="8"/>
      <c r="T1123" s="8"/>
      <c r="U1123" s="8" t="s">
        <v>331</v>
      </c>
      <c r="V1123" s="8"/>
      <c r="W1123" s="8"/>
      <c r="X1123" s="8"/>
      <c r="Y1123" s="8"/>
      <c r="Z1123" s="10" t="s">
        <v>2410</v>
      </c>
      <c r="AA1123" s="8" t="s">
        <v>331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1093</v>
      </c>
      <c r="E1124" s="8" t="s">
        <v>123</v>
      </c>
      <c r="F1124" s="8" t="s">
        <v>2386</v>
      </c>
      <c r="G1124" s="8" t="s">
        <v>1297</v>
      </c>
      <c r="H1124" s="8" t="s">
        <v>1317</v>
      </c>
      <c r="I1124" s="8" t="s">
        <v>1437</v>
      </c>
      <c r="J1124" s="8" t="s">
        <v>1214</v>
      </c>
      <c r="K1124" s="8" t="s">
        <v>1099</v>
      </c>
      <c r="L1124" s="10" t="s">
        <v>1314</v>
      </c>
      <c r="M1124" s="10" t="s">
        <v>1321</v>
      </c>
      <c r="N1124" s="10" t="s">
        <v>1322</v>
      </c>
      <c r="O1124" s="8" t="s">
        <v>1106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1613</v>
      </c>
      <c r="AA1124" s="8" t="s">
        <v>331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1093</v>
      </c>
      <c r="E1125" s="8" t="s">
        <v>123</v>
      </c>
      <c r="F1125" s="8" t="s">
        <v>2397</v>
      </c>
      <c r="G1125" s="8" t="s">
        <v>1266</v>
      </c>
      <c r="H1125" s="8" t="s">
        <v>1196</v>
      </c>
      <c r="I1125" s="8" t="s">
        <v>1895</v>
      </c>
      <c r="J1125" s="8" t="s">
        <v>1217</v>
      </c>
      <c r="K1125" s="8" t="s">
        <v>1099</v>
      </c>
      <c r="L1125" s="10" t="s">
        <v>2398</v>
      </c>
      <c r="M1125" s="10" t="s">
        <v>1897</v>
      </c>
      <c r="N1125" s="10" t="s">
        <v>1413</v>
      </c>
      <c r="O1125" s="8" t="s">
        <v>1106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1613</v>
      </c>
      <c r="AA1125" s="8" t="s">
        <v>331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1093</v>
      </c>
      <c r="E1126" s="8" t="s">
        <v>123</v>
      </c>
      <c r="F1126" s="8" t="s">
        <v>2409</v>
      </c>
      <c r="G1126" s="8" t="s">
        <v>1343</v>
      </c>
      <c r="H1126" s="8" t="s">
        <v>1303</v>
      </c>
      <c r="I1126" s="8" t="s">
        <v>1895</v>
      </c>
      <c r="J1126" s="8" t="s">
        <v>1217</v>
      </c>
      <c r="K1126" s="8" t="s">
        <v>1099</v>
      </c>
      <c r="L1126" s="10" t="s">
        <v>2398</v>
      </c>
      <c r="M1126" s="10" t="s">
        <v>1897</v>
      </c>
      <c r="N1126" s="10" t="s">
        <v>1413</v>
      </c>
      <c r="O1126" s="8" t="s">
        <v>362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2411</v>
      </c>
      <c r="AA1126" s="8" t="s">
        <v>331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1093</v>
      </c>
      <c r="E1127" s="8" t="s">
        <v>123</v>
      </c>
      <c r="F1127" s="8" t="s">
        <v>2407</v>
      </c>
      <c r="G1127" s="8" t="s">
        <v>1196</v>
      </c>
      <c r="H1127" s="8" t="s">
        <v>1348</v>
      </c>
      <c r="I1127" s="8" t="s">
        <v>2412</v>
      </c>
      <c r="J1127" s="8" t="s">
        <v>1459</v>
      </c>
      <c r="K1127" s="8" t="s">
        <v>1099</v>
      </c>
      <c r="L1127" s="10" t="s">
        <v>1170</v>
      </c>
      <c r="M1127" s="10" t="s">
        <v>2188</v>
      </c>
      <c r="N1127" s="10" t="s">
        <v>2413</v>
      </c>
      <c r="O1127" s="8" t="s">
        <v>321</v>
      </c>
      <c r="P1127" s="8"/>
      <c r="Q1127" s="8"/>
      <c r="R1127" s="8">
        <v>0</v>
      </c>
      <c r="S1127" s="8"/>
      <c r="T1127" s="8" t="s">
        <v>331</v>
      </c>
      <c r="U1127" s="8"/>
      <c r="V1127" s="8"/>
      <c r="W1127" s="8"/>
      <c r="X1127" s="8"/>
      <c r="Y1127" s="8"/>
      <c r="Z1127" s="10" t="s">
        <v>2414</v>
      </c>
      <c r="AA1127" s="8" t="s">
        <v>331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1093</v>
      </c>
      <c r="E1128" s="8" t="s">
        <v>128</v>
      </c>
      <c r="F1128" s="8" t="s">
        <v>2409</v>
      </c>
      <c r="G1128" s="8" t="s">
        <v>2415</v>
      </c>
      <c r="H1128" s="8" t="s">
        <v>2416</v>
      </c>
      <c r="I1128" s="8" t="s">
        <v>2417</v>
      </c>
      <c r="J1128" s="8" t="s">
        <v>1140</v>
      </c>
      <c r="K1128" s="8" t="s">
        <v>1099</v>
      </c>
      <c r="L1128" s="10" t="s">
        <v>1123</v>
      </c>
      <c r="M1128" s="10" t="s">
        <v>1124</v>
      </c>
      <c r="N1128" s="10" t="s">
        <v>1125</v>
      </c>
      <c r="O1128" s="8" t="s">
        <v>321</v>
      </c>
      <c r="P1128" s="8"/>
      <c r="Q1128" s="8">
        <v>1822</v>
      </c>
      <c r="R1128" s="8">
        <v>2479</v>
      </c>
      <c r="S1128" s="8" t="s">
        <v>331</v>
      </c>
      <c r="T1128" s="8"/>
      <c r="U1128" s="8"/>
      <c r="V1128" s="8"/>
      <c r="W1128" s="8"/>
      <c r="X1128" s="8"/>
      <c r="Y1128" s="8"/>
      <c r="Z1128" s="10" t="s">
        <v>1102</v>
      </c>
      <c r="AA1128" s="8" t="s">
        <v>331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1093</v>
      </c>
      <c r="E1129" s="8" t="s">
        <v>128</v>
      </c>
      <c r="F1129" s="8" t="s">
        <v>2409</v>
      </c>
      <c r="G1129" s="8" t="s">
        <v>1722</v>
      </c>
      <c r="H1129" s="8" t="s">
        <v>1511</v>
      </c>
      <c r="I1129" s="8" t="s">
        <v>1175</v>
      </c>
      <c r="J1129" s="8" t="s">
        <v>1169</v>
      </c>
      <c r="K1129" s="8" t="s">
        <v>1099</v>
      </c>
      <c r="L1129" s="10" t="s">
        <v>1123</v>
      </c>
      <c r="M1129" s="10" t="s">
        <v>1124</v>
      </c>
      <c r="N1129" s="10" t="s">
        <v>1176</v>
      </c>
      <c r="O1129" s="8" t="s">
        <v>1106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1102</v>
      </c>
      <c r="AA1129" s="8" t="s">
        <v>331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1093</v>
      </c>
      <c r="E1130" s="8" t="s">
        <v>128</v>
      </c>
      <c r="F1130" s="8" t="s">
        <v>2409</v>
      </c>
      <c r="G1130" s="8" t="s">
        <v>2284</v>
      </c>
      <c r="H1130" s="8" t="s">
        <v>2418</v>
      </c>
      <c r="I1130" s="8" t="s">
        <v>2419</v>
      </c>
      <c r="J1130" s="8" t="s">
        <v>1193</v>
      </c>
      <c r="K1130" s="8" t="s">
        <v>1099</v>
      </c>
      <c r="L1130" s="10" t="s">
        <v>1123</v>
      </c>
      <c r="M1130" s="10" t="s">
        <v>1124</v>
      </c>
      <c r="N1130" s="10" t="s">
        <v>1215</v>
      </c>
      <c r="O1130" s="8" t="s">
        <v>321</v>
      </c>
      <c r="P1130" s="8"/>
      <c r="Q1130" s="8"/>
      <c r="R1130" s="8">
        <v>4935</v>
      </c>
      <c r="S1130" s="8" t="s">
        <v>331</v>
      </c>
      <c r="T1130" s="8"/>
      <c r="U1130" s="8"/>
      <c r="V1130" s="8"/>
      <c r="W1130" s="8"/>
      <c r="X1130" s="8"/>
      <c r="Y1130" s="8"/>
      <c r="Z1130" s="10" t="s">
        <v>1102</v>
      </c>
      <c r="AA1130" s="8" t="s">
        <v>331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1093</v>
      </c>
      <c r="E1131" s="8" t="s">
        <v>123</v>
      </c>
      <c r="F1131" s="8" t="s">
        <v>2420</v>
      </c>
      <c r="G1131" s="8" t="s">
        <v>1266</v>
      </c>
      <c r="H1131" s="8" t="s">
        <v>1196</v>
      </c>
      <c r="I1131" s="8" t="s">
        <v>2421</v>
      </c>
      <c r="J1131" s="8" t="s">
        <v>1169</v>
      </c>
      <c r="K1131" s="8" t="s">
        <v>1099</v>
      </c>
      <c r="L1131" s="10" t="s">
        <v>1170</v>
      </c>
      <c r="M1131" s="10" t="s">
        <v>2016</v>
      </c>
      <c r="N1131" s="10" t="s">
        <v>2017</v>
      </c>
      <c r="O1131" s="8" t="s">
        <v>1106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2422</v>
      </c>
      <c r="AA1131" s="8" t="s">
        <v>331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1093</v>
      </c>
      <c r="E1132" s="8" t="s">
        <v>123</v>
      </c>
      <c r="F1132" s="8" t="s">
        <v>2420</v>
      </c>
      <c r="G1132" s="8" t="s">
        <v>1297</v>
      </c>
      <c r="H1132" s="8" t="s">
        <v>1317</v>
      </c>
      <c r="I1132" s="8" t="s">
        <v>1308</v>
      </c>
      <c r="J1132" s="8" t="s">
        <v>1169</v>
      </c>
      <c r="K1132" s="8" t="s">
        <v>1099</v>
      </c>
      <c r="L1132" s="10" t="s">
        <v>1170</v>
      </c>
      <c r="M1132" s="10" t="s">
        <v>1309</v>
      </c>
      <c r="N1132" s="10" t="s">
        <v>1310</v>
      </c>
      <c r="O1132" s="8" t="s">
        <v>1106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2422</v>
      </c>
      <c r="AA1132" s="8" t="s">
        <v>331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1093</v>
      </c>
      <c r="E1133" s="8" t="s">
        <v>123</v>
      </c>
      <c r="F1133" s="8" t="s">
        <v>2420</v>
      </c>
      <c r="G1133" s="8" t="s">
        <v>1317</v>
      </c>
      <c r="H1133" s="8" t="s">
        <v>1273</v>
      </c>
      <c r="I1133" s="8" t="s">
        <v>2268</v>
      </c>
      <c r="J1133" s="8" t="s">
        <v>1204</v>
      </c>
      <c r="K1133" s="8" t="s">
        <v>1099</v>
      </c>
      <c r="L1133" s="10" t="s">
        <v>1170</v>
      </c>
      <c r="M1133" s="10" t="s">
        <v>2269</v>
      </c>
      <c r="N1133" s="10" t="s">
        <v>2270</v>
      </c>
      <c r="O1133" s="8" t="s">
        <v>1106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2422</v>
      </c>
      <c r="AA1133" s="8" t="s">
        <v>331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1093</v>
      </c>
      <c r="E1134" s="8" t="s">
        <v>123</v>
      </c>
      <c r="F1134" s="8" t="s">
        <v>2420</v>
      </c>
      <c r="G1134" s="8" t="s">
        <v>1279</v>
      </c>
      <c r="H1134" s="8" t="s">
        <v>1149</v>
      </c>
      <c r="I1134" s="8" t="s">
        <v>2245</v>
      </c>
      <c r="J1134" s="8" t="s">
        <v>1204</v>
      </c>
      <c r="K1134" s="8" t="s">
        <v>1099</v>
      </c>
      <c r="L1134" s="10" t="s">
        <v>1170</v>
      </c>
      <c r="M1134" s="10" t="s">
        <v>2246</v>
      </c>
      <c r="N1134" s="10" t="s">
        <v>2247</v>
      </c>
      <c r="O1134" s="8" t="s">
        <v>1106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2422</v>
      </c>
      <c r="AA1134" s="8" t="s">
        <v>331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1093</v>
      </c>
      <c r="E1135" s="8" t="s">
        <v>123</v>
      </c>
      <c r="F1135" s="8" t="s">
        <v>2420</v>
      </c>
      <c r="G1135" s="8" t="s">
        <v>1196</v>
      </c>
      <c r="H1135" s="8" t="s">
        <v>1279</v>
      </c>
      <c r="I1135" s="8" t="s">
        <v>2015</v>
      </c>
      <c r="J1135" s="8" t="s">
        <v>1459</v>
      </c>
      <c r="K1135" s="8" t="s">
        <v>1099</v>
      </c>
      <c r="L1135" s="10" t="s">
        <v>1170</v>
      </c>
      <c r="M1135" s="10" t="s">
        <v>2016</v>
      </c>
      <c r="N1135" s="10" t="s">
        <v>2017</v>
      </c>
      <c r="O1135" s="8" t="s">
        <v>1106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1239</v>
      </c>
      <c r="AA1135" s="8" t="s">
        <v>331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1093</v>
      </c>
      <c r="E1136" s="8" t="s">
        <v>123</v>
      </c>
      <c r="F1136" s="8" t="s">
        <v>2420</v>
      </c>
      <c r="G1136" s="8" t="s">
        <v>1149</v>
      </c>
      <c r="H1136" s="8" t="s">
        <v>1297</v>
      </c>
      <c r="I1136" s="8" t="s">
        <v>2295</v>
      </c>
      <c r="J1136" s="8" t="s">
        <v>1459</v>
      </c>
      <c r="K1136" s="8" t="s">
        <v>1099</v>
      </c>
      <c r="L1136" s="10" t="s">
        <v>1170</v>
      </c>
      <c r="M1136" s="10" t="s">
        <v>2296</v>
      </c>
      <c r="N1136" s="10" t="s">
        <v>2297</v>
      </c>
      <c r="O1136" s="8" t="s">
        <v>1106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2422</v>
      </c>
      <c r="AA1136" s="8" t="s">
        <v>331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1093</v>
      </c>
      <c r="E1137" s="8" t="s">
        <v>128</v>
      </c>
      <c r="F1137" s="8" t="s">
        <v>2423</v>
      </c>
      <c r="G1137" s="8" t="s">
        <v>2331</v>
      </c>
      <c r="H1137" s="8" t="s">
        <v>1615</v>
      </c>
      <c r="I1137" s="8" t="s">
        <v>2417</v>
      </c>
      <c r="J1137" s="8" t="s">
        <v>1140</v>
      </c>
      <c r="K1137" s="8" t="s">
        <v>1099</v>
      </c>
      <c r="L1137" s="10" t="s">
        <v>1123</v>
      </c>
      <c r="M1137" s="10" t="s">
        <v>1124</v>
      </c>
      <c r="N1137" s="10" t="s">
        <v>1125</v>
      </c>
      <c r="O1137" s="8" t="s">
        <v>321</v>
      </c>
      <c r="P1137" s="8"/>
      <c r="Q1137" s="8">
        <v>2479</v>
      </c>
      <c r="R1137" s="8">
        <v>1822</v>
      </c>
      <c r="S1137" s="8" t="s">
        <v>331</v>
      </c>
      <c r="T1137" s="8"/>
      <c r="U1137" s="8"/>
      <c r="V1137" s="8"/>
      <c r="W1137" s="8"/>
      <c r="X1137" s="8"/>
      <c r="Y1137" s="8"/>
      <c r="Z1137" s="10" t="s">
        <v>1102</v>
      </c>
      <c r="AA1137" s="8" t="s">
        <v>331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1093</v>
      </c>
      <c r="E1138" s="8" t="s">
        <v>128</v>
      </c>
      <c r="F1138" s="8" t="s">
        <v>2409</v>
      </c>
      <c r="G1138" s="8" t="s">
        <v>1722</v>
      </c>
      <c r="H1138" s="8" t="s">
        <v>1511</v>
      </c>
      <c r="I1138" s="8" t="s">
        <v>1175</v>
      </c>
      <c r="J1138" s="8" t="s">
        <v>1169</v>
      </c>
      <c r="K1138" s="8" t="s">
        <v>1099</v>
      </c>
      <c r="L1138" s="10" t="s">
        <v>1123</v>
      </c>
      <c r="M1138" s="10" t="s">
        <v>1124</v>
      </c>
      <c r="N1138" s="10" t="s">
        <v>1176</v>
      </c>
      <c r="O1138" s="8" t="s">
        <v>321</v>
      </c>
      <c r="P1138" s="8"/>
      <c r="Q1138" s="8"/>
      <c r="R1138" s="8">
        <v>1845</v>
      </c>
      <c r="S1138" s="8" t="s">
        <v>331</v>
      </c>
      <c r="T1138" s="8"/>
      <c r="U1138" s="8"/>
      <c r="V1138" s="8"/>
      <c r="W1138" s="8"/>
      <c r="X1138" s="8"/>
      <c r="Y1138" s="8"/>
      <c r="Z1138" s="10" t="s">
        <v>1102</v>
      </c>
      <c r="AA1138" s="8" t="s">
        <v>331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1093</v>
      </c>
      <c r="E1139" s="8" t="s">
        <v>123</v>
      </c>
      <c r="F1139" s="8" t="s">
        <v>2403</v>
      </c>
      <c r="G1139" s="8" t="s">
        <v>1317</v>
      </c>
      <c r="H1139" s="8" t="s">
        <v>1273</v>
      </c>
      <c r="I1139" s="8" t="s">
        <v>2424</v>
      </c>
      <c r="J1139" s="8" t="s">
        <v>1140</v>
      </c>
      <c r="K1139" s="8" t="s">
        <v>1099</v>
      </c>
      <c r="L1139" s="10" t="s">
        <v>1997</v>
      </c>
      <c r="M1139" s="10" t="s">
        <v>2425</v>
      </c>
      <c r="N1139" s="10" t="s">
        <v>2155</v>
      </c>
      <c r="O1139" s="8" t="s">
        <v>1106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1613</v>
      </c>
      <c r="AA1139" s="8" t="s">
        <v>331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1093</v>
      </c>
      <c r="E1140" s="8" t="s">
        <v>123</v>
      </c>
      <c r="F1140" s="8" t="s">
        <v>2420</v>
      </c>
      <c r="G1140" s="8" t="s">
        <v>1120</v>
      </c>
      <c r="H1140" s="8" t="s">
        <v>1343</v>
      </c>
      <c r="I1140" s="8" t="s">
        <v>2166</v>
      </c>
      <c r="J1140" s="8" t="s">
        <v>1169</v>
      </c>
      <c r="K1140" s="8" t="s">
        <v>1099</v>
      </c>
      <c r="L1140" s="10" t="s">
        <v>1170</v>
      </c>
      <c r="M1140" s="10" t="s">
        <v>2167</v>
      </c>
      <c r="N1140" s="10" t="s">
        <v>2168</v>
      </c>
      <c r="O1140" s="8" t="s">
        <v>1106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2422</v>
      </c>
      <c r="AA1140" s="8" t="s">
        <v>331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1093</v>
      </c>
      <c r="E1141" s="8" t="s">
        <v>123</v>
      </c>
      <c r="F1141" s="8" t="s">
        <v>2420</v>
      </c>
      <c r="G1141" s="8" t="s">
        <v>1284</v>
      </c>
      <c r="H1141" s="8" t="s">
        <v>1166</v>
      </c>
      <c r="I1141" s="8" t="s">
        <v>1861</v>
      </c>
      <c r="J1141" s="8" t="s">
        <v>1169</v>
      </c>
      <c r="K1141" s="8" t="s">
        <v>1099</v>
      </c>
      <c r="L1141" s="10" t="s">
        <v>1170</v>
      </c>
      <c r="M1141" s="10" t="s">
        <v>1862</v>
      </c>
      <c r="N1141" s="10" t="s">
        <v>1863</v>
      </c>
      <c r="O1141" s="8" t="s">
        <v>1106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162</v>
      </c>
      <c r="AA1141" s="8" t="s">
        <v>331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1093</v>
      </c>
      <c r="E1142" s="8" t="s">
        <v>123</v>
      </c>
      <c r="F1142" s="8" t="s">
        <v>2420</v>
      </c>
      <c r="G1142" s="8" t="s">
        <v>1303</v>
      </c>
      <c r="H1142" s="8" t="s">
        <v>1342</v>
      </c>
      <c r="I1142" s="8" t="s">
        <v>2227</v>
      </c>
      <c r="J1142" s="8" t="s">
        <v>1169</v>
      </c>
      <c r="K1142" s="8" t="s">
        <v>1099</v>
      </c>
      <c r="L1142" s="10" t="s">
        <v>1170</v>
      </c>
      <c r="M1142" s="10" t="s">
        <v>2228</v>
      </c>
      <c r="N1142" s="10" t="s">
        <v>2229</v>
      </c>
      <c r="O1142" s="8" t="s">
        <v>1106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2422</v>
      </c>
      <c r="AA1142" s="8" t="s">
        <v>331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1093</v>
      </c>
      <c r="E1143" s="8" t="s">
        <v>123</v>
      </c>
      <c r="F1143" s="8" t="s">
        <v>2420</v>
      </c>
      <c r="G1143" s="8" t="s">
        <v>1343</v>
      </c>
      <c r="H1143" s="8" t="s">
        <v>1302</v>
      </c>
      <c r="I1143" s="8" t="s">
        <v>1771</v>
      </c>
      <c r="J1143" s="8" t="s">
        <v>1204</v>
      </c>
      <c r="K1143" s="8" t="s">
        <v>1099</v>
      </c>
      <c r="L1143" s="10" t="s">
        <v>1170</v>
      </c>
      <c r="M1143" s="10" t="s">
        <v>1772</v>
      </c>
      <c r="N1143" s="10" t="s">
        <v>1773</v>
      </c>
      <c r="O1143" s="8" t="s">
        <v>1106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2422</v>
      </c>
      <c r="AA1143" s="8" t="s">
        <v>331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1093</v>
      </c>
      <c r="E1144" s="8" t="s">
        <v>123</v>
      </c>
      <c r="F1144" s="8" t="s">
        <v>2420</v>
      </c>
      <c r="G1144" s="8" t="s">
        <v>1166</v>
      </c>
      <c r="H1144" s="8" t="s">
        <v>1120</v>
      </c>
      <c r="I1144" s="8" t="s">
        <v>1658</v>
      </c>
      <c r="J1144" s="8" t="s">
        <v>1459</v>
      </c>
      <c r="K1144" s="8" t="s">
        <v>1099</v>
      </c>
      <c r="L1144" s="10" t="s">
        <v>1170</v>
      </c>
      <c r="M1144" s="10" t="s">
        <v>1659</v>
      </c>
      <c r="N1144" s="10" t="s">
        <v>1660</v>
      </c>
      <c r="O1144" s="8" t="s">
        <v>1106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1239</v>
      </c>
      <c r="AA1144" s="8" t="s">
        <v>331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1093</v>
      </c>
      <c r="E1145" s="8" t="s">
        <v>123</v>
      </c>
      <c r="F1145" s="8" t="s">
        <v>2420</v>
      </c>
      <c r="G1145" s="8" t="s">
        <v>1343</v>
      </c>
      <c r="H1145" s="8" t="s">
        <v>1302</v>
      </c>
      <c r="I1145" s="8" t="s">
        <v>1669</v>
      </c>
      <c r="J1145" s="8" t="s">
        <v>1459</v>
      </c>
      <c r="K1145" s="8" t="s">
        <v>1099</v>
      </c>
      <c r="L1145" s="10" t="s">
        <v>1170</v>
      </c>
      <c r="M1145" s="10" t="s">
        <v>1463</v>
      </c>
      <c r="N1145" s="10" t="s">
        <v>1670</v>
      </c>
      <c r="O1145" s="8" t="s">
        <v>1106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1239</v>
      </c>
      <c r="AA1145" s="8" t="s">
        <v>331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1093</v>
      </c>
      <c r="E1146" s="8" t="s">
        <v>139</v>
      </c>
      <c r="F1146" s="8" t="s">
        <v>2423</v>
      </c>
      <c r="G1146" s="8" t="s">
        <v>2126</v>
      </c>
      <c r="H1146" s="8" t="s">
        <v>1928</v>
      </c>
      <c r="I1146" s="8" t="s">
        <v>1502</v>
      </c>
      <c r="J1146" s="8" t="s">
        <v>1217</v>
      </c>
      <c r="K1146" s="8" t="s">
        <v>1099</v>
      </c>
      <c r="L1146" s="10" t="s">
        <v>1503</v>
      </c>
      <c r="M1146" s="10" t="s">
        <v>1504</v>
      </c>
      <c r="N1146" s="10" t="s">
        <v>1346</v>
      </c>
      <c r="O1146" s="8" t="s">
        <v>1106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331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1093</v>
      </c>
      <c r="E1147" s="8" t="s">
        <v>139</v>
      </c>
      <c r="F1147" s="8" t="s">
        <v>2423</v>
      </c>
      <c r="G1147" s="8" t="s">
        <v>2126</v>
      </c>
      <c r="H1147" s="8" t="s">
        <v>1928</v>
      </c>
      <c r="I1147" s="8" t="s">
        <v>1509</v>
      </c>
      <c r="J1147" s="8" t="s">
        <v>1217</v>
      </c>
      <c r="K1147" s="8" t="s">
        <v>1099</v>
      </c>
      <c r="L1147" s="10" t="s">
        <v>1503</v>
      </c>
      <c r="M1147" s="10" t="s">
        <v>1504</v>
      </c>
      <c r="N1147" s="10" t="s">
        <v>1346</v>
      </c>
      <c r="O1147" s="8" t="s">
        <v>1106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331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1093</v>
      </c>
      <c r="E1148" s="8" t="s">
        <v>139</v>
      </c>
      <c r="F1148" s="8" t="s">
        <v>2423</v>
      </c>
      <c r="G1148" s="8" t="s">
        <v>1258</v>
      </c>
      <c r="H1148" s="8" t="s">
        <v>1342</v>
      </c>
      <c r="I1148" s="8" t="s">
        <v>2426</v>
      </c>
      <c r="J1148" s="8" t="s">
        <v>1514</v>
      </c>
      <c r="K1148" s="8" t="s">
        <v>1496</v>
      </c>
      <c r="L1148" s="10" t="s">
        <v>1515</v>
      </c>
      <c r="M1148" s="10" t="s">
        <v>1516</v>
      </c>
      <c r="N1148" s="10" t="s">
        <v>1798</v>
      </c>
      <c r="O1148" s="8" t="s">
        <v>362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2427</v>
      </c>
      <c r="AA1148" s="8" t="s">
        <v>331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1093</v>
      </c>
      <c r="E1149" s="8" t="s">
        <v>123</v>
      </c>
      <c r="F1149" s="8" t="s">
        <v>2386</v>
      </c>
      <c r="G1149" s="8" t="s">
        <v>1207</v>
      </c>
      <c r="H1149" s="8" t="s">
        <v>1258</v>
      </c>
      <c r="I1149" s="8" t="s">
        <v>1320</v>
      </c>
      <c r="J1149" s="8" t="s">
        <v>1169</v>
      </c>
      <c r="K1149" s="8" t="s">
        <v>1099</v>
      </c>
      <c r="L1149" s="10" t="s">
        <v>1314</v>
      </c>
      <c r="M1149" s="10" t="s">
        <v>1492</v>
      </c>
      <c r="N1149" s="10" t="s">
        <v>1493</v>
      </c>
      <c r="O1149" s="8" t="s">
        <v>1106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1613</v>
      </c>
      <c r="AA1149" s="8" t="s">
        <v>331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1093</v>
      </c>
      <c r="E1150" s="8" t="s">
        <v>123</v>
      </c>
      <c r="F1150" s="8" t="s">
        <v>2386</v>
      </c>
      <c r="G1150" s="8" t="s">
        <v>1266</v>
      </c>
      <c r="H1150" s="8" t="s">
        <v>1196</v>
      </c>
      <c r="I1150" s="8" t="s">
        <v>2345</v>
      </c>
      <c r="J1150" s="8" t="s">
        <v>1193</v>
      </c>
      <c r="K1150" s="8" t="s">
        <v>1099</v>
      </c>
      <c r="L1150" s="10" t="s">
        <v>1314</v>
      </c>
      <c r="M1150" s="10" t="s">
        <v>1315</v>
      </c>
      <c r="N1150" s="10" t="s">
        <v>1316</v>
      </c>
      <c r="O1150" s="8" t="s">
        <v>1106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1613</v>
      </c>
      <c r="AA1150" s="8" t="s">
        <v>331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1093</v>
      </c>
      <c r="E1151" s="8" t="s">
        <v>123</v>
      </c>
      <c r="F1151" s="8" t="s">
        <v>2395</v>
      </c>
      <c r="G1151" s="8" t="s">
        <v>1120</v>
      </c>
      <c r="H1151" s="8" t="s">
        <v>1343</v>
      </c>
      <c r="I1151" s="8" t="s">
        <v>1441</v>
      </c>
      <c r="J1151" s="8" t="s">
        <v>1214</v>
      </c>
      <c r="K1151" s="8" t="s">
        <v>1099</v>
      </c>
      <c r="L1151" s="10" t="s">
        <v>1378</v>
      </c>
      <c r="M1151" s="10" t="s">
        <v>1442</v>
      </c>
      <c r="N1151" s="10" t="s">
        <v>1424</v>
      </c>
      <c r="O1151" s="8" t="s">
        <v>1106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1613</v>
      </c>
      <c r="AA1151" s="8" t="s">
        <v>331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1093</v>
      </c>
      <c r="E1152" s="8" t="s">
        <v>128</v>
      </c>
      <c r="F1152" s="8" t="s">
        <v>2386</v>
      </c>
      <c r="G1152" s="8" t="s">
        <v>1729</v>
      </c>
      <c r="H1152" s="8" t="s">
        <v>1518</v>
      </c>
      <c r="I1152" s="8" t="s">
        <v>1198</v>
      </c>
      <c r="J1152" s="8" t="s">
        <v>1193</v>
      </c>
      <c r="K1152" s="8" t="s">
        <v>1099</v>
      </c>
      <c r="L1152" s="10" t="s">
        <v>1199</v>
      </c>
      <c r="M1152" s="10" t="s">
        <v>1200</v>
      </c>
      <c r="N1152" s="10"/>
      <c r="O1152" s="8" t="s">
        <v>1106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1102</v>
      </c>
      <c r="AA1152" s="8" t="s">
        <v>331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1093</v>
      </c>
      <c r="E1153" s="8" t="s">
        <v>123</v>
      </c>
      <c r="F1153" s="8" t="s">
        <v>2428</v>
      </c>
      <c r="G1153" s="8" t="s">
        <v>1196</v>
      </c>
      <c r="H1153" s="8" t="s">
        <v>1104</v>
      </c>
      <c r="I1153" s="8" t="s">
        <v>1286</v>
      </c>
      <c r="J1153" s="8" t="s">
        <v>1111</v>
      </c>
      <c r="K1153" s="8" t="s">
        <v>1099</v>
      </c>
      <c r="L1153" s="10" t="s">
        <v>1287</v>
      </c>
      <c r="M1153" s="10" t="s">
        <v>1288</v>
      </c>
      <c r="N1153" s="10" t="s">
        <v>1289</v>
      </c>
      <c r="O1153" s="8" t="s">
        <v>362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2429</v>
      </c>
      <c r="AA1153" s="8" t="s">
        <v>331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1093</v>
      </c>
      <c r="E1154" s="8" t="s">
        <v>123</v>
      </c>
      <c r="F1154" s="8" t="s">
        <v>2403</v>
      </c>
      <c r="G1154" s="8" t="s">
        <v>1266</v>
      </c>
      <c r="H1154" s="8" t="s">
        <v>1196</v>
      </c>
      <c r="I1154" s="8" t="s">
        <v>2088</v>
      </c>
      <c r="J1154" s="8" t="s">
        <v>1193</v>
      </c>
      <c r="K1154" s="8" t="s">
        <v>1099</v>
      </c>
      <c r="L1154" s="10" t="s">
        <v>1186</v>
      </c>
      <c r="M1154" s="10" t="s">
        <v>1412</v>
      </c>
      <c r="N1154" s="10" t="s">
        <v>1413</v>
      </c>
      <c r="O1154" s="8" t="s">
        <v>1106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1613</v>
      </c>
      <c r="AA1154" s="8" t="s">
        <v>331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1093</v>
      </c>
      <c r="E1155" s="8" t="s">
        <v>123</v>
      </c>
      <c r="F1155" s="8" t="s">
        <v>2397</v>
      </c>
      <c r="G1155" s="8" t="s">
        <v>1302</v>
      </c>
      <c r="H1155" s="8" t="s">
        <v>1303</v>
      </c>
      <c r="I1155" s="8" t="s">
        <v>2292</v>
      </c>
      <c r="J1155" s="8" t="s">
        <v>1459</v>
      </c>
      <c r="K1155" s="8" t="s">
        <v>1099</v>
      </c>
      <c r="L1155" s="10" t="s">
        <v>1170</v>
      </c>
      <c r="M1155" s="10" t="s">
        <v>1659</v>
      </c>
      <c r="N1155" s="10" t="s">
        <v>2293</v>
      </c>
      <c r="O1155" s="8" t="s">
        <v>1106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1613</v>
      </c>
      <c r="AA1155" s="8" t="s">
        <v>331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1093</v>
      </c>
      <c r="E1156" s="8" t="s">
        <v>123</v>
      </c>
      <c r="F1156" s="8" t="s">
        <v>2428</v>
      </c>
      <c r="G1156" s="8" t="s">
        <v>1317</v>
      </c>
      <c r="H1156" s="8" t="s">
        <v>1258</v>
      </c>
      <c r="I1156" s="8" t="s">
        <v>2430</v>
      </c>
      <c r="J1156" s="8" t="s">
        <v>1788</v>
      </c>
      <c r="K1156" s="8" t="s">
        <v>1496</v>
      </c>
      <c r="L1156" s="10" t="s">
        <v>1497</v>
      </c>
      <c r="M1156" s="10" t="s">
        <v>1498</v>
      </c>
      <c r="N1156" s="10" t="s">
        <v>1499</v>
      </c>
      <c r="O1156" s="8" t="s">
        <v>321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331</v>
      </c>
      <c r="Z1156" s="10" t="s">
        <v>2431</v>
      </c>
      <c r="AA1156" s="8" t="s">
        <v>331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1093</v>
      </c>
      <c r="E1157" s="8" t="s">
        <v>123</v>
      </c>
      <c r="F1157" s="8" t="s">
        <v>2397</v>
      </c>
      <c r="G1157" s="8" t="s">
        <v>1196</v>
      </c>
      <c r="H1157" s="8" t="s">
        <v>1279</v>
      </c>
      <c r="I1157" s="8" t="s">
        <v>1452</v>
      </c>
      <c r="J1157" s="8" t="s">
        <v>1214</v>
      </c>
      <c r="K1157" s="8" t="s">
        <v>1099</v>
      </c>
      <c r="L1157" s="10" t="s">
        <v>1453</v>
      </c>
      <c r="M1157" s="10" t="s">
        <v>1454</v>
      </c>
      <c r="N1157" s="10"/>
      <c r="O1157" s="8" t="s">
        <v>1106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1613</v>
      </c>
      <c r="AA1157" s="8" t="s">
        <v>331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1093</v>
      </c>
      <c r="E1158" s="8" t="s">
        <v>128</v>
      </c>
      <c r="F1158" s="8" t="s">
        <v>2432</v>
      </c>
      <c r="G1158" s="8" t="s">
        <v>2356</v>
      </c>
      <c r="H1158" s="8" t="s">
        <v>2433</v>
      </c>
      <c r="I1158" s="8" t="s">
        <v>1110</v>
      </c>
      <c r="J1158" s="8" t="s">
        <v>1111</v>
      </c>
      <c r="K1158" s="8" t="s">
        <v>1099</v>
      </c>
      <c r="L1158" s="10" t="s">
        <v>1112</v>
      </c>
      <c r="M1158" s="10" t="s">
        <v>1113</v>
      </c>
      <c r="N1158" s="10" t="s">
        <v>128</v>
      </c>
      <c r="O1158" s="8" t="s">
        <v>1106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1106</v>
      </c>
      <c r="AA1158" s="8" t="s">
        <v>331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1093</v>
      </c>
      <c r="E1159" s="8" t="s">
        <v>128</v>
      </c>
      <c r="F1159" s="8" t="s">
        <v>2432</v>
      </c>
      <c r="G1159" s="8" t="s">
        <v>1930</v>
      </c>
      <c r="H1159" s="8" t="s">
        <v>1604</v>
      </c>
      <c r="I1159" s="8" t="s">
        <v>1116</v>
      </c>
      <c r="J1159" s="8" t="s">
        <v>1111</v>
      </c>
      <c r="K1159" s="8" t="s">
        <v>1099</v>
      </c>
      <c r="L1159" s="10" t="s">
        <v>1117</v>
      </c>
      <c r="M1159" s="10" t="s">
        <v>1118</v>
      </c>
      <c r="N1159" s="10" t="s">
        <v>1802</v>
      </c>
      <c r="O1159" s="8" t="s">
        <v>1106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1106</v>
      </c>
      <c r="AA1159" s="8" t="s">
        <v>331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1093</v>
      </c>
      <c r="E1160" s="8" t="s">
        <v>128</v>
      </c>
      <c r="F1160" s="8" t="s">
        <v>2432</v>
      </c>
      <c r="G1160" s="8" t="s">
        <v>2027</v>
      </c>
      <c r="H1160" s="8" t="s">
        <v>1899</v>
      </c>
      <c r="I1160" s="8" t="s">
        <v>1128</v>
      </c>
      <c r="J1160" s="8" t="s">
        <v>1111</v>
      </c>
      <c r="K1160" s="8" t="s">
        <v>1099</v>
      </c>
      <c r="L1160" s="10" t="s">
        <v>1129</v>
      </c>
      <c r="M1160" s="10" t="s">
        <v>1130</v>
      </c>
      <c r="N1160" s="10" t="s">
        <v>1131</v>
      </c>
      <c r="O1160" s="8" t="s">
        <v>1106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1106</v>
      </c>
      <c r="AA1160" s="8" t="s">
        <v>331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1093</v>
      </c>
      <c r="E1161" s="8" t="s">
        <v>128</v>
      </c>
      <c r="F1161" s="8" t="s">
        <v>2432</v>
      </c>
      <c r="G1161" s="8" t="s">
        <v>1445</v>
      </c>
      <c r="H1161" s="8" t="s">
        <v>2434</v>
      </c>
      <c r="I1161" s="8" t="s">
        <v>1134</v>
      </c>
      <c r="J1161" s="8" t="s">
        <v>1111</v>
      </c>
      <c r="K1161" s="8" t="s">
        <v>1099</v>
      </c>
      <c r="L1161" s="10" t="s">
        <v>1135</v>
      </c>
      <c r="M1161" s="10" t="s">
        <v>1136</v>
      </c>
      <c r="N1161" s="10"/>
      <c r="O1161" s="8" t="s">
        <v>1106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1106</v>
      </c>
      <c r="AA1161" s="8" t="s">
        <v>331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1093</v>
      </c>
      <c r="E1162" s="8" t="s">
        <v>128</v>
      </c>
      <c r="F1162" s="8" t="s">
        <v>2432</v>
      </c>
      <c r="G1162" s="8" t="s">
        <v>1841</v>
      </c>
      <c r="H1162" s="8" t="s">
        <v>1920</v>
      </c>
      <c r="I1162" s="8" t="s">
        <v>1139</v>
      </c>
      <c r="J1162" s="8" t="s">
        <v>1140</v>
      </c>
      <c r="K1162" s="8" t="s">
        <v>1099</v>
      </c>
      <c r="L1162" s="10" t="s">
        <v>1141</v>
      </c>
      <c r="M1162" s="10" t="s">
        <v>1142</v>
      </c>
      <c r="N1162" s="10" t="s">
        <v>1143</v>
      </c>
      <c r="O1162" s="8" t="s">
        <v>1106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1106</v>
      </c>
      <c r="AA1162" s="8" t="s">
        <v>331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1093</v>
      </c>
      <c r="E1163" s="8" t="s">
        <v>128</v>
      </c>
      <c r="F1163" s="8" t="s">
        <v>2432</v>
      </c>
      <c r="G1163" s="8" t="s">
        <v>1929</v>
      </c>
      <c r="H1163" s="8" t="s">
        <v>2435</v>
      </c>
      <c r="I1163" s="8" t="s">
        <v>1145</v>
      </c>
      <c r="J1163" s="8" t="s">
        <v>1140</v>
      </c>
      <c r="K1163" s="8" t="s">
        <v>1099</v>
      </c>
      <c r="L1163" s="10" t="s">
        <v>1146</v>
      </c>
      <c r="M1163" s="10" t="s">
        <v>1147</v>
      </c>
      <c r="N1163" s="10" t="s">
        <v>1131</v>
      </c>
      <c r="O1163" s="8" t="s">
        <v>1106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1106</v>
      </c>
      <c r="AA1163" s="8" t="s">
        <v>331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1093</v>
      </c>
      <c r="E1164" s="8" t="s">
        <v>128</v>
      </c>
      <c r="F1164" s="8" t="s">
        <v>2432</v>
      </c>
      <c r="G1164" s="8" t="s">
        <v>1155</v>
      </c>
      <c r="H1164" s="8" t="s">
        <v>1841</v>
      </c>
      <c r="I1164" s="8" t="s">
        <v>1150</v>
      </c>
      <c r="J1164" s="8" t="s">
        <v>1140</v>
      </c>
      <c r="K1164" s="8" t="s">
        <v>1099</v>
      </c>
      <c r="L1164" s="10" t="s">
        <v>1151</v>
      </c>
      <c r="M1164" s="10" t="s">
        <v>1152</v>
      </c>
      <c r="N1164" s="10" t="s">
        <v>1153</v>
      </c>
      <c r="O1164" s="8" t="s">
        <v>1106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1106</v>
      </c>
      <c r="AA1164" s="8" t="s">
        <v>331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1093</v>
      </c>
      <c r="E1165" s="8" t="s">
        <v>128</v>
      </c>
      <c r="F1165" s="8" t="s">
        <v>2432</v>
      </c>
      <c r="G1165" s="8" t="s">
        <v>1221</v>
      </c>
      <c r="H1165" s="8" t="s">
        <v>1160</v>
      </c>
      <c r="I1165" s="8" t="s">
        <v>1162</v>
      </c>
      <c r="J1165" s="8" t="s">
        <v>1140</v>
      </c>
      <c r="K1165" s="8" t="s">
        <v>1099</v>
      </c>
      <c r="L1165" s="10" t="s">
        <v>1163</v>
      </c>
      <c r="M1165" s="10" t="s">
        <v>1164</v>
      </c>
      <c r="N1165" s="10" t="s">
        <v>1131</v>
      </c>
      <c r="O1165" s="8" t="s">
        <v>1106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1106</v>
      </c>
      <c r="AA1165" s="8" t="s">
        <v>331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1093</v>
      </c>
      <c r="E1166" s="8" t="s">
        <v>128</v>
      </c>
      <c r="F1166" s="8" t="s">
        <v>2432</v>
      </c>
      <c r="G1166" s="8" t="s">
        <v>1127</v>
      </c>
      <c r="H1166" s="8" t="s">
        <v>1114</v>
      </c>
      <c r="I1166" s="8" t="s">
        <v>2391</v>
      </c>
      <c r="J1166" s="8" t="s">
        <v>1140</v>
      </c>
      <c r="K1166" s="8" t="s">
        <v>1099</v>
      </c>
      <c r="L1166" s="10" t="s">
        <v>2392</v>
      </c>
      <c r="M1166" s="10" t="s">
        <v>2393</v>
      </c>
      <c r="N1166" s="10" t="s">
        <v>2394</v>
      </c>
      <c r="O1166" s="8" t="s">
        <v>1106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1106</v>
      </c>
      <c r="AA1166" s="8" t="s">
        <v>331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1093</v>
      </c>
      <c r="E1167" s="8" t="s">
        <v>128</v>
      </c>
      <c r="F1167" s="8" t="s">
        <v>2432</v>
      </c>
      <c r="G1167" s="8" t="s">
        <v>2436</v>
      </c>
      <c r="H1167" s="8" t="s">
        <v>2437</v>
      </c>
      <c r="I1167" s="8" t="s">
        <v>1223</v>
      </c>
      <c r="J1167" s="8" t="s">
        <v>1217</v>
      </c>
      <c r="K1167" s="8" t="s">
        <v>1099</v>
      </c>
      <c r="L1167" s="10" t="s">
        <v>2438</v>
      </c>
      <c r="M1167" s="10" t="s">
        <v>1225</v>
      </c>
      <c r="N1167" s="10" t="s">
        <v>1226</v>
      </c>
      <c r="O1167" s="8" t="s">
        <v>1106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1106</v>
      </c>
      <c r="AA1167" s="8" t="s">
        <v>331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1093</v>
      </c>
      <c r="E1168" s="8" t="s">
        <v>128</v>
      </c>
      <c r="F1168" s="8" t="s">
        <v>2432</v>
      </c>
      <c r="G1168" s="8" t="s">
        <v>1961</v>
      </c>
      <c r="H1168" s="8" t="s">
        <v>1317</v>
      </c>
      <c r="I1168" s="8" t="s">
        <v>2144</v>
      </c>
      <c r="J1168" s="8" t="s">
        <v>1217</v>
      </c>
      <c r="K1168" s="8" t="s">
        <v>1099</v>
      </c>
      <c r="L1168" s="10" t="s">
        <v>1205</v>
      </c>
      <c r="M1168" s="10" t="s">
        <v>1206</v>
      </c>
      <c r="N1168" s="10"/>
      <c r="O1168" s="8" t="s">
        <v>1106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1106</v>
      </c>
      <c r="AA1168" s="8" t="s">
        <v>331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1093</v>
      </c>
      <c r="E1169" s="8" t="s">
        <v>128</v>
      </c>
      <c r="F1169" s="8" t="s">
        <v>2432</v>
      </c>
      <c r="G1169" s="8" t="s">
        <v>1604</v>
      </c>
      <c r="H1169" s="8" t="s">
        <v>2439</v>
      </c>
      <c r="I1169" s="8" t="s">
        <v>2147</v>
      </c>
      <c r="J1169" s="8" t="s">
        <v>1244</v>
      </c>
      <c r="K1169" s="8" t="s">
        <v>1099</v>
      </c>
      <c r="L1169" s="10" t="s">
        <v>1230</v>
      </c>
      <c r="M1169" s="10" t="s">
        <v>1231</v>
      </c>
      <c r="N1169" s="10"/>
      <c r="O1169" s="8" t="s">
        <v>1106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1106</v>
      </c>
      <c r="AA1169" s="8" t="s">
        <v>331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1093</v>
      </c>
      <c r="E1170" s="8" t="s">
        <v>123</v>
      </c>
      <c r="F1170" s="8" t="s">
        <v>2432</v>
      </c>
      <c r="G1170" s="8" t="s">
        <v>1166</v>
      </c>
      <c r="H1170" s="8" t="s">
        <v>1343</v>
      </c>
      <c r="I1170" s="8" t="s">
        <v>2166</v>
      </c>
      <c r="J1170" s="8" t="s">
        <v>1169</v>
      </c>
      <c r="K1170" s="8" t="s">
        <v>1099</v>
      </c>
      <c r="L1170" s="10" t="s">
        <v>1170</v>
      </c>
      <c r="M1170" s="10" t="s">
        <v>2167</v>
      </c>
      <c r="N1170" s="10" t="s">
        <v>2168</v>
      </c>
      <c r="O1170" s="8" t="s">
        <v>362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2440</v>
      </c>
      <c r="AA1170" s="8" t="s">
        <v>331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1093</v>
      </c>
      <c r="E1171" s="8" t="s">
        <v>123</v>
      </c>
      <c r="F1171" s="8" t="s">
        <v>2441</v>
      </c>
      <c r="G1171" s="8" t="s">
        <v>1266</v>
      </c>
      <c r="H1171" s="8" t="s">
        <v>1196</v>
      </c>
      <c r="I1171" s="8" t="s">
        <v>1623</v>
      </c>
      <c r="J1171" s="8" t="s">
        <v>1169</v>
      </c>
      <c r="K1171" s="8" t="s">
        <v>1099</v>
      </c>
      <c r="L1171" s="10" t="s">
        <v>1624</v>
      </c>
      <c r="M1171" s="10" t="s">
        <v>1625</v>
      </c>
      <c r="N1171" s="10" t="s">
        <v>1340</v>
      </c>
      <c r="O1171" s="8" t="s">
        <v>1106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1613</v>
      </c>
      <c r="AA1171" s="8" t="s">
        <v>331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1093</v>
      </c>
      <c r="E1172" s="8" t="s">
        <v>123</v>
      </c>
      <c r="F1172" s="8" t="s">
        <v>2386</v>
      </c>
      <c r="G1172" s="8" t="s">
        <v>1317</v>
      </c>
      <c r="H1172" s="8" t="s">
        <v>1273</v>
      </c>
      <c r="I1172" s="8" t="s">
        <v>2343</v>
      </c>
      <c r="J1172" s="8" t="s">
        <v>1193</v>
      </c>
      <c r="K1172" s="8" t="s">
        <v>1099</v>
      </c>
      <c r="L1172" s="10" t="s">
        <v>1314</v>
      </c>
      <c r="M1172" s="10" t="s">
        <v>1438</v>
      </c>
      <c r="N1172" s="10" t="s">
        <v>1439</v>
      </c>
      <c r="O1172" s="8" t="s">
        <v>1106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1613</v>
      </c>
      <c r="AA1172" s="8" t="s">
        <v>331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1093</v>
      </c>
      <c r="E1173" s="8" t="s">
        <v>123</v>
      </c>
      <c r="F1173" s="8" t="s">
        <v>2432</v>
      </c>
      <c r="G1173" s="8" t="s">
        <v>1343</v>
      </c>
      <c r="H1173" s="8" t="s">
        <v>1303</v>
      </c>
      <c r="I1173" s="8" t="s">
        <v>2268</v>
      </c>
      <c r="J1173" s="8" t="s">
        <v>1204</v>
      </c>
      <c r="K1173" s="8" t="s">
        <v>1099</v>
      </c>
      <c r="L1173" s="10" t="s">
        <v>1170</v>
      </c>
      <c r="M1173" s="10" t="s">
        <v>2269</v>
      </c>
      <c r="N1173" s="10" t="s">
        <v>2270</v>
      </c>
      <c r="O1173" s="8" t="s">
        <v>362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2442</v>
      </c>
      <c r="AA1173" s="8" t="s">
        <v>331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1093</v>
      </c>
      <c r="E1174" s="8" t="s">
        <v>123</v>
      </c>
      <c r="F1174" s="8" t="s">
        <v>2443</v>
      </c>
      <c r="G1174" s="8" t="s">
        <v>1266</v>
      </c>
      <c r="H1174" s="8" t="s">
        <v>1279</v>
      </c>
      <c r="I1174" s="8" t="s">
        <v>2010</v>
      </c>
      <c r="J1174" s="8" t="s">
        <v>1459</v>
      </c>
      <c r="K1174" s="8" t="s">
        <v>1099</v>
      </c>
      <c r="L1174" s="10" t="s">
        <v>2011</v>
      </c>
      <c r="M1174" s="10" t="s">
        <v>2012</v>
      </c>
      <c r="N1174" s="10" t="s">
        <v>1340</v>
      </c>
      <c r="O1174" s="8" t="s">
        <v>362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2444</v>
      </c>
      <c r="AA1174" s="8" t="s">
        <v>331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1093</v>
      </c>
      <c r="E1175" s="8" t="s">
        <v>123</v>
      </c>
      <c r="F1175" s="8" t="s">
        <v>2432</v>
      </c>
      <c r="G1175" s="8" t="s">
        <v>1196</v>
      </c>
      <c r="H1175" s="8" t="s">
        <v>1197</v>
      </c>
      <c r="I1175" s="8" t="s">
        <v>1484</v>
      </c>
      <c r="J1175" s="8" t="s">
        <v>1479</v>
      </c>
      <c r="K1175" s="8" t="s">
        <v>1099</v>
      </c>
      <c r="L1175" s="10" t="s">
        <v>1170</v>
      </c>
      <c r="M1175" s="10" t="s">
        <v>1463</v>
      </c>
      <c r="N1175" s="10" t="s">
        <v>1485</v>
      </c>
      <c r="O1175" s="8" t="s">
        <v>321</v>
      </c>
      <c r="P1175" s="8"/>
      <c r="Q1175" s="8"/>
      <c r="R1175" s="8">
        <v>12160</v>
      </c>
      <c r="S1175" s="8"/>
      <c r="T1175" s="8"/>
      <c r="U1175" s="8" t="s">
        <v>331</v>
      </c>
      <c r="V1175" s="8"/>
      <c r="W1175" s="8"/>
      <c r="X1175" s="8"/>
      <c r="Y1175" s="8"/>
      <c r="Z1175" s="10" t="s">
        <v>1278</v>
      </c>
      <c r="AA1175" s="8" t="s">
        <v>331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1093</v>
      </c>
      <c r="E1176" s="8" t="s">
        <v>123</v>
      </c>
      <c r="F1176" s="8" t="s">
        <v>2432</v>
      </c>
      <c r="G1176" s="8" t="s">
        <v>1312</v>
      </c>
      <c r="H1176" s="8" t="s">
        <v>1196</v>
      </c>
      <c r="I1176" s="8" t="s">
        <v>1487</v>
      </c>
      <c r="J1176" s="8" t="s">
        <v>1479</v>
      </c>
      <c r="K1176" s="8" t="s">
        <v>1099</v>
      </c>
      <c r="L1176" s="10" t="s">
        <v>1170</v>
      </c>
      <c r="M1176" s="10" t="s">
        <v>1463</v>
      </c>
      <c r="N1176" s="10" t="s">
        <v>1488</v>
      </c>
      <c r="O1176" s="8" t="s">
        <v>321</v>
      </c>
      <c r="P1176" s="8"/>
      <c r="Q1176" s="8"/>
      <c r="R1176" s="8">
        <v>87781</v>
      </c>
      <c r="S1176" s="8"/>
      <c r="T1176" s="8"/>
      <c r="U1176" s="8" t="s">
        <v>331</v>
      </c>
      <c r="V1176" s="8"/>
      <c r="W1176" s="8"/>
      <c r="X1176" s="8"/>
      <c r="Y1176" s="8"/>
      <c r="Z1176" s="10" t="s">
        <v>1278</v>
      </c>
      <c r="AA1176" s="8" t="s">
        <v>331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1093</v>
      </c>
      <c r="E1177" s="8" t="s">
        <v>123</v>
      </c>
      <c r="F1177" s="8" t="s">
        <v>2432</v>
      </c>
      <c r="G1177" s="8" t="s">
        <v>1279</v>
      </c>
      <c r="H1177" s="8" t="s">
        <v>1149</v>
      </c>
      <c r="I1177" s="8" t="s">
        <v>2204</v>
      </c>
      <c r="J1177" s="8" t="s">
        <v>1479</v>
      </c>
      <c r="K1177" s="8" t="s">
        <v>1099</v>
      </c>
      <c r="L1177" s="10" t="s">
        <v>1466</v>
      </c>
      <c r="M1177" s="10" t="s">
        <v>1467</v>
      </c>
      <c r="N1177" s="10" t="s">
        <v>1468</v>
      </c>
      <c r="O1177" s="8" t="s">
        <v>321</v>
      </c>
      <c r="P1177" s="8"/>
      <c r="Q1177" s="8"/>
      <c r="R1177" s="8">
        <v>68795</v>
      </c>
      <c r="S1177" s="8"/>
      <c r="T1177" s="8"/>
      <c r="U1177" s="8" t="s">
        <v>331</v>
      </c>
      <c r="V1177" s="8"/>
      <c r="W1177" s="8"/>
      <c r="X1177" s="8"/>
      <c r="Y1177" s="8"/>
      <c r="Z1177" s="10" t="s">
        <v>1278</v>
      </c>
      <c r="AA1177" s="8" t="s">
        <v>331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1093</v>
      </c>
      <c r="E1178" s="8" t="s">
        <v>123</v>
      </c>
      <c r="F1178" s="8" t="s">
        <v>2432</v>
      </c>
      <c r="G1178" s="8" t="s">
        <v>1266</v>
      </c>
      <c r="H1178" s="8" t="s">
        <v>1312</v>
      </c>
      <c r="I1178" s="8" t="s">
        <v>2367</v>
      </c>
      <c r="J1178" s="8" t="s">
        <v>1479</v>
      </c>
      <c r="K1178" s="8" t="s">
        <v>1099</v>
      </c>
      <c r="L1178" s="10" t="s">
        <v>1170</v>
      </c>
      <c r="M1178" s="10" t="s">
        <v>1463</v>
      </c>
      <c r="N1178" s="10" t="s">
        <v>1664</v>
      </c>
      <c r="O1178" s="8" t="s">
        <v>321</v>
      </c>
      <c r="P1178" s="8"/>
      <c r="Q1178" s="8"/>
      <c r="R1178" s="8">
        <v>47607</v>
      </c>
      <c r="S1178" s="8"/>
      <c r="T1178" s="8"/>
      <c r="U1178" s="8" t="s">
        <v>331</v>
      </c>
      <c r="V1178" s="8"/>
      <c r="W1178" s="8"/>
      <c r="X1178" s="8"/>
      <c r="Y1178" s="8"/>
      <c r="Z1178" s="10" t="s">
        <v>1278</v>
      </c>
      <c r="AA1178" s="8" t="s">
        <v>331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1093</v>
      </c>
      <c r="E1179" s="8" t="s">
        <v>123</v>
      </c>
      <c r="F1179" s="8" t="s">
        <v>2432</v>
      </c>
      <c r="G1179" s="8" t="s">
        <v>1297</v>
      </c>
      <c r="H1179" s="8" t="s">
        <v>1270</v>
      </c>
      <c r="I1179" s="8" t="s">
        <v>1674</v>
      </c>
      <c r="J1179" s="8" t="s">
        <v>1675</v>
      </c>
      <c r="K1179" s="8" t="s">
        <v>1099</v>
      </c>
      <c r="L1179" s="10" t="s">
        <v>1676</v>
      </c>
      <c r="M1179" s="10" t="s">
        <v>1677</v>
      </c>
      <c r="N1179" s="10" t="s">
        <v>1678</v>
      </c>
      <c r="O1179" s="8" t="s">
        <v>321</v>
      </c>
      <c r="P1179" s="8"/>
      <c r="Q1179" s="8">
        <v>2726</v>
      </c>
      <c r="R1179" s="8">
        <v>183420</v>
      </c>
      <c r="S1179" s="8"/>
      <c r="T1179" s="8"/>
      <c r="U1179" s="8" t="s">
        <v>331</v>
      </c>
      <c r="V1179" s="8"/>
      <c r="W1179" s="8"/>
      <c r="X1179" s="8"/>
      <c r="Y1179" s="8"/>
      <c r="Z1179" s="10" t="s">
        <v>1278</v>
      </c>
      <c r="AA1179" s="8" t="s">
        <v>331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1093</v>
      </c>
      <c r="E1180" s="8" t="s">
        <v>123</v>
      </c>
      <c r="F1180" s="8" t="s">
        <v>2432</v>
      </c>
      <c r="G1180" s="8" t="s">
        <v>1270</v>
      </c>
      <c r="H1180" s="8" t="s">
        <v>1317</v>
      </c>
      <c r="I1180" s="8" t="s">
        <v>1680</v>
      </c>
      <c r="J1180" s="8" t="s">
        <v>1675</v>
      </c>
      <c r="K1180" s="8" t="s">
        <v>1099</v>
      </c>
      <c r="L1180" s="10" t="s">
        <v>1676</v>
      </c>
      <c r="M1180" s="10" t="s">
        <v>1677</v>
      </c>
      <c r="N1180" s="10" t="s">
        <v>1681</v>
      </c>
      <c r="O1180" s="8" t="s">
        <v>321</v>
      </c>
      <c r="P1180" s="8"/>
      <c r="Q1180" s="8">
        <v>8780</v>
      </c>
      <c r="R1180" s="8">
        <v>299832</v>
      </c>
      <c r="S1180" s="8"/>
      <c r="T1180" s="8"/>
      <c r="U1180" s="8" t="s">
        <v>331</v>
      </c>
      <c r="V1180" s="8"/>
      <c r="W1180" s="8"/>
      <c r="X1180" s="8"/>
      <c r="Y1180" s="8"/>
      <c r="Z1180" s="10" t="s">
        <v>1278</v>
      </c>
      <c r="AA1180" s="8" t="s">
        <v>331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1093</v>
      </c>
      <c r="E1181" s="8" t="s">
        <v>123</v>
      </c>
      <c r="F1181" s="8" t="s">
        <v>2409</v>
      </c>
      <c r="G1181" s="8" t="s">
        <v>1266</v>
      </c>
      <c r="H1181" s="8" t="s">
        <v>1196</v>
      </c>
      <c r="I1181" s="8" t="s">
        <v>1286</v>
      </c>
      <c r="J1181" s="8" t="s">
        <v>1111</v>
      </c>
      <c r="K1181" s="8" t="s">
        <v>1099</v>
      </c>
      <c r="L1181" s="10" t="s">
        <v>1287</v>
      </c>
      <c r="M1181" s="10" t="s">
        <v>1288</v>
      </c>
      <c r="N1181" s="10" t="s">
        <v>1289</v>
      </c>
      <c r="O1181" s="8" t="s">
        <v>1106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1613</v>
      </c>
      <c r="AA1181" s="8" t="s">
        <v>331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1093</v>
      </c>
      <c r="E1182" s="8" t="s">
        <v>123</v>
      </c>
      <c r="F1182" s="8" t="s">
        <v>2443</v>
      </c>
      <c r="G1182" s="8" t="s">
        <v>1684</v>
      </c>
      <c r="H1182" s="8" t="s">
        <v>1284</v>
      </c>
      <c r="I1182" s="8" t="s">
        <v>1592</v>
      </c>
      <c r="J1182" s="8" t="s">
        <v>1111</v>
      </c>
      <c r="K1182" s="8" t="s">
        <v>1099</v>
      </c>
      <c r="L1182" s="10" t="s">
        <v>1293</v>
      </c>
      <c r="M1182" s="10" t="s">
        <v>1593</v>
      </c>
      <c r="N1182" s="10" t="s">
        <v>1594</v>
      </c>
      <c r="O1182" s="8" t="s">
        <v>1106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1738</v>
      </c>
      <c r="AA1182" s="8" t="s">
        <v>331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1093</v>
      </c>
      <c r="E1183" s="8" t="s">
        <v>123</v>
      </c>
      <c r="F1183" s="8" t="s">
        <v>2443</v>
      </c>
      <c r="G1183" s="8" t="s">
        <v>1342</v>
      </c>
      <c r="H1183" s="8" t="s">
        <v>1347</v>
      </c>
      <c r="I1183" s="8" t="s">
        <v>2445</v>
      </c>
      <c r="J1183" s="8" t="s">
        <v>1140</v>
      </c>
      <c r="K1183" s="8" t="s">
        <v>1099</v>
      </c>
      <c r="L1183" s="10" t="s">
        <v>1293</v>
      </c>
      <c r="M1183" s="10" t="s">
        <v>2446</v>
      </c>
      <c r="N1183" s="10" t="s">
        <v>1295</v>
      </c>
      <c r="O1183" s="8" t="s">
        <v>321</v>
      </c>
      <c r="P1183" s="8"/>
      <c r="Q1183" s="8">
        <v>2425</v>
      </c>
      <c r="R1183" s="8">
        <v>2632</v>
      </c>
      <c r="S1183" s="8"/>
      <c r="T1183" s="8"/>
      <c r="U1183" s="8" t="s">
        <v>331</v>
      </c>
      <c r="V1183" s="8"/>
      <c r="W1183" s="8"/>
      <c r="X1183" s="8"/>
      <c r="Y1183" s="8"/>
      <c r="Z1183" s="10" t="s">
        <v>1278</v>
      </c>
      <c r="AA1183" s="8" t="s">
        <v>331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1093</v>
      </c>
      <c r="E1184" s="8" t="s">
        <v>123</v>
      </c>
      <c r="F1184" s="8" t="s">
        <v>2443</v>
      </c>
      <c r="G1184" s="8" t="s">
        <v>1302</v>
      </c>
      <c r="H1184" s="8" t="s">
        <v>1342</v>
      </c>
      <c r="I1184" s="8" t="s">
        <v>1478</v>
      </c>
      <c r="J1184" s="8" t="s">
        <v>1479</v>
      </c>
      <c r="K1184" s="8" t="s">
        <v>1099</v>
      </c>
      <c r="L1184" s="10" t="s">
        <v>1480</v>
      </c>
      <c r="M1184" s="10" t="s">
        <v>1481</v>
      </c>
      <c r="N1184" s="10" t="s">
        <v>1482</v>
      </c>
      <c r="O1184" s="8" t="s">
        <v>362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2169</v>
      </c>
      <c r="AA1184" s="8" t="s">
        <v>331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1093</v>
      </c>
      <c r="E1185" s="8" t="s">
        <v>123</v>
      </c>
      <c r="F1185" s="8" t="s">
        <v>2443</v>
      </c>
      <c r="G1185" s="8" t="s">
        <v>1297</v>
      </c>
      <c r="H1185" s="8" t="s">
        <v>1317</v>
      </c>
      <c r="I1185" s="8" t="s">
        <v>2447</v>
      </c>
      <c r="J1185" s="8" t="s">
        <v>2448</v>
      </c>
      <c r="K1185" s="8" t="s">
        <v>1099</v>
      </c>
      <c r="L1185" s="10" t="s">
        <v>1293</v>
      </c>
      <c r="M1185" s="10" t="s">
        <v>2449</v>
      </c>
      <c r="N1185" s="10" t="s">
        <v>2450</v>
      </c>
      <c r="O1185" s="8" t="s">
        <v>1106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1738</v>
      </c>
      <c r="AA1185" s="8" t="s">
        <v>331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1093</v>
      </c>
      <c r="E1186" s="8" t="s">
        <v>128</v>
      </c>
      <c r="F1186" s="8" t="s">
        <v>2451</v>
      </c>
      <c r="G1186" s="8" t="s">
        <v>1227</v>
      </c>
      <c r="H1186" s="8" t="s">
        <v>1228</v>
      </c>
      <c r="I1186" s="8" t="s">
        <v>1156</v>
      </c>
      <c r="J1186" s="8" t="s">
        <v>1140</v>
      </c>
      <c r="K1186" s="8" t="s">
        <v>1099</v>
      </c>
      <c r="L1186" s="10" t="s">
        <v>1157</v>
      </c>
      <c r="M1186" s="10" t="s">
        <v>1158</v>
      </c>
      <c r="N1186" s="10"/>
      <c r="O1186" s="8" t="s">
        <v>321</v>
      </c>
      <c r="P1186" s="8"/>
      <c r="Q1186" s="8">
        <v>2227</v>
      </c>
      <c r="R1186" s="8">
        <v>2018</v>
      </c>
      <c r="S1186" s="8" t="s">
        <v>331</v>
      </c>
      <c r="T1186" s="8"/>
      <c r="U1186" s="8"/>
      <c r="V1186" s="8"/>
      <c r="W1186" s="8"/>
      <c r="X1186" s="8"/>
      <c r="Y1186" s="8"/>
      <c r="Z1186" s="10" t="s">
        <v>1102</v>
      </c>
      <c r="AA1186" s="8" t="s">
        <v>331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1093</v>
      </c>
      <c r="E1187" s="8" t="s">
        <v>128</v>
      </c>
      <c r="F1187" s="8" t="s">
        <v>2451</v>
      </c>
      <c r="G1187" s="8" t="s">
        <v>1886</v>
      </c>
      <c r="H1187" s="8" t="s">
        <v>1384</v>
      </c>
      <c r="I1187" s="8" t="s">
        <v>2287</v>
      </c>
      <c r="J1187" s="8" t="s">
        <v>1140</v>
      </c>
      <c r="K1187" s="8" t="s">
        <v>1099</v>
      </c>
      <c r="L1187" s="10" t="s">
        <v>2288</v>
      </c>
      <c r="M1187" s="10" t="s">
        <v>1101</v>
      </c>
      <c r="N1187" s="10"/>
      <c r="O1187" s="8" t="s">
        <v>321</v>
      </c>
      <c r="P1187" s="8"/>
      <c r="Q1187" s="8">
        <v>295</v>
      </c>
      <c r="R1187" s="8">
        <v>4031</v>
      </c>
      <c r="S1187" s="8" t="s">
        <v>331</v>
      </c>
      <c r="T1187" s="8"/>
      <c r="U1187" s="8"/>
      <c r="V1187" s="8"/>
      <c r="W1187" s="8"/>
      <c r="X1187" s="8"/>
      <c r="Y1187" s="8"/>
      <c r="Z1187" s="10" t="s">
        <v>1102</v>
      </c>
      <c r="AA1187" s="8" t="s">
        <v>331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1093</v>
      </c>
      <c r="E1188" s="8" t="s">
        <v>123</v>
      </c>
      <c r="F1188" s="8" t="s">
        <v>2402</v>
      </c>
      <c r="G1188" s="8" t="s">
        <v>1342</v>
      </c>
      <c r="H1188" s="8" t="s">
        <v>1347</v>
      </c>
      <c r="I1188" s="8" t="s">
        <v>1857</v>
      </c>
      <c r="J1188" s="8" t="s">
        <v>1140</v>
      </c>
      <c r="K1188" s="8" t="s">
        <v>1099</v>
      </c>
      <c r="L1188" s="10" t="s">
        <v>1299</v>
      </c>
      <c r="M1188" s="10" t="s">
        <v>1858</v>
      </c>
      <c r="N1188" s="10" t="s">
        <v>1859</v>
      </c>
      <c r="O1188" s="8" t="s">
        <v>1106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1613</v>
      </c>
      <c r="AA1188" s="8" t="s">
        <v>331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1093</v>
      </c>
      <c r="E1189" s="8" t="s">
        <v>123</v>
      </c>
      <c r="F1189" s="8" t="s">
        <v>2451</v>
      </c>
      <c r="G1189" s="8" t="s">
        <v>1279</v>
      </c>
      <c r="H1189" s="8" t="s">
        <v>1974</v>
      </c>
      <c r="I1189" s="8" t="s">
        <v>2245</v>
      </c>
      <c r="J1189" s="8" t="s">
        <v>1204</v>
      </c>
      <c r="K1189" s="8" t="s">
        <v>1099</v>
      </c>
      <c r="L1189" s="10" t="s">
        <v>1170</v>
      </c>
      <c r="M1189" s="10" t="s">
        <v>2246</v>
      </c>
      <c r="N1189" s="10" t="s">
        <v>2247</v>
      </c>
      <c r="O1189" s="8" t="s">
        <v>362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2452</v>
      </c>
      <c r="AA1189" s="8" t="s">
        <v>331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1093</v>
      </c>
      <c r="E1190" s="8" t="s">
        <v>123</v>
      </c>
      <c r="F1190" s="8" t="s">
        <v>2451</v>
      </c>
      <c r="G1190" s="8" t="s">
        <v>1196</v>
      </c>
      <c r="H1190" s="8" t="s">
        <v>1279</v>
      </c>
      <c r="I1190" s="8" t="s">
        <v>1473</v>
      </c>
      <c r="J1190" s="8" t="s">
        <v>1244</v>
      </c>
      <c r="K1190" s="8" t="s">
        <v>1099</v>
      </c>
      <c r="L1190" s="10" t="s">
        <v>1474</v>
      </c>
      <c r="M1190" s="10" t="s">
        <v>1475</v>
      </c>
      <c r="N1190" s="10" t="s">
        <v>1424</v>
      </c>
      <c r="O1190" s="8" t="s">
        <v>321</v>
      </c>
      <c r="P1190" s="8"/>
      <c r="Q1190" s="8">
        <v>4112</v>
      </c>
      <c r="R1190" s="8">
        <v>1507</v>
      </c>
      <c r="S1190" s="8" t="s">
        <v>331</v>
      </c>
      <c r="T1190" s="8"/>
      <c r="U1190" s="8"/>
      <c r="V1190" s="8"/>
      <c r="W1190" s="8"/>
      <c r="X1190" s="8"/>
      <c r="Y1190" s="8"/>
      <c r="Z1190" s="10" t="s">
        <v>1738</v>
      </c>
      <c r="AA1190" s="8" t="s">
        <v>331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1093</v>
      </c>
      <c r="E1191" s="8" t="s">
        <v>128</v>
      </c>
      <c r="F1191" s="8" t="s">
        <v>2423</v>
      </c>
      <c r="G1191" s="8" t="s">
        <v>2331</v>
      </c>
      <c r="H1191" s="8" t="s">
        <v>1615</v>
      </c>
      <c r="I1191" s="8" t="s">
        <v>2417</v>
      </c>
      <c r="J1191" s="8" t="s">
        <v>1140</v>
      </c>
      <c r="K1191" s="8" t="s">
        <v>1099</v>
      </c>
      <c r="L1191" s="10" t="s">
        <v>1123</v>
      </c>
      <c r="M1191" s="10" t="s">
        <v>1124</v>
      </c>
      <c r="N1191" s="10" t="s">
        <v>1125</v>
      </c>
      <c r="O1191" s="8" t="s">
        <v>1106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1102</v>
      </c>
      <c r="AA1191" s="8" t="s">
        <v>331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1093</v>
      </c>
      <c r="E1192" s="8" t="s">
        <v>128</v>
      </c>
      <c r="F1192" s="8" t="s">
        <v>2451</v>
      </c>
      <c r="G1192" s="8" t="s">
        <v>1707</v>
      </c>
      <c r="H1192" s="8" t="s">
        <v>1245</v>
      </c>
      <c r="I1192" s="8" t="s">
        <v>1179</v>
      </c>
      <c r="J1192" s="8" t="s">
        <v>1169</v>
      </c>
      <c r="K1192" s="8" t="s">
        <v>1099</v>
      </c>
      <c r="L1192" s="10" t="s">
        <v>1180</v>
      </c>
      <c r="M1192" s="10" t="s">
        <v>1181</v>
      </c>
      <c r="N1192" s="10" t="s">
        <v>128</v>
      </c>
      <c r="O1192" s="8" t="s">
        <v>321</v>
      </c>
      <c r="P1192" s="8"/>
      <c r="Q1192" s="8"/>
      <c r="R1192" s="8">
        <v>52415</v>
      </c>
      <c r="S1192" s="8" t="s">
        <v>331</v>
      </c>
      <c r="T1192" s="8"/>
      <c r="U1192" s="8"/>
      <c r="V1192" s="8"/>
      <c r="W1192" s="8"/>
      <c r="X1192" s="8"/>
      <c r="Y1192" s="8"/>
      <c r="Z1192" s="10" t="s">
        <v>1102</v>
      </c>
      <c r="AA1192" s="8" t="s">
        <v>331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1093</v>
      </c>
      <c r="E1193" s="8" t="s">
        <v>128</v>
      </c>
      <c r="F1193" s="8" t="s">
        <v>2443</v>
      </c>
      <c r="G1193" s="8" t="s">
        <v>1255</v>
      </c>
      <c r="H1193" s="8" t="s">
        <v>1813</v>
      </c>
      <c r="I1193" s="8" t="s">
        <v>1825</v>
      </c>
      <c r="J1193" s="8" t="s">
        <v>1169</v>
      </c>
      <c r="K1193" s="8" t="s">
        <v>1099</v>
      </c>
      <c r="L1193" s="10" t="s">
        <v>1546</v>
      </c>
      <c r="M1193" s="10" t="s">
        <v>1826</v>
      </c>
      <c r="N1193" s="10" t="s">
        <v>128</v>
      </c>
      <c r="O1193" s="8" t="s">
        <v>1106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1102</v>
      </c>
      <c r="AA1193" s="8" t="s">
        <v>331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1093</v>
      </c>
      <c r="E1194" s="8" t="s">
        <v>128</v>
      </c>
      <c r="F1194" s="8" t="s">
        <v>2386</v>
      </c>
      <c r="G1194" s="8" t="s">
        <v>1703</v>
      </c>
      <c r="H1194" s="8" t="s">
        <v>1704</v>
      </c>
      <c r="I1194" s="8" t="s">
        <v>1192</v>
      </c>
      <c r="J1194" s="8" t="s">
        <v>1193</v>
      </c>
      <c r="K1194" s="8" t="s">
        <v>1099</v>
      </c>
      <c r="L1194" s="10" t="s">
        <v>1194</v>
      </c>
      <c r="M1194" s="10" t="s">
        <v>1195</v>
      </c>
      <c r="N1194" s="10" t="s">
        <v>2325</v>
      </c>
      <c r="O1194" s="8" t="s">
        <v>1106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1102</v>
      </c>
      <c r="AA1194" s="8" t="s">
        <v>331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1093</v>
      </c>
      <c r="E1195" s="8" t="s">
        <v>128</v>
      </c>
      <c r="F1195" s="8" t="s">
        <v>2409</v>
      </c>
      <c r="G1195" s="8" t="s">
        <v>2284</v>
      </c>
      <c r="H1195" s="8" t="s">
        <v>2418</v>
      </c>
      <c r="I1195" s="8" t="s">
        <v>2419</v>
      </c>
      <c r="J1195" s="8" t="s">
        <v>1193</v>
      </c>
      <c r="K1195" s="8" t="s">
        <v>1099</v>
      </c>
      <c r="L1195" s="10" t="s">
        <v>1123</v>
      </c>
      <c r="M1195" s="10" t="s">
        <v>1124</v>
      </c>
      <c r="N1195" s="10" t="s">
        <v>1215</v>
      </c>
      <c r="O1195" s="8" t="s">
        <v>1106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1102</v>
      </c>
      <c r="AA1195" s="8" t="s">
        <v>331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1093</v>
      </c>
      <c r="E1196" s="8" t="s">
        <v>128</v>
      </c>
      <c r="F1196" s="8" t="s">
        <v>2451</v>
      </c>
      <c r="G1196" s="8" t="s">
        <v>1525</v>
      </c>
      <c r="H1196" s="8" t="s">
        <v>2453</v>
      </c>
      <c r="I1196" s="8" t="s">
        <v>1216</v>
      </c>
      <c r="J1196" s="8" t="s">
        <v>1217</v>
      </c>
      <c r="K1196" s="8" t="s">
        <v>1099</v>
      </c>
      <c r="L1196" s="10" t="s">
        <v>1218</v>
      </c>
      <c r="M1196" s="10" t="s">
        <v>1219</v>
      </c>
      <c r="N1196" s="10" t="s">
        <v>1220</v>
      </c>
      <c r="O1196" s="8" t="s">
        <v>321</v>
      </c>
      <c r="P1196" s="8"/>
      <c r="Q1196" s="8">
        <v>38997</v>
      </c>
      <c r="R1196" s="8">
        <v>34634</v>
      </c>
      <c r="S1196" s="8" t="s">
        <v>331</v>
      </c>
      <c r="T1196" s="8"/>
      <c r="U1196" s="8"/>
      <c r="V1196" s="8"/>
      <c r="W1196" s="8"/>
      <c r="X1196" s="8"/>
      <c r="Y1196" s="8"/>
      <c r="Z1196" s="10" t="s">
        <v>1102</v>
      </c>
      <c r="AA1196" s="8" t="s">
        <v>331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1093</v>
      </c>
      <c r="E1197" s="8" t="s">
        <v>128</v>
      </c>
      <c r="F1197" s="8" t="s">
        <v>2451</v>
      </c>
      <c r="G1197" s="8" t="s">
        <v>2454</v>
      </c>
      <c r="H1197" s="8" t="s">
        <v>1933</v>
      </c>
      <c r="I1197" s="8" t="s">
        <v>1724</v>
      </c>
      <c r="J1197" s="8" t="s">
        <v>1725</v>
      </c>
      <c r="K1197" s="8" t="s">
        <v>1099</v>
      </c>
      <c r="L1197" s="10" t="s">
        <v>1249</v>
      </c>
      <c r="M1197" s="10" t="s">
        <v>1250</v>
      </c>
      <c r="N1197" s="10"/>
      <c r="O1197" s="8" t="s">
        <v>321</v>
      </c>
      <c r="P1197" s="8"/>
      <c r="Q1197" s="8"/>
      <c r="R1197" s="8">
        <v>48913</v>
      </c>
      <c r="S1197" s="8" t="s">
        <v>331</v>
      </c>
      <c r="T1197" s="8"/>
      <c r="U1197" s="8"/>
      <c r="V1197" s="8"/>
      <c r="W1197" s="8"/>
      <c r="X1197" s="8"/>
      <c r="Y1197" s="8"/>
      <c r="Z1197" s="10" t="s">
        <v>1569</v>
      </c>
      <c r="AA1197" s="8" t="s">
        <v>331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1093</v>
      </c>
      <c r="E1198" s="8" t="s">
        <v>128</v>
      </c>
      <c r="F1198" s="8" t="s">
        <v>2455</v>
      </c>
      <c r="G1198" s="8" t="s">
        <v>1227</v>
      </c>
      <c r="H1198" s="8" t="s">
        <v>1228</v>
      </c>
      <c r="I1198" s="8" t="s">
        <v>1243</v>
      </c>
      <c r="J1198" s="8" t="s">
        <v>1244</v>
      </c>
      <c r="K1198" s="8" t="s">
        <v>1099</v>
      </c>
      <c r="L1198" s="10" t="s">
        <v>1236</v>
      </c>
      <c r="M1198" s="10" t="s">
        <v>1237</v>
      </c>
      <c r="N1198" s="10" t="s">
        <v>1238</v>
      </c>
      <c r="O1198" s="8" t="s">
        <v>321</v>
      </c>
      <c r="P1198" s="8"/>
      <c r="Q1198" s="8">
        <v>641</v>
      </c>
      <c r="R1198" s="8">
        <v>27154</v>
      </c>
      <c r="S1198" s="8" t="s">
        <v>331</v>
      </c>
      <c r="T1198" s="8"/>
      <c r="U1198" s="8"/>
      <c r="V1198" s="8"/>
      <c r="W1198" s="8"/>
      <c r="X1198" s="8"/>
      <c r="Y1198" s="8"/>
      <c r="Z1198" s="10" t="s">
        <v>1102</v>
      </c>
      <c r="AA1198" s="8" t="s">
        <v>331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1093</v>
      </c>
      <c r="E1199" s="8" t="s">
        <v>128</v>
      </c>
      <c r="F1199" s="8" t="s">
        <v>2455</v>
      </c>
      <c r="G1199" s="8" t="s">
        <v>1284</v>
      </c>
      <c r="H1199" s="8" t="s">
        <v>1561</v>
      </c>
      <c r="I1199" s="8" t="s">
        <v>1251</v>
      </c>
      <c r="J1199" s="8" t="s">
        <v>1252</v>
      </c>
      <c r="K1199" s="8" t="s">
        <v>1099</v>
      </c>
      <c r="L1199" s="10" t="s">
        <v>1236</v>
      </c>
      <c r="M1199" s="10" t="s">
        <v>1237</v>
      </c>
      <c r="N1199" s="10" t="s">
        <v>1253</v>
      </c>
      <c r="O1199" s="8" t="s">
        <v>1106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1102</v>
      </c>
      <c r="AA1199" s="8" t="s">
        <v>331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1093</v>
      </c>
      <c r="E1200" s="8" t="s">
        <v>128</v>
      </c>
      <c r="F1200" s="8" t="s">
        <v>2455</v>
      </c>
      <c r="G1200" s="8" t="s">
        <v>1948</v>
      </c>
      <c r="H1200" s="8" t="s">
        <v>1949</v>
      </c>
      <c r="I1200" s="8" t="s">
        <v>1256</v>
      </c>
      <c r="J1200" s="8" t="s">
        <v>1252</v>
      </c>
      <c r="K1200" s="8" t="s">
        <v>1099</v>
      </c>
      <c r="L1200" s="10" t="s">
        <v>1236</v>
      </c>
      <c r="M1200" s="10" t="s">
        <v>1237</v>
      </c>
      <c r="N1200" s="10" t="s">
        <v>1257</v>
      </c>
      <c r="O1200" s="8" t="s">
        <v>321</v>
      </c>
      <c r="P1200" s="8"/>
      <c r="Q1200" s="8"/>
      <c r="R1200" s="8">
        <v>59206</v>
      </c>
      <c r="S1200" s="8" t="s">
        <v>331</v>
      </c>
      <c r="T1200" s="8"/>
      <c r="U1200" s="8"/>
      <c r="V1200" s="8"/>
      <c r="W1200" s="8"/>
      <c r="X1200" s="8"/>
      <c r="Y1200" s="8"/>
      <c r="Z1200" s="10" t="s">
        <v>1102</v>
      </c>
      <c r="AA1200" s="8" t="s">
        <v>331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1093</v>
      </c>
      <c r="E1201" s="8" t="s">
        <v>123</v>
      </c>
      <c r="F1201" s="8" t="s">
        <v>2455</v>
      </c>
      <c r="G1201" s="8" t="s">
        <v>1196</v>
      </c>
      <c r="H1201" s="8" t="s">
        <v>1317</v>
      </c>
      <c r="I1201" s="8" t="s">
        <v>2075</v>
      </c>
      <c r="J1201" s="8" t="s">
        <v>1140</v>
      </c>
      <c r="K1201" s="8" t="s">
        <v>1099</v>
      </c>
      <c r="L1201" s="10" t="s">
        <v>1466</v>
      </c>
      <c r="M1201" s="10" t="s">
        <v>2076</v>
      </c>
      <c r="N1201" s="10" t="s">
        <v>1618</v>
      </c>
      <c r="O1201" s="8" t="s">
        <v>362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2456</v>
      </c>
      <c r="AA1201" s="8" t="s">
        <v>331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1093</v>
      </c>
      <c r="E1202" s="8" t="s">
        <v>123</v>
      </c>
      <c r="F1202" s="8" t="s">
        <v>2451</v>
      </c>
      <c r="G1202" s="8" t="s">
        <v>1684</v>
      </c>
      <c r="H1202" s="8" t="s">
        <v>1284</v>
      </c>
      <c r="I1202" s="8" t="s">
        <v>2457</v>
      </c>
      <c r="J1202" s="8" t="s">
        <v>1140</v>
      </c>
      <c r="K1202" s="8" t="s">
        <v>1099</v>
      </c>
      <c r="L1202" s="10" t="s">
        <v>1293</v>
      </c>
      <c r="M1202" s="10" t="s">
        <v>1854</v>
      </c>
      <c r="N1202" s="10" t="s">
        <v>1855</v>
      </c>
      <c r="O1202" s="8" t="s">
        <v>1106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1613</v>
      </c>
      <c r="AA1202" s="8" t="s">
        <v>331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1093</v>
      </c>
      <c r="E1203" s="8" t="s">
        <v>123</v>
      </c>
      <c r="F1203" s="8" t="s">
        <v>2455</v>
      </c>
      <c r="G1203" s="8" t="s">
        <v>1302</v>
      </c>
      <c r="H1203" s="8" t="s">
        <v>1342</v>
      </c>
      <c r="I1203" s="8" t="s">
        <v>1356</v>
      </c>
      <c r="J1203" s="8" t="s">
        <v>1193</v>
      </c>
      <c r="K1203" s="8" t="s">
        <v>1099</v>
      </c>
      <c r="L1203" s="10" t="s">
        <v>1350</v>
      </c>
      <c r="M1203" s="10" t="s">
        <v>1357</v>
      </c>
      <c r="N1203" s="10" t="s">
        <v>1358</v>
      </c>
      <c r="O1203" s="8" t="s">
        <v>362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2458</v>
      </c>
      <c r="AA1203" s="8" t="s">
        <v>331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1093</v>
      </c>
      <c r="E1204" s="8" t="s">
        <v>123</v>
      </c>
      <c r="F1204" s="8" t="s">
        <v>2395</v>
      </c>
      <c r="G1204" s="8" t="s">
        <v>1303</v>
      </c>
      <c r="H1204" s="8" t="s">
        <v>1342</v>
      </c>
      <c r="I1204" s="8" t="s">
        <v>1418</v>
      </c>
      <c r="J1204" s="8" t="s">
        <v>1214</v>
      </c>
      <c r="K1204" s="8" t="s">
        <v>1099</v>
      </c>
      <c r="L1204" s="10" t="s">
        <v>1419</v>
      </c>
      <c r="M1204" s="10" t="s">
        <v>1420</v>
      </c>
      <c r="N1204" s="10" t="s">
        <v>216</v>
      </c>
      <c r="O1204" s="8" t="s">
        <v>1106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1613</v>
      </c>
      <c r="AA1204" s="8" t="s">
        <v>331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1093</v>
      </c>
      <c r="E1205" s="8" t="s">
        <v>123</v>
      </c>
      <c r="F1205" s="8" t="s">
        <v>2455</v>
      </c>
      <c r="G1205" s="8" t="s">
        <v>1684</v>
      </c>
      <c r="H1205" s="8" t="s">
        <v>1948</v>
      </c>
      <c r="I1205" s="8" t="s">
        <v>2459</v>
      </c>
      <c r="J1205" s="8" t="s">
        <v>1217</v>
      </c>
      <c r="K1205" s="8" t="s">
        <v>1099</v>
      </c>
      <c r="L1205" s="10" t="s">
        <v>1480</v>
      </c>
      <c r="M1205" s="10" t="s">
        <v>1481</v>
      </c>
      <c r="N1205" s="10" t="s">
        <v>1482</v>
      </c>
      <c r="O1205" s="8" t="s">
        <v>362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2460</v>
      </c>
      <c r="AA1205" s="8" t="s">
        <v>331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1093</v>
      </c>
      <c r="E1206" s="8" t="s">
        <v>123</v>
      </c>
      <c r="F1206" s="8" t="s">
        <v>2455</v>
      </c>
      <c r="G1206" s="8" t="s">
        <v>1166</v>
      </c>
      <c r="H1206" s="8" t="s">
        <v>1343</v>
      </c>
      <c r="I1206" s="8" t="s">
        <v>1478</v>
      </c>
      <c r="J1206" s="8" t="s">
        <v>1479</v>
      </c>
      <c r="K1206" s="8" t="s">
        <v>1099</v>
      </c>
      <c r="L1206" s="10" t="s">
        <v>1480</v>
      </c>
      <c r="M1206" s="10" t="s">
        <v>1481</v>
      </c>
      <c r="N1206" s="10" t="s">
        <v>1482</v>
      </c>
      <c r="O1206" s="8" t="s">
        <v>321</v>
      </c>
      <c r="P1206" s="8"/>
      <c r="Q1206" s="8"/>
      <c r="R1206" s="8">
        <v>115062</v>
      </c>
      <c r="S1206" s="8"/>
      <c r="T1206" s="8"/>
      <c r="U1206" s="8" t="s">
        <v>331</v>
      </c>
      <c r="V1206" s="8"/>
      <c r="W1206" s="8"/>
      <c r="X1206" s="8"/>
      <c r="Y1206" s="8" t="s">
        <v>331</v>
      </c>
      <c r="Z1206" s="10" t="s">
        <v>2241</v>
      </c>
      <c r="AA1206" s="8" t="s">
        <v>331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1093</v>
      </c>
      <c r="E1207" s="8" t="s">
        <v>128</v>
      </c>
      <c r="F1207" s="8" t="s">
        <v>2461</v>
      </c>
      <c r="G1207" s="8" t="s">
        <v>1440</v>
      </c>
      <c r="H1207" s="8" t="s">
        <v>1947</v>
      </c>
      <c r="I1207" s="8" t="s">
        <v>1935</v>
      </c>
      <c r="J1207" s="8" t="s">
        <v>1169</v>
      </c>
      <c r="K1207" s="8" t="s">
        <v>1099</v>
      </c>
      <c r="L1207" s="10" t="s">
        <v>1546</v>
      </c>
      <c r="M1207" s="10" t="s">
        <v>2216</v>
      </c>
      <c r="N1207" s="10"/>
      <c r="O1207" s="8" t="s">
        <v>321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331</v>
      </c>
      <c r="Z1207" s="10" t="s">
        <v>2462</v>
      </c>
      <c r="AA1207" s="8" t="s">
        <v>331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1093</v>
      </c>
      <c r="E1208" s="8" t="s">
        <v>128</v>
      </c>
      <c r="F1208" s="8" t="s">
        <v>2461</v>
      </c>
      <c r="G1208" s="8" t="s">
        <v>1904</v>
      </c>
      <c r="H1208" s="8" t="s">
        <v>2463</v>
      </c>
      <c r="I1208" s="8" t="s">
        <v>1198</v>
      </c>
      <c r="J1208" s="8" t="s">
        <v>1193</v>
      </c>
      <c r="K1208" s="8" t="s">
        <v>1099</v>
      </c>
      <c r="L1208" s="10" t="s">
        <v>1199</v>
      </c>
      <c r="M1208" s="10" t="s">
        <v>1200</v>
      </c>
      <c r="N1208" s="10"/>
      <c r="O1208" s="8" t="s">
        <v>321</v>
      </c>
      <c r="P1208" s="8"/>
      <c r="Q1208" s="8"/>
      <c r="R1208" s="8">
        <v>28400</v>
      </c>
      <c r="S1208" s="8"/>
      <c r="T1208" s="8"/>
      <c r="U1208" s="8" t="s">
        <v>331</v>
      </c>
      <c r="V1208" s="8"/>
      <c r="W1208" s="8"/>
      <c r="X1208" s="8"/>
      <c r="Y1208" s="8"/>
      <c r="Z1208" s="10" t="s">
        <v>2329</v>
      </c>
      <c r="AA1208" s="8" t="s">
        <v>331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1093</v>
      </c>
      <c r="E1209" s="8" t="s">
        <v>128</v>
      </c>
      <c r="F1209" s="8" t="s">
        <v>2461</v>
      </c>
      <c r="G1209" s="8" t="s">
        <v>1818</v>
      </c>
      <c r="H1209" s="8" t="s">
        <v>1807</v>
      </c>
      <c r="I1209" s="8" t="s">
        <v>1209</v>
      </c>
      <c r="J1209" s="8" t="s">
        <v>1204</v>
      </c>
      <c r="K1209" s="8" t="s">
        <v>1099</v>
      </c>
      <c r="L1209" s="10" t="s">
        <v>1210</v>
      </c>
      <c r="M1209" s="10" t="s">
        <v>1211</v>
      </c>
      <c r="N1209" s="10" t="s">
        <v>1188</v>
      </c>
      <c r="O1209" s="8" t="s">
        <v>321</v>
      </c>
      <c r="P1209" s="8"/>
      <c r="Q1209" s="8">
        <v>2436</v>
      </c>
      <c r="R1209" s="8">
        <v>302935</v>
      </c>
      <c r="S1209" s="8"/>
      <c r="T1209" s="8"/>
      <c r="U1209" s="8" t="s">
        <v>331</v>
      </c>
      <c r="V1209" s="8"/>
      <c r="W1209" s="8"/>
      <c r="X1209" s="8"/>
      <c r="Y1209" s="8"/>
      <c r="Z1209" s="10" t="s">
        <v>2329</v>
      </c>
      <c r="AA1209" s="8" t="s">
        <v>331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1093</v>
      </c>
      <c r="E1210" s="8" t="s">
        <v>128</v>
      </c>
      <c r="F1210" s="8" t="s">
        <v>2455</v>
      </c>
      <c r="G1210" s="8" t="s">
        <v>1284</v>
      </c>
      <c r="H1210" s="8" t="s">
        <v>1561</v>
      </c>
      <c r="I1210" s="8" t="s">
        <v>1251</v>
      </c>
      <c r="J1210" s="8" t="s">
        <v>1252</v>
      </c>
      <c r="K1210" s="8" t="s">
        <v>1099</v>
      </c>
      <c r="L1210" s="10" t="s">
        <v>1236</v>
      </c>
      <c r="M1210" s="10" t="s">
        <v>1237</v>
      </c>
      <c r="N1210" s="10" t="s">
        <v>1253</v>
      </c>
      <c r="O1210" s="8" t="s">
        <v>321</v>
      </c>
      <c r="P1210" s="8"/>
      <c r="Q1210" s="8"/>
      <c r="R1210" s="8">
        <v>142499</v>
      </c>
      <c r="S1210" s="8" t="s">
        <v>331</v>
      </c>
      <c r="T1210" s="8"/>
      <c r="U1210" s="8"/>
      <c r="V1210" s="8"/>
      <c r="W1210" s="8"/>
      <c r="X1210" s="8"/>
      <c r="Y1210" s="8"/>
      <c r="Z1210" s="10" t="s">
        <v>1102</v>
      </c>
      <c r="AA1210" s="8" t="s">
        <v>331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1093</v>
      </c>
      <c r="E1211" s="8" t="s">
        <v>128</v>
      </c>
      <c r="F1211" s="8" t="s">
        <v>2455</v>
      </c>
      <c r="G1211" s="8" t="s">
        <v>1948</v>
      </c>
      <c r="H1211" s="8" t="s">
        <v>1949</v>
      </c>
      <c r="I1211" s="8" t="s">
        <v>1256</v>
      </c>
      <c r="J1211" s="8" t="s">
        <v>1252</v>
      </c>
      <c r="K1211" s="8" t="s">
        <v>1099</v>
      </c>
      <c r="L1211" s="10" t="s">
        <v>1236</v>
      </c>
      <c r="M1211" s="10" t="s">
        <v>1237</v>
      </c>
      <c r="N1211" s="10" t="s">
        <v>1257</v>
      </c>
      <c r="O1211" s="8" t="s">
        <v>1106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1102</v>
      </c>
      <c r="AA1211" s="8" t="s">
        <v>331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1093</v>
      </c>
      <c r="E1212" s="8" t="s">
        <v>123</v>
      </c>
      <c r="F1212" s="8" t="s">
        <v>2461</v>
      </c>
      <c r="G1212" s="8" t="s">
        <v>1279</v>
      </c>
      <c r="H1212" s="8" t="s">
        <v>1302</v>
      </c>
      <c r="I1212" s="8" t="s">
        <v>2227</v>
      </c>
      <c r="J1212" s="8" t="s">
        <v>1169</v>
      </c>
      <c r="K1212" s="8" t="s">
        <v>1099</v>
      </c>
      <c r="L1212" s="10" t="s">
        <v>1170</v>
      </c>
      <c r="M1212" s="10" t="s">
        <v>2228</v>
      </c>
      <c r="N1212" s="10" t="s">
        <v>2229</v>
      </c>
      <c r="O1212" s="8" t="s">
        <v>321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331</v>
      </c>
      <c r="Z1212" s="10" t="s">
        <v>2464</v>
      </c>
      <c r="AA1212" s="8" t="s">
        <v>331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1093</v>
      </c>
      <c r="E1213" s="8" t="s">
        <v>123</v>
      </c>
      <c r="F1213" s="8" t="s">
        <v>2465</v>
      </c>
      <c r="G1213" s="8" t="s">
        <v>1266</v>
      </c>
      <c r="H1213" s="8" t="s">
        <v>1196</v>
      </c>
      <c r="I1213" s="8" t="s">
        <v>1324</v>
      </c>
      <c r="J1213" s="8" t="s">
        <v>1169</v>
      </c>
      <c r="K1213" s="8" t="s">
        <v>1099</v>
      </c>
      <c r="L1213" s="10" t="s">
        <v>1325</v>
      </c>
      <c r="M1213" s="10" t="s">
        <v>1326</v>
      </c>
      <c r="N1213" s="10"/>
      <c r="O1213" s="8" t="s">
        <v>1106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1613</v>
      </c>
      <c r="AA1213" s="8" t="s">
        <v>331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1093</v>
      </c>
      <c r="E1214" s="8" t="s">
        <v>123</v>
      </c>
      <c r="F1214" s="8" t="s">
        <v>2465</v>
      </c>
      <c r="G1214" s="8" t="s">
        <v>1266</v>
      </c>
      <c r="H1214" s="8" t="s">
        <v>1196</v>
      </c>
      <c r="I1214" s="8" t="s">
        <v>1329</v>
      </c>
      <c r="J1214" s="8" t="s">
        <v>1169</v>
      </c>
      <c r="K1214" s="8" t="s">
        <v>1099</v>
      </c>
      <c r="L1214" s="10" t="s">
        <v>2466</v>
      </c>
      <c r="M1214" s="10" t="s">
        <v>1331</v>
      </c>
      <c r="N1214" s="10" t="s">
        <v>2467</v>
      </c>
      <c r="O1214" s="8" t="s">
        <v>321</v>
      </c>
      <c r="P1214" s="8"/>
      <c r="Q1214" s="8"/>
      <c r="R1214" s="8">
        <v>0</v>
      </c>
      <c r="S1214" s="8" t="s">
        <v>331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331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1093</v>
      </c>
      <c r="E1215" s="8" t="s">
        <v>123</v>
      </c>
      <c r="F1215" s="8" t="s">
        <v>2465</v>
      </c>
      <c r="G1215" s="8" t="s">
        <v>1196</v>
      </c>
      <c r="H1215" s="8" t="s">
        <v>1279</v>
      </c>
      <c r="I1215" s="8" t="s">
        <v>1386</v>
      </c>
      <c r="J1215" s="8" t="s">
        <v>1387</v>
      </c>
      <c r="K1215" s="8" t="s">
        <v>1099</v>
      </c>
      <c r="L1215" s="10" t="s">
        <v>1388</v>
      </c>
      <c r="M1215" s="10" t="s">
        <v>1326</v>
      </c>
      <c r="N1215" s="10" t="s">
        <v>1358</v>
      </c>
      <c r="O1215" s="8" t="s">
        <v>321</v>
      </c>
      <c r="P1215" s="8"/>
      <c r="Q1215" s="8"/>
      <c r="R1215" s="8">
        <v>75548</v>
      </c>
      <c r="S1215" s="8" t="s">
        <v>331</v>
      </c>
      <c r="T1215" s="8"/>
      <c r="U1215" s="8"/>
      <c r="V1215" s="8"/>
      <c r="W1215" s="8"/>
      <c r="X1215" s="8"/>
      <c r="Y1215" s="8"/>
      <c r="Z1215" s="10" t="s">
        <v>1613</v>
      </c>
      <c r="AA1215" s="8" t="s">
        <v>331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1093</v>
      </c>
      <c r="E1216" s="8" t="s">
        <v>123</v>
      </c>
      <c r="F1216" s="8" t="s">
        <v>2461</v>
      </c>
      <c r="G1216" s="8" t="s">
        <v>1266</v>
      </c>
      <c r="H1216" s="8" t="s">
        <v>1196</v>
      </c>
      <c r="I1216" s="8" t="s">
        <v>2010</v>
      </c>
      <c r="J1216" s="8" t="s">
        <v>1459</v>
      </c>
      <c r="K1216" s="8" t="s">
        <v>1099</v>
      </c>
      <c r="L1216" s="10" t="s">
        <v>2011</v>
      </c>
      <c r="M1216" s="10" t="s">
        <v>2012</v>
      </c>
      <c r="N1216" s="10" t="s">
        <v>1340</v>
      </c>
      <c r="O1216" s="8" t="s">
        <v>321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331</v>
      </c>
      <c r="Z1216" s="10" t="s">
        <v>1359</v>
      </c>
      <c r="AA1216" s="8" t="s">
        <v>331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1093</v>
      </c>
      <c r="E1217" s="8" t="s">
        <v>123</v>
      </c>
      <c r="F1217" s="8" t="s">
        <v>2403</v>
      </c>
      <c r="G1217" s="8" t="s">
        <v>1297</v>
      </c>
      <c r="H1217" s="8" t="s">
        <v>1317</v>
      </c>
      <c r="I1217" s="8" t="s">
        <v>2273</v>
      </c>
      <c r="J1217" s="8" t="s">
        <v>1459</v>
      </c>
      <c r="K1217" s="8" t="s">
        <v>1099</v>
      </c>
      <c r="L1217" s="10" t="s">
        <v>1997</v>
      </c>
      <c r="M1217" s="10" t="s">
        <v>2274</v>
      </c>
      <c r="N1217" s="10" t="s">
        <v>1999</v>
      </c>
      <c r="O1217" s="8" t="s">
        <v>1106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1613</v>
      </c>
      <c r="AA1217" s="8" t="s">
        <v>331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1093</v>
      </c>
      <c r="E1218" s="8" t="s">
        <v>123</v>
      </c>
      <c r="F1218" s="8" t="s">
        <v>2461</v>
      </c>
      <c r="G1218" s="8" t="s">
        <v>1196</v>
      </c>
      <c r="H1218" s="8" t="s">
        <v>1279</v>
      </c>
      <c r="I1218" s="8" t="s">
        <v>1478</v>
      </c>
      <c r="J1218" s="8" t="s">
        <v>1479</v>
      </c>
      <c r="K1218" s="8" t="s">
        <v>1099</v>
      </c>
      <c r="L1218" s="10" t="s">
        <v>1480</v>
      </c>
      <c r="M1218" s="10" t="s">
        <v>1481</v>
      </c>
      <c r="N1218" s="10" t="s">
        <v>1482</v>
      </c>
      <c r="O1218" s="8" t="s">
        <v>321</v>
      </c>
      <c r="P1218" s="8"/>
      <c r="Q1218" s="8"/>
      <c r="R1218" s="8">
        <v>119109</v>
      </c>
      <c r="S1218" s="8"/>
      <c r="T1218" s="8"/>
      <c r="U1218" s="8" t="s">
        <v>331</v>
      </c>
      <c r="V1218" s="8"/>
      <c r="W1218" s="8"/>
      <c r="X1218" s="8"/>
      <c r="Y1218" s="8"/>
      <c r="Z1218" s="10" t="s">
        <v>1278</v>
      </c>
      <c r="AA1218" s="8" t="s">
        <v>331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1093</v>
      </c>
      <c r="E1219" s="8" t="s">
        <v>123</v>
      </c>
      <c r="F1219" s="8" t="s">
        <v>2465</v>
      </c>
      <c r="G1219" s="8" t="s">
        <v>1279</v>
      </c>
      <c r="H1219" s="8" t="s">
        <v>1149</v>
      </c>
      <c r="I1219" s="8" t="s">
        <v>1489</v>
      </c>
      <c r="J1219" s="8" t="s">
        <v>1479</v>
      </c>
      <c r="K1219" s="8" t="s">
        <v>1099</v>
      </c>
      <c r="L1219" s="10" t="s">
        <v>1388</v>
      </c>
      <c r="M1219" s="10" t="s">
        <v>1326</v>
      </c>
      <c r="N1219" s="10" t="s">
        <v>1358</v>
      </c>
      <c r="O1219" s="8" t="s">
        <v>321</v>
      </c>
      <c r="P1219" s="8"/>
      <c r="Q1219" s="8"/>
      <c r="R1219" s="8">
        <v>108519</v>
      </c>
      <c r="S1219" s="8" t="s">
        <v>331</v>
      </c>
      <c r="T1219" s="8"/>
      <c r="U1219" s="8"/>
      <c r="V1219" s="8"/>
      <c r="W1219" s="8"/>
      <c r="X1219" s="8"/>
      <c r="Y1219" s="8"/>
      <c r="Z1219" s="10" t="s">
        <v>1613</v>
      </c>
      <c r="AA1219" s="8" t="s">
        <v>331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1093</v>
      </c>
      <c r="E1220" s="8" t="s">
        <v>123</v>
      </c>
      <c r="F1220" s="8" t="s">
        <v>2428</v>
      </c>
      <c r="G1220" s="8" t="s">
        <v>1120</v>
      </c>
      <c r="H1220" s="8" t="s">
        <v>1343</v>
      </c>
      <c r="I1220" s="8" t="s">
        <v>1274</v>
      </c>
      <c r="J1220" s="8" t="s">
        <v>1111</v>
      </c>
      <c r="K1220" s="8" t="s">
        <v>1099</v>
      </c>
      <c r="L1220" s="10" t="s">
        <v>1275</v>
      </c>
      <c r="M1220" s="10" t="s">
        <v>1276</v>
      </c>
      <c r="N1220" s="10" t="s">
        <v>1277</v>
      </c>
      <c r="O1220" s="8" t="s">
        <v>1106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1613</v>
      </c>
      <c r="AA1220" s="8" t="s">
        <v>331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1093</v>
      </c>
      <c r="E1221" s="8" t="s">
        <v>123</v>
      </c>
      <c r="F1221" s="8" t="s">
        <v>2465</v>
      </c>
      <c r="G1221" s="8" t="s">
        <v>1266</v>
      </c>
      <c r="H1221" s="8" t="s">
        <v>1196</v>
      </c>
      <c r="I1221" s="8" t="s">
        <v>1324</v>
      </c>
      <c r="J1221" s="8" t="s">
        <v>1169</v>
      </c>
      <c r="K1221" s="8" t="s">
        <v>1099</v>
      </c>
      <c r="L1221" s="10" t="s">
        <v>1325</v>
      </c>
      <c r="M1221" s="10" t="s">
        <v>1326</v>
      </c>
      <c r="N1221" s="10"/>
      <c r="O1221" s="8" t="s">
        <v>321</v>
      </c>
      <c r="P1221" s="8"/>
      <c r="Q1221" s="8"/>
      <c r="R1221" s="8">
        <v>335598</v>
      </c>
      <c r="S1221" s="8" t="s">
        <v>331</v>
      </c>
      <c r="T1221" s="8"/>
      <c r="U1221" s="8"/>
      <c r="V1221" s="8"/>
      <c r="W1221" s="8"/>
      <c r="X1221" s="8"/>
      <c r="Y1221" s="8"/>
      <c r="Z1221" s="10" t="s">
        <v>1613</v>
      </c>
      <c r="AA1221" s="8" t="s">
        <v>331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1093</v>
      </c>
      <c r="E1222" s="8" t="s">
        <v>123</v>
      </c>
      <c r="F1222" s="8" t="s">
        <v>2443</v>
      </c>
      <c r="G1222" s="8" t="s">
        <v>1166</v>
      </c>
      <c r="H1222" s="8" t="s">
        <v>1120</v>
      </c>
      <c r="I1222" s="8" t="s">
        <v>1373</v>
      </c>
      <c r="J1222" s="8" t="s">
        <v>1193</v>
      </c>
      <c r="K1222" s="8" t="s">
        <v>1099</v>
      </c>
      <c r="L1222" s="10" t="s">
        <v>1293</v>
      </c>
      <c r="M1222" s="10" t="s">
        <v>1374</v>
      </c>
      <c r="N1222" s="10" t="s">
        <v>1375</v>
      </c>
      <c r="O1222" s="8" t="s">
        <v>1106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1738</v>
      </c>
      <c r="AA1222" s="8" t="s">
        <v>331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1093</v>
      </c>
      <c r="E1223" s="8" t="s">
        <v>123</v>
      </c>
      <c r="F1223" s="8" t="s">
        <v>2395</v>
      </c>
      <c r="G1223" s="8" t="s">
        <v>1343</v>
      </c>
      <c r="H1223" s="8" t="s">
        <v>1302</v>
      </c>
      <c r="I1223" s="8" t="s">
        <v>1446</v>
      </c>
      <c r="J1223" s="8" t="s">
        <v>1214</v>
      </c>
      <c r="K1223" s="8" t="s">
        <v>1099</v>
      </c>
      <c r="L1223" s="10" t="s">
        <v>1378</v>
      </c>
      <c r="M1223" s="10" t="s">
        <v>1447</v>
      </c>
      <c r="N1223" s="10" t="s">
        <v>1448</v>
      </c>
      <c r="O1223" s="8" t="s">
        <v>1106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1613</v>
      </c>
      <c r="AA1223" s="8" t="s">
        <v>331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1093</v>
      </c>
      <c r="E1224" s="8" t="s">
        <v>128</v>
      </c>
      <c r="F1224" s="8" t="s">
        <v>2451</v>
      </c>
      <c r="G1224" s="8" t="s">
        <v>1227</v>
      </c>
      <c r="H1224" s="8" t="s">
        <v>1228</v>
      </c>
      <c r="I1224" s="8" t="s">
        <v>1156</v>
      </c>
      <c r="J1224" s="8" t="s">
        <v>1140</v>
      </c>
      <c r="K1224" s="8" t="s">
        <v>1099</v>
      </c>
      <c r="L1224" s="10" t="s">
        <v>1157</v>
      </c>
      <c r="M1224" s="10" t="s">
        <v>1158</v>
      </c>
      <c r="N1224" s="10"/>
      <c r="O1224" s="8" t="s">
        <v>1106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1102</v>
      </c>
      <c r="AA1224" s="8" t="s">
        <v>331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1093</v>
      </c>
      <c r="E1225" s="8" t="s">
        <v>128</v>
      </c>
      <c r="F1225" s="8" t="s">
        <v>2409</v>
      </c>
      <c r="G1225" s="8" t="s">
        <v>2415</v>
      </c>
      <c r="H1225" s="8" t="s">
        <v>2416</v>
      </c>
      <c r="I1225" s="8" t="s">
        <v>2417</v>
      </c>
      <c r="J1225" s="8" t="s">
        <v>1140</v>
      </c>
      <c r="K1225" s="8" t="s">
        <v>1099</v>
      </c>
      <c r="L1225" s="10" t="s">
        <v>1123</v>
      </c>
      <c r="M1225" s="10" t="s">
        <v>1124</v>
      </c>
      <c r="N1225" s="10" t="s">
        <v>1125</v>
      </c>
      <c r="O1225" s="8" t="s">
        <v>1106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1102</v>
      </c>
      <c r="AA1225" s="8" t="s">
        <v>331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1093</v>
      </c>
      <c r="E1226" s="8" t="s">
        <v>123</v>
      </c>
      <c r="F1226" s="8" t="s">
        <v>2386</v>
      </c>
      <c r="G1226" s="8" t="s">
        <v>1149</v>
      </c>
      <c r="H1226" s="8" t="s">
        <v>1297</v>
      </c>
      <c r="I1226" s="8" t="s">
        <v>2389</v>
      </c>
      <c r="J1226" s="8" t="s">
        <v>1193</v>
      </c>
      <c r="K1226" s="8" t="s">
        <v>1099</v>
      </c>
      <c r="L1226" s="10" t="s">
        <v>1314</v>
      </c>
      <c r="M1226" s="10" t="s">
        <v>1435</v>
      </c>
      <c r="N1226" s="10" t="s">
        <v>1436</v>
      </c>
      <c r="O1226" s="8" t="s">
        <v>1106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1613</v>
      </c>
      <c r="AA1226" s="8" t="s">
        <v>331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1093</v>
      </c>
      <c r="E1227" s="8" t="s">
        <v>123</v>
      </c>
      <c r="F1227" s="8" t="s">
        <v>2465</v>
      </c>
      <c r="G1227" s="8" t="s">
        <v>1166</v>
      </c>
      <c r="H1227" s="8" t="s">
        <v>1174</v>
      </c>
      <c r="I1227" s="8" t="s">
        <v>1455</v>
      </c>
      <c r="J1227" s="8" t="s">
        <v>1214</v>
      </c>
      <c r="K1227" s="8" t="s">
        <v>1099</v>
      </c>
      <c r="L1227" s="10" t="s">
        <v>1456</v>
      </c>
      <c r="M1227" s="10" t="s">
        <v>1457</v>
      </c>
      <c r="N1227" s="10"/>
      <c r="O1227" s="8" t="s">
        <v>321</v>
      </c>
      <c r="P1227" s="8"/>
      <c r="Q1227" s="8"/>
      <c r="R1227" s="8">
        <v>88226</v>
      </c>
      <c r="S1227" s="8"/>
      <c r="T1227" s="8" t="s">
        <v>331</v>
      </c>
      <c r="U1227" s="8"/>
      <c r="V1227" s="8"/>
      <c r="W1227" s="8"/>
      <c r="X1227" s="8"/>
      <c r="Y1227" s="8"/>
      <c r="Z1227" s="10" t="s">
        <v>1239</v>
      </c>
      <c r="AA1227" s="8" t="s">
        <v>331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1093</v>
      </c>
      <c r="E1228" s="8" t="s">
        <v>128</v>
      </c>
      <c r="F1228" s="8" t="s">
        <v>2386</v>
      </c>
      <c r="G1228" s="8" t="s">
        <v>1367</v>
      </c>
      <c r="H1228" s="8" t="s">
        <v>1912</v>
      </c>
      <c r="I1228" s="8" t="s">
        <v>1209</v>
      </c>
      <c r="J1228" s="8" t="s">
        <v>1204</v>
      </c>
      <c r="K1228" s="8" t="s">
        <v>1099</v>
      </c>
      <c r="L1228" s="10" t="s">
        <v>1210</v>
      </c>
      <c r="M1228" s="10" t="s">
        <v>1211</v>
      </c>
      <c r="N1228" s="10" t="s">
        <v>1188</v>
      </c>
      <c r="O1228" s="8" t="s">
        <v>1106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1102</v>
      </c>
      <c r="AA1228" s="8" t="s">
        <v>331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1093</v>
      </c>
      <c r="E1229" s="8" t="s">
        <v>123</v>
      </c>
      <c r="F1229" s="8" t="s">
        <v>2443</v>
      </c>
      <c r="G1229" s="8" t="s">
        <v>1284</v>
      </c>
      <c r="H1229" s="8" t="s">
        <v>1166</v>
      </c>
      <c r="I1229" s="8" t="s">
        <v>1597</v>
      </c>
      <c r="J1229" s="8" t="s">
        <v>1111</v>
      </c>
      <c r="K1229" s="8" t="s">
        <v>1099</v>
      </c>
      <c r="L1229" s="10" t="s">
        <v>1293</v>
      </c>
      <c r="M1229" s="10" t="s">
        <v>1598</v>
      </c>
      <c r="N1229" s="10" t="s">
        <v>1599</v>
      </c>
      <c r="O1229" s="8" t="s">
        <v>1106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1738</v>
      </c>
      <c r="AA1229" s="8" t="s">
        <v>331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1093</v>
      </c>
      <c r="E1230" s="8" t="s">
        <v>123</v>
      </c>
      <c r="F1230" s="8" t="s">
        <v>2402</v>
      </c>
      <c r="G1230" s="8" t="s">
        <v>1279</v>
      </c>
      <c r="H1230" s="8" t="s">
        <v>1149</v>
      </c>
      <c r="I1230" s="8" t="s">
        <v>1600</v>
      </c>
      <c r="J1230" s="8" t="s">
        <v>1140</v>
      </c>
      <c r="K1230" s="8" t="s">
        <v>1099</v>
      </c>
      <c r="L1230" s="10" t="s">
        <v>1299</v>
      </c>
      <c r="M1230" s="10" t="s">
        <v>1601</v>
      </c>
      <c r="N1230" s="10" t="s">
        <v>1602</v>
      </c>
      <c r="O1230" s="8" t="s">
        <v>1106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1613</v>
      </c>
      <c r="AA1230" s="8" t="s">
        <v>331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1093</v>
      </c>
      <c r="E1231" s="8" t="s">
        <v>123</v>
      </c>
      <c r="F1231" s="8" t="s">
        <v>2468</v>
      </c>
      <c r="G1231" s="8" t="s">
        <v>1317</v>
      </c>
      <c r="H1231" s="8" t="s">
        <v>1494</v>
      </c>
      <c r="I1231" s="8" t="s">
        <v>1329</v>
      </c>
      <c r="J1231" s="8" t="s">
        <v>1169</v>
      </c>
      <c r="K1231" s="8" t="s">
        <v>1099</v>
      </c>
      <c r="L1231" s="10" t="s">
        <v>2466</v>
      </c>
      <c r="M1231" s="10" t="s">
        <v>1331</v>
      </c>
      <c r="N1231" s="10" t="s">
        <v>2467</v>
      </c>
      <c r="O1231" s="8" t="s">
        <v>321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331</v>
      </c>
      <c r="Z1231" s="10" t="s">
        <v>1613</v>
      </c>
      <c r="AA1231" s="8" t="s">
        <v>331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1093</v>
      </c>
      <c r="E1232" s="8" t="s">
        <v>123</v>
      </c>
      <c r="F1232" s="8" t="s">
        <v>2468</v>
      </c>
      <c r="G1232" s="8" t="s">
        <v>1266</v>
      </c>
      <c r="H1232" s="8" t="s">
        <v>1279</v>
      </c>
      <c r="I1232" s="8" t="s">
        <v>2469</v>
      </c>
      <c r="J1232" s="8" t="s">
        <v>2470</v>
      </c>
      <c r="K1232" s="8" t="s">
        <v>1099</v>
      </c>
      <c r="L1232" s="10" t="s">
        <v>1378</v>
      </c>
      <c r="M1232" s="10" t="s">
        <v>1442</v>
      </c>
      <c r="N1232" s="10" t="s">
        <v>2471</v>
      </c>
      <c r="O1232" s="8" t="s">
        <v>362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1271</v>
      </c>
      <c r="AA1232" s="8" t="s">
        <v>331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1093</v>
      </c>
      <c r="E1233" s="8" t="s">
        <v>123</v>
      </c>
      <c r="F1233" s="8" t="s">
        <v>2468</v>
      </c>
      <c r="G1233" s="8" t="s">
        <v>1120</v>
      </c>
      <c r="H1233" s="8" t="s">
        <v>1343</v>
      </c>
      <c r="I1233" s="8" t="s">
        <v>1267</v>
      </c>
      <c r="J1233" s="8" t="s">
        <v>1111</v>
      </c>
      <c r="K1233" s="8" t="s">
        <v>1099</v>
      </c>
      <c r="L1233" s="10" t="s">
        <v>1268</v>
      </c>
      <c r="M1233" s="10" t="s">
        <v>1269</v>
      </c>
      <c r="N1233" s="10" t="s">
        <v>1584</v>
      </c>
      <c r="O1233" s="8" t="s">
        <v>321</v>
      </c>
      <c r="P1233" s="8"/>
      <c r="Q1233" s="8">
        <v>11309</v>
      </c>
      <c r="R1233" s="8">
        <v>80833</v>
      </c>
      <c r="S1233" s="8"/>
      <c r="T1233" s="8"/>
      <c r="U1233" s="8" t="s">
        <v>331</v>
      </c>
      <c r="V1233" s="8"/>
      <c r="W1233" s="8"/>
      <c r="X1233" s="8"/>
      <c r="Y1233" s="8"/>
      <c r="Z1233" s="10" t="s">
        <v>1278</v>
      </c>
      <c r="AA1233" s="8" t="s">
        <v>331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1093</v>
      </c>
      <c r="E1234" s="8" t="s">
        <v>123</v>
      </c>
      <c r="F1234" s="8" t="s">
        <v>2395</v>
      </c>
      <c r="G1234" s="8" t="s">
        <v>1149</v>
      </c>
      <c r="H1234" s="8" t="s">
        <v>1297</v>
      </c>
      <c r="I1234" s="8" t="s">
        <v>1349</v>
      </c>
      <c r="J1234" s="8" t="s">
        <v>1193</v>
      </c>
      <c r="K1234" s="8" t="s">
        <v>1099</v>
      </c>
      <c r="L1234" s="10" t="s">
        <v>1350</v>
      </c>
      <c r="M1234" s="10" t="s">
        <v>1351</v>
      </c>
      <c r="N1234" s="10" t="s">
        <v>1352</v>
      </c>
      <c r="O1234" s="8" t="s">
        <v>1106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1613</v>
      </c>
      <c r="AA1234" s="8" t="s">
        <v>331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1093</v>
      </c>
      <c r="E1235" s="8" t="s">
        <v>123</v>
      </c>
      <c r="F1235" s="8" t="s">
        <v>2468</v>
      </c>
      <c r="G1235" s="8" t="s">
        <v>1284</v>
      </c>
      <c r="H1235" s="8" t="s">
        <v>1166</v>
      </c>
      <c r="I1235" s="8" t="s">
        <v>1363</v>
      </c>
      <c r="J1235" s="8" t="s">
        <v>1193</v>
      </c>
      <c r="K1235" s="8" t="s">
        <v>1099</v>
      </c>
      <c r="L1235" s="10" t="s">
        <v>1364</v>
      </c>
      <c r="M1235" s="10" t="s">
        <v>1365</v>
      </c>
      <c r="N1235" s="10"/>
      <c r="O1235" s="8" t="s">
        <v>321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331</v>
      </c>
      <c r="X1235" s="8"/>
      <c r="Y1235" s="8"/>
      <c r="Z1235" s="10" t="s">
        <v>2472</v>
      </c>
      <c r="AA1235" s="8" t="s">
        <v>331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1093</v>
      </c>
      <c r="E1236" s="8" t="s">
        <v>123</v>
      </c>
      <c r="F1236" s="8" t="s">
        <v>2443</v>
      </c>
      <c r="G1236" s="8" t="s">
        <v>1317</v>
      </c>
      <c r="H1236" s="8" t="s">
        <v>1273</v>
      </c>
      <c r="I1236" s="8" t="s">
        <v>2473</v>
      </c>
      <c r="J1236" s="8" t="s">
        <v>1193</v>
      </c>
      <c r="K1236" s="8" t="s">
        <v>1099</v>
      </c>
      <c r="L1236" s="10" t="s">
        <v>1293</v>
      </c>
      <c r="M1236" s="10" t="s">
        <v>1409</v>
      </c>
      <c r="N1236" s="10" t="s">
        <v>1410</v>
      </c>
      <c r="O1236" s="8" t="s">
        <v>1106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1738</v>
      </c>
      <c r="AA1236" s="8" t="s">
        <v>331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1093</v>
      </c>
      <c r="E1237" s="8" t="s">
        <v>123</v>
      </c>
      <c r="F1237" s="8" t="s">
        <v>2468</v>
      </c>
      <c r="G1237" s="8" t="s">
        <v>1302</v>
      </c>
      <c r="H1237" s="8" t="s">
        <v>1765</v>
      </c>
      <c r="I1237" s="8" t="s">
        <v>2430</v>
      </c>
      <c r="J1237" s="8" t="s">
        <v>1788</v>
      </c>
      <c r="K1237" s="8" t="s">
        <v>1496</v>
      </c>
      <c r="L1237" s="10" t="s">
        <v>1497</v>
      </c>
      <c r="M1237" s="10" t="s">
        <v>1498</v>
      </c>
      <c r="N1237" s="10" t="s">
        <v>1499</v>
      </c>
      <c r="O1237" s="8" t="s">
        <v>321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331</v>
      </c>
      <c r="Z1237" s="10" t="s">
        <v>2474</v>
      </c>
      <c r="AA1237" s="8" t="s">
        <v>331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1093</v>
      </c>
      <c r="E1238" s="8" t="s">
        <v>123</v>
      </c>
      <c r="F1238" s="8" t="s">
        <v>2386</v>
      </c>
      <c r="G1238" s="8" t="s">
        <v>1166</v>
      </c>
      <c r="H1238" s="8" t="s">
        <v>1120</v>
      </c>
      <c r="I1238" s="8" t="s">
        <v>2204</v>
      </c>
      <c r="J1238" s="8" t="s">
        <v>1479</v>
      </c>
      <c r="K1238" s="8" t="s">
        <v>1099</v>
      </c>
      <c r="L1238" s="10" t="s">
        <v>1466</v>
      </c>
      <c r="M1238" s="10" t="s">
        <v>1467</v>
      </c>
      <c r="N1238" s="10" t="s">
        <v>1468</v>
      </c>
      <c r="O1238" s="8" t="s">
        <v>1106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1613</v>
      </c>
      <c r="AA1238" s="8" t="s">
        <v>331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1093</v>
      </c>
      <c r="E1239" s="8" t="s">
        <v>123</v>
      </c>
      <c r="F1239" s="8" t="s">
        <v>2443</v>
      </c>
      <c r="G1239" s="8" t="s">
        <v>1258</v>
      </c>
      <c r="H1239" s="8" t="s">
        <v>1684</v>
      </c>
      <c r="I1239" s="8" t="s">
        <v>1883</v>
      </c>
      <c r="J1239" s="8" t="s">
        <v>1204</v>
      </c>
      <c r="K1239" s="8" t="s">
        <v>1099</v>
      </c>
      <c r="L1239" s="10" t="s">
        <v>1293</v>
      </c>
      <c r="M1239" s="10" t="s">
        <v>1884</v>
      </c>
      <c r="N1239" s="10" t="s">
        <v>1885</v>
      </c>
      <c r="O1239" s="8" t="s">
        <v>1106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1738</v>
      </c>
      <c r="AA1239" s="8" t="s">
        <v>331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1093</v>
      </c>
      <c r="E1240" s="8" t="s">
        <v>128</v>
      </c>
      <c r="F1240" s="8" t="s">
        <v>2475</v>
      </c>
      <c r="G1240" s="8" t="s">
        <v>1174</v>
      </c>
      <c r="H1240" s="8" t="s">
        <v>1549</v>
      </c>
      <c r="I1240" s="8" t="s">
        <v>1935</v>
      </c>
      <c r="J1240" s="8" t="s">
        <v>1169</v>
      </c>
      <c r="K1240" s="8" t="s">
        <v>1099</v>
      </c>
      <c r="L1240" s="10" t="s">
        <v>1546</v>
      </c>
      <c r="M1240" s="10" t="s">
        <v>2216</v>
      </c>
      <c r="N1240" s="10"/>
      <c r="O1240" s="8" t="s">
        <v>362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2476</v>
      </c>
      <c r="AA1240" s="8" t="s">
        <v>331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1093</v>
      </c>
      <c r="E1241" s="8" t="s">
        <v>128</v>
      </c>
      <c r="F1241" s="8" t="s">
        <v>2475</v>
      </c>
      <c r="G1241" s="8" t="s">
        <v>1317</v>
      </c>
      <c r="H1241" s="8" t="s">
        <v>2477</v>
      </c>
      <c r="I1241" s="8" t="s">
        <v>1198</v>
      </c>
      <c r="J1241" s="8" t="s">
        <v>1193</v>
      </c>
      <c r="K1241" s="8" t="s">
        <v>1099</v>
      </c>
      <c r="L1241" s="10" t="s">
        <v>1199</v>
      </c>
      <c r="M1241" s="10" t="s">
        <v>1200</v>
      </c>
      <c r="N1241" s="10"/>
      <c r="O1241" s="8" t="s">
        <v>362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2478</v>
      </c>
      <c r="AA1241" s="8" t="s">
        <v>331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1093</v>
      </c>
      <c r="E1242" s="8" t="s">
        <v>128</v>
      </c>
      <c r="F1242" s="8" t="s">
        <v>2475</v>
      </c>
      <c r="G1242" s="8" t="s">
        <v>1476</v>
      </c>
      <c r="H1242" s="8" t="s">
        <v>2263</v>
      </c>
      <c r="I1242" s="8" t="s">
        <v>2479</v>
      </c>
      <c r="J1242" s="8" t="s">
        <v>1193</v>
      </c>
      <c r="K1242" s="8" t="s">
        <v>1099</v>
      </c>
      <c r="L1242" s="10" t="s">
        <v>1546</v>
      </c>
      <c r="M1242" s="10" t="s">
        <v>1547</v>
      </c>
      <c r="N1242" s="10" t="s">
        <v>128</v>
      </c>
      <c r="O1242" s="8" t="s">
        <v>362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2480</v>
      </c>
      <c r="AA1242" s="8" t="s">
        <v>331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1093</v>
      </c>
      <c r="E1243" s="8" t="s">
        <v>123</v>
      </c>
      <c r="F1243" s="8" t="s">
        <v>2475</v>
      </c>
      <c r="G1243" s="8" t="s">
        <v>1302</v>
      </c>
      <c r="H1243" s="8" t="s">
        <v>1303</v>
      </c>
      <c r="I1243" s="8" t="s">
        <v>1606</v>
      </c>
      <c r="J1243" s="8" t="s">
        <v>1140</v>
      </c>
      <c r="K1243" s="8" t="s">
        <v>1099</v>
      </c>
      <c r="L1243" s="10" t="s">
        <v>1260</v>
      </c>
      <c r="M1243" s="10" t="s">
        <v>1261</v>
      </c>
      <c r="N1243" s="10" t="s">
        <v>1413</v>
      </c>
      <c r="O1243" s="8" t="s">
        <v>362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1733</v>
      </c>
      <c r="AA1243" s="8" t="s">
        <v>331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1093</v>
      </c>
      <c r="E1244" s="8" t="s">
        <v>123</v>
      </c>
      <c r="F1244" s="8" t="s">
        <v>2443</v>
      </c>
      <c r="G1244" s="8" t="s">
        <v>1343</v>
      </c>
      <c r="H1244" s="8" t="s">
        <v>1302</v>
      </c>
      <c r="I1244" s="8" t="s">
        <v>1408</v>
      </c>
      <c r="J1244" s="8" t="s">
        <v>1204</v>
      </c>
      <c r="K1244" s="8" t="s">
        <v>1099</v>
      </c>
      <c r="L1244" s="10" t="s">
        <v>1293</v>
      </c>
      <c r="M1244" s="10" t="s">
        <v>1409</v>
      </c>
      <c r="N1244" s="10" t="s">
        <v>1410</v>
      </c>
      <c r="O1244" s="8" t="s">
        <v>1106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1738</v>
      </c>
      <c r="AA1244" s="8" t="s">
        <v>331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1093</v>
      </c>
      <c r="E1245" s="8" t="s">
        <v>128</v>
      </c>
      <c r="F1245" s="8" t="s">
        <v>2481</v>
      </c>
      <c r="G1245" s="8" t="s">
        <v>1608</v>
      </c>
      <c r="H1245" s="8" t="s">
        <v>1804</v>
      </c>
      <c r="I1245" s="8" t="s">
        <v>2387</v>
      </c>
      <c r="J1245" s="8" t="s">
        <v>1140</v>
      </c>
      <c r="K1245" s="8" t="s">
        <v>1099</v>
      </c>
      <c r="L1245" s="10" t="s">
        <v>2321</v>
      </c>
      <c r="M1245" s="10" t="s">
        <v>2388</v>
      </c>
      <c r="N1245" s="10" t="s">
        <v>1131</v>
      </c>
      <c r="O1245" s="8" t="s">
        <v>321</v>
      </c>
      <c r="P1245" s="8"/>
      <c r="Q1245" s="8">
        <v>128</v>
      </c>
      <c r="R1245" s="8">
        <v>276</v>
      </c>
      <c r="S1245" s="8" t="s">
        <v>331</v>
      </c>
      <c r="T1245" s="8"/>
      <c r="U1245" s="8"/>
      <c r="V1245" s="8"/>
      <c r="W1245" s="8"/>
      <c r="X1245" s="8"/>
      <c r="Y1245" s="8"/>
      <c r="Z1245" s="10" t="s">
        <v>1102</v>
      </c>
      <c r="AA1245" s="8" t="s">
        <v>331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1093</v>
      </c>
      <c r="E1246" s="8" t="s">
        <v>128</v>
      </c>
      <c r="F1246" s="8" t="s">
        <v>2481</v>
      </c>
      <c r="G1246" s="8" t="s">
        <v>2121</v>
      </c>
      <c r="H1246" s="8" t="s">
        <v>1177</v>
      </c>
      <c r="I1246" s="8" t="s">
        <v>1185</v>
      </c>
      <c r="J1246" s="8" t="s">
        <v>1169</v>
      </c>
      <c r="K1246" s="8" t="s">
        <v>1099</v>
      </c>
      <c r="L1246" s="10" t="s">
        <v>1186</v>
      </c>
      <c r="M1246" s="10" t="s">
        <v>1187</v>
      </c>
      <c r="N1246" s="10" t="s">
        <v>1188</v>
      </c>
      <c r="O1246" s="8" t="s">
        <v>321</v>
      </c>
      <c r="P1246" s="8"/>
      <c r="Q1246" s="8"/>
      <c r="R1246" s="8">
        <v>25552</v>
      </c>
      <c r="S1246" s="8" t="s">
        <v>331</v>
      </c>
      <c r="T1246" s="8"/>
      <c r="U1246" s="8"/>
      <c r="V1246" s="8"/>
      <c r="W1246" s="8"/>
      <c r="X1246" s="8"/>
      <c r="Y1246" s="8"/>
      <c r="Z1246" s="10" t="s">
        <v>1102</v>
      </c>
      <c r="AA1246" s="8" t="s">
        <v>331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1093</v>
      </c>
      <c r="E1247" s="8" t="s">
        <v>128</v>
      </c>
      <c r="F1247" s="8" t="s">
        <v>2481</v>
      </c>
      <c r="G1247" s="8" t="s">
        <v>1746</v>
      </c>
      <c r="H1247" s="8" t="s">
        <v>1303</v>
      </c>
      <c r="I1247" s="8" t="s">
        <v>1198</v>
      </c>
      <c r="J1247" s="8" t="s">
        <v>1193</v>
      </c>
      <c r="K1247" s="8" t="s">
        <v>1099</v>
      </c>
      <c r="L1247" s="10" t="s">
        <v>1199</v>
      </c>
      <c r="M1247" s="10" t="s">
        <v>1200</v>
      </c>
      <c r="N1247" s="10"/>
      <c r="O1247" s="8" t="s">
        <v>321</v>
      </c>
      <c r="P1247" s="8"/>
      <c r="Q1247" s="8"/>
      <c r="R1247" s="8">
        <v>29400</v>
      </c>
      <c r="S1247" s="8" t="s">
        <v>331</v>
      </c>
      <c r="T1247" s="8"/>
      <c r="U1247" s="8"/>
      <c r="V1247" s="8"/>
      <c r="W1247" s="8"/>
      <c r="X1247" s="8"/>
      <c r="Y1247" s="8"/>
      <c r="Z1247" s="10" t="s">
        <v>1102</v>
      </c>
      <c r="AA1247" s="8" t="s">
        <v>331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1093</v>
      </c>
      <c r="E1248" s="8" t="s">
        <v>128</v>
      </c>
      <c r="F1248" s="8" t="s">
        <v>2481</v>
      </c>
      <c r="G1248" s="8" t="s">
        <v>1718</v>
      </c>
      <c r="H1248" s="8" t="s">
        <v>1719</v>
      </c>
      <c r="I1248" s="8" t="s">
        <v>1209</v>
      </c>
      <c r="J1248" s="8" t="s">
        <v>1204</v>
      </c>
      <c r="K1248" s="8" t="s">
        <v>1099</v>
      </c>
      <c r="L1248" s="10" t="s">
        <v>1210</v>
      </c>
      <c r="M1248" s="10" t="s">
        <v>1211</v>
      </c>
      <c r="N1248" s="10" t="s">
        <v>1188</v>
      </c>
      <c r="O1248" s="8" t="s">
        <v>321</v>
      </c>
      <c r="P1248" s="8"/>
      <c r="Q1248" s="8">
        <v>2453</v>
      </c>
      <c r="R1248" s="8">
        <v>311677</v>
      </c>
      <c r="S1248" s="8" t="s">
        <v>331</v>
      </c>
      <c r="T1248" s="8"/>
      <c r="U1248" s="8"/>
      <c r="V1248" s="8"/>
      <c r="W1248" s="8"/>
      <c r="X1248" s="8"/>
      <c r="Y1248" s="8"/>
      <c r="Z1248" s="10" t="s">
        <v>1102</v>
      </c>
      <c r="AA1248" s="8" t="s">
        <v>331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1093</v>
      </c>
      <c r="E1249" s="8" t="s">
        <v>123</v>
      </c>
      <c r="F1249" s="8" t="s">
        <v>2481</v>
      </c>
      <c r="G1249" s="8" t="s">
        <v>1302</v>
      </c>
      <c r="H1249" s="8" t="s">
        <v>1303</v>
      </c>
      <c r="I1249" s="8" t="s">
        <v>1895</v>
      </c>
      <c r="J1249" s="8" t="s">
        <v>1217</v>
      </c>
      <c r="K1249" s="8" t="s">
        <v>1099</v>
      </c>
      <c r="L1249" s="10" t="s">
        <v>2398</v>
      </c>
      <c r="M1249" s="10" t="s">
        <v>1897</v>
      </c>
      <c r="N1249" s="10" t="s">
        <v>1413</v>
      </c>
      <c r="O1249" s="8" t="s">
        <v>321</v>
      </c>
      <c r="P1249" s="8"/>
      <c r="Q1249" s="8">
        <v>6296</v>
      </c>
      <c r="R1249" s="8">
        <v>12863</v>
      </c>
      <c r="S1249" s="8" t="s">
        <v>331</v>
      </c>
      <c r="T1249" s="8"/>
      <c r="U1249" s="8"/>
      <c r="V1249" s="8"/>
      <c r="W1249" s="8"/>
      <c r="X1249" s="8"/>
      <c r="Y1249" s="8"/>
      <c r="Z1249" s="10" t="s">
        <v>1738</v>
      </c>
      <c r="AA1249" s="8" t="s">
        <v>331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1093</v>
      </c>
      <c r="E1250" s="8" t="s">
        <v>123</v>
      </c>
      <c r="F1250" s="8" t="s">
        <v>2482</v>
      </c>
      <c r="G1250" s="8" t="s">
        <v>1279</v>
      </c>
      <c r="H1250" s="8" t="s">
        <v>1149</v>
      </c>
      <c r="I1250" s="8" t="s">
        <v>1338</v>
      </c>
      <c r="J1250" s="8" t="s">
        <v>1169</v>
      </c>
      <c r="K1250" s="8" t="s">
        <v>1099</v>
      </c>
      <c r="L1250" s="10" t="s">
        <v>1186</v>
      </c>
      <c r="M1250" s="10" t="s">
        <v>1339</v>
      </c>
      <c r="N1250" s="10" t="s">
        <v>1340</v>
      </c>
      <c r="O1250" s="8" t="s">
        <v>321</v>
      </c>
      <c r="P1250" s="8"/>
      <c r="Q1250" s="8"/>
      <c r="R1250" s="8">
        <v>48705</v>
      </c>
      <c r="S1250" s="8" t="s">
        <v>331</v>
      </c>
      <c r="T1250" s="8"/>
      <c r="U1250" s="8"/>
      <c r="V1250" s="8"/>
      <c r="W1250" s="8"/>
      <c r="X1250" s="8"/>
      <c r="Y1250" s="8"/>
      <c r="Z1250" s="10" t="s">
        <v>1738</v>
      </c>
      <c r="AA1250" s="8" t="s">
        <v>331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1093</v>
      </c>
      <c r="E1251" s="8" t="s">
        <v>123</v>
      </c>
      <c r="F1251" s="8" t="s">
        <v>2482</v>
      </c>
      <c r="G1251" s="8" t="s">
        <v>1196</v>
      </c>
      <c r="H1251" s="8" t="s">
        <v>1279</v>
      </c>
      <c r="I1251" s="8" t="s">
        <v>1344</v>
      </c>
      <c r="J1251" s="8" t="s">
        <v>1169</v>
      </c>
      <c r="K1251" s="8" t="s">
        <v>1099</v>
      </c>
      <c r="L1251" s="10" t="s">
        <v>1186</v>
      </c>
      <c r="M1251" s="10" t="s">
        <v>1345</v>
      </c>
      <c r="N1251" s="10" t="s">
        <v>1346</v>
      </c>
      <c r="O1251" s="8" t="s">
        <v>321</v>
      </c>
      <c r="P1251" s="8"/>
      <c r="Q1251" s="8"/>
      <c r="R1251" s="8">
        <v>80259</v>
      </c>
      <c r="S1251" s="8" t="s">
        <v>331</v>
      </c>
      <c r="T1251" s="8"/>
      <c r="U1251" s="8"/>
      <c r="V1251" s="8"/>
      <c r="W1251" s="8"/>
      <c r="X1251" s="8"/>
      <c r="Y1251" s="8"/>
      <c r="Z1251" s="10" t="s">
        <v>1738</v>
      </c>
      <c r="AA1251" s="8" t="s">
        <v>331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1093</v>
      </c>
      <c r="E1252" s="8" t="s">
        <v>123</v>
      </c>
      <c r="F1252" s="8" t="s">
        <v>2482</v>
      </c>
      <c r="G1252" s="8" t="s">
        <v>1266</v>
      </c>
      <c r="H1252" s="8" t="s">
        <v>1196</v>
      </c>
      <c r="I1252" s="8" t="s">
        <v>2088</v>
      </c>
      <c r="J1252" s="8" t="s">
        <v>1193</v>
      </c>
      <c r="K1252" s="8" t="s">
        <v>1099</v>
      </c>
      <c r="L1252" s="10" t="s">
        <v>1186</v>
      </c>
      <c r="M1252" s="10" t="s">
        <v>1412</v>
      </c>
      <c r="N1252" s="10" t="s">
        <v>1413</v>
      </c>
      <c r="O1252" s="8" t="s">
        <v>1106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1738</v>
      </c>
      <c r="AA1252" s="8" t="s">
        <v>331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1093</v>
      </c>
      <c r="E1253" s="8" t="s">
        <v>123</v>
      </c>
      <c r="F1253" s="8" t="s">
        <v>2482</v>
      </c>
      <c r="G1253" s="8" t="s">
        <v>1297</v>
      </c>
      <c r="H1253" s="8" t="s">
        <v>1273</v>
      </c>
      <c r="I1253" s="8" t="s">
        <v>2345</v>
      </c>
      <c r="J1253" s="8" t="s">
        <v>1193</v>
      </c>
      <c r="K1253" s="8" t="s">
        <v>1099</v>
      </c>
      <c r="L1253" s="10" t="s">
        <v>1314</v>
      </c>
      <c r="M1253" s="10" t="s">
        <v>1315</v>
      </c>
      <c r="N1253" s="10" t="s">
        <v>1316</v>
      </c>
      <c r="O1253" s="8" t="s">
        <v>362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2483</v>
      </c>
      <c r="AA1253" s="8" t="s">
        <v>331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1093</v>
      </c>
      <c r="E1254" s="8" t="s">
        <v>123</v>
      </c>
      <c r="F1254" s="8" t="s">
        <v>2482</v>
      </c>
      <c r="G1254" s="8" t="s">
        <v>1342</v>
      </c>
      <c r="H1254" s="8" t="s">
        <v>1347</v>
      </c>
      <c r="I1254" s="8" t="s">
        <v>2469</v>
      </c>
      <c r="J1254" s="8" t="s">
        <v>2470</v>
      </c>
      <c r="K1254" s="8" t="s">
        <v>1099</v>
      </c>
      <c r="L1254" s="10" t="s">
        <v>1378</v>
      </c>
      <c r="M1254" s="10" t="s">
        <v>1442</v>
      </c>
      <c r="N1254" s="10" t="s">
        <v>2471</v>
      </c>
      <c r="O1254" s="8" t="s">
        <v>321</v>
      </c>
      <c r="P1254" s="8"/>
      <c r="Q1254" s="8"/>
      <c r="R1254" s="8">
        <v>2471</v>
      </c>
      <c r="S1254" s="8"/>
      <c r="T1254" s="8"/>
      <c r="U1254" s="8" t="s">
        <v>331</v>
      </c>
      <c r="V1254" s="8"/>
      <c r="W1254" s="8"/>
      <c r="X1254" s="8"/>
      <c r="Y1254" s="8"/>
      <c r="Z1254" s="10" t="s">
        <v>2484</v>
      </c>
      <c r="AA1254" s="8" t="s">
        <v>331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1093</v>
      </c>
      <c r="E1255" s="8" t="s">
        <v>123</v>
      </c>
      <c r="F1255" s="8" t="s">
        <v>2482</v>
      </c>
      <c r="G1255" s="8" t="s">
        <v>1347</v>
      </c>
      <c r="H1255" s="8" t="s">
        <v>1348</v>
      </c>
      <c r="I1255" s="8" t="s">
        <v>2485</v>
      </c>
      <c r="J1255" s="8" t="s">
        <v>2470</v>
      </c>
      <c r="K1255" s="8" t="s">
        <v>1099</v>
      </c>
      <c r="L1255" s="10" t="s">
        <v>1378</v>
      </c>
      <c r="M1255" s="10" t="s">
        <v>1447</v>
      </c>
      <c r="N1255" s="10" t="s">
        <v>1448</v>
      </c>
      <c r="O1255" s="8" t="s">
        <v>321</v>
      </c>
      <c r="P1255" s="8"/>
      <c r="Q1255" s="8"/>
      <c r="R1255" s="8">
        <v>12597</v>
      </c>
      <c r="S1255" s="8"/>
      <c r="T1255" s="8"/>
      <c r="U1255" s="8" t="s">
        <v>331</v>
      </c>
      <c r="V1255" s="8"/>
      <c r="W1255" s="8"/>
      <c r="X1255" s="8"/>
      <c r="Y1255" s="8"/>
      <c r="Z1255" s="10" t="s">
        <v>2484</v>
      </c>
      <c r="AA1255" s="8" t="s">
        <v>331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1093</v>
      </c>
      <c r="E1256" s="8" t="s">
        <v>128</v>
      </c>
      <c r="F1256" s="8" t="s">
        <v>2481</v>
      </c>
      <c r="G1256" s="8" t="s">
        <v>1608</v>
      </c>
      <c r="H1256" s="8" t="s">
        <v>1804</v>
      </c>
      <c r="I1256" s="8" t="s">
        <v>2387</v>
      </c>
      <c r="J1256" s="8" t="s">
        <v>1140</v>
      </c>
      <c r="K1256" s="8" t="s">
        <v>1099</v>
      </c>
      <c r="L1256" s="10" t="s">
        <v>2321</v>
      </c>
      <c r="M1256" s="10" t="s">
        <v>2388</v>
      </c>
      <c r="N1256" s="10" t="s">
        <v>1131</v>
      </c>
      <c r="O1256" s="8" t="s">
        <v>1106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1102</v>
      </c>
      <c r="AA1256" s="8" t="s">
        <v>331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1093</v>
      </c>
      <c r="E1257" s="8" t="s">
        <v>128</v>
      </c>
      <c r="F1257" s="8" t="s">
        <v>2486</v>
      </c>
      <c r="G1257" s="8" t="s">
        <v>1174</v>
      </c>
      <c r="H1257" s="8" t="s">
        <v>1414</v>
      </c>
      <c r="I1257" s="8" t="s">
        <v>1192</v>
      </c>
      <c r="J1257" s="8" t="s">
        <v>1193</v>
      </c>
      <c r="K1257" s="8" t="s">
        <v>1099</v>
      </c>
      <c r="L1257" s="10" t="s">
        <v>1194</v>
      </c>
      <c r="M1257" s="10" t="s">
        <v>1195</v>
      </c>
      <c r="N1257" s="10" t="s">
        <v>2325</v>
      </c>
      <c r="O1257" s="8" t="s">
        <v>321</v>
      </c>
      <c r="P1257" s="8"/>
      <c r="Q1257" s="8"/>
      <c r="R1257" s="8">
        <v>70842</v>
      </c>
      <c r="S1257" s="8" t="s">
        <v>331</v>
      </c>
      <c r="T1257" s="8"/>
      <c r="U1257" s="8"/>
      <c r="V1257" s="8"/>
      <c r="W1257" s="8"/>
      <c r="X1257" s="8"/>
      <c r="Y1257" s="8"/>
      <c r="Z1257" s="10" t="s">
        <v>1102</v>
      </c>
      <c r="AA1257" s="8" t="s">
        <v>331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1093</v>
      </c>
      <c r="E1258" s="8" t="s">
        <v>123</v>
      </c>
      <c r="F1258" s="8" t="s">
        <v>2487</v>
      </c>
      <c r="G1258" s="8" t="s">
        <v>1279</v>
      </c>
      <c r="H1258" s="8" t="s">
        <v>1149</v>
      </c>
      <c r="I1258" s="8" t="s">
        <v>1363</v>
      </c>
      <c r="J1258" s="8" t="s">
        <v>1193</v>
      </c>
      <c r="K1258" s="8" t="s">
        <v>1099</v>
      </c>
      <c r="L1258" s="10" t="s">
        <v>1364</v>
      </c>
      <c r="M1258" s="10" t="s">
        <v>1365</v>
      </c>
      <c r="N1258" s="10"/>
      <c r="O1258" s="8" t="s">
        <v>1106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1613</v>
      </c>
      <c r="AA1258" s="8" t="s">
        <v>331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1093</v>
      </c>
      <c r="E1259" s="8" t="s">
        <v>123</v>
      </c>
      <c r="F1259" s="8" t="s">
        <v>2486</v>
      </c>
      <c r="G1259" s="8" t="s">
        <v>1342</v>
      </c>
      <c r="H1259" s="8" t="s">
        <v>1348</v>
      </c>
      <c r="I1259" s="8" t="s">
        <v>2204</v>
      </c>
      <c r="J1259" s="8" t="s">
        <v>1479</v>
      </c>
      <c r="K1259" s="8" t="s">
        <v>1099</v>
      </c>
      <c r="L1259" s="10" t="s">
        <v>1466</v>
      </c>
      <c r="M1259" s="10" t="s">
        <v>1467</v>
      </c>
      <c r="N1259" s="10" t="s">
        <v>1468</v>
      </c>
      <c r="O1259" s="8" t="s">
        <v>362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2488</v>
      </c>
      <c r="AA1259" s="8" t="s">
        <v>331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1093</v>
      </c>
      <c r="E1260" s="8" t="s">
        <v>123</v>
      </c>
      <c r="F1260" s="8" t="s">
        <v>2487</v>
      </c>
      <c r="G1260" s="8" t="s">
        <v>1266</v>
      </c>
      <c r="H1260" s="8" t="s">
        <v>1196</v>
      </c>
      <c r="I1260" s="8" t="s">
        <v>2204</v>
      </c>
      <c r="J1260" s="8" t="s">
        <v>1479</v>
      </c>
      <c r="K1260" s="8" t="s">
        <v>1099</v>
      </c>
      <c r="L1260" s="10" t="s">
        <v>1466</v>
      </c>
      <c r="M1260" s="10" t="s">
        <v>1467</v>
      </c>
      <c r="N1260" s="10" t="s">
        <v>1468</v>
      </c>
      <c r="O1260" s="8" t="s">
        <v>1106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1613</v>
      </c>
      <c r="AA1260" s="8" t="s">
        <v>331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1093</v>
      </c>
      <c r="E1261" s="8" t="s">
        <v>123</v>
      </c>
      <c r="F1261" s="8" t="s">
        <v>2486</v>
      </c>
      <c r="G1261" s="8" t="s">
        <v>1149</v>
      </c>
      <c r="H1261" s="8" t="s">
        <v>1342</v>
      </c>
      <c r="I1261" s="8" t="s">
        <v>2489</v>
      </c>
      <c r="J1261" s="8" t="s">
        <v>1514</v>
      </c>
      <c r="K1261" s="8" t="s">
        <v>1496</v>
      </c>
      <c r="L1261" s="10" t="s">
        <v>1515</v>
      </c>
      <c r="M1261" s="10" t="s">
        <v>1516</v>
      </c>
      <c r="N1261" s="10" t="s">
        <v>1798</v>
      </c>
      <c r="O1261" s="8" t="s">
        <v>321</v>
      </c>
      <c r="P1261" s="8"/>
      <c r="Q1261" s="8"/>
      <c r="R1261" s="8">
        <v>0</v>
      </c>
      <c r="S1261" s="8" t="s">
        <v>331</v>
      </c>
      <c r="T1261" s="8"/>
      <c r="U1261" s="8"/>
      <c r="V1261" s="8"/>
      <c r="W1261" s="8"/>
      <c r="X1261" s="8"/>
      <c r="Y1261" s="8"/>
      <c r="Z1261" s="10" t="s">
        <v>2490</v>
      </c>
      <c r="AA1261" s="8" t="s">
        <v>331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1093</v>
      </c>
      <c r="E1262" s="8" t="s">
        <v>123</v>
      </c>
      <c r="F1262" s="8" t="s">
        <v>2487</v>
      </c>
      <c r="G1262" s="8" t="s">
        <v>1279</v>
      </c>
      <c r="H1262" s="8" t="s">
        <v>1149</v>
      </c>
      <c r="I1262" s="8" t="s">
        <v>1363</v>
      </c>
      <c r="J1262" s="8" t="s">
        <v>1193</v>
      </c>
      <c r="K1262" s="8" t="s">
        <v>1099</v>
      </c>
      <c r="L1262" s="10" t="s">
        <v>1364</v>
      </c>
      <c r="M1262" s="10" t="s">
        <v>1365</v>
      </c>
      <c r="N1262" s="10"/>
      <c r="O1262" s="8" t="s">
        <v>321</v>
      </c>
      <c r="P1262" s="8"/>
      <c r="Q1262" s="8"/>
      <c r="R1262" s="8">
        <v>52000</v>
      </c>
      <c r="S1262" s="8" t="s">
        <v>331</v>
      </c>
      <c r="T1262" s="8"/>
      <c r="U1262" s="8"/>
      <c r="V1262" s="8"/>
      <c r="W1262" s="8"/>
      <c r="X1262" s="8"/>
      <c r="Y1262" s="8"/>
      <c r="Z1262" s="10" t="s">
        <v>1613</v>
      </c>
      <c r="AA1262" s="8" t="s">
        <v>331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1093</v>
      </c>
      <c r="E1263" s="8" t="s">
        <v>123</v>
      </c>
      <c r="F1263" s="8" t="s">
        <v>2482</v>
      </c>
      <c r="G1263" s="8" t="s">
        <v>1166</v>
      </c>
      <c r="H1263" s="8" t="s">
        <v>1120</v>
      </c>
      <c r="I1263" s="8" t="s">
        <v>2491</v>
      </c>
      <c r="J1263" s="8" t="s">
        <v>2470</v>
      </c>
      <c r="K1263" s="8" t="s">
        <v>1099</v>
      </c>
      <c r="L1263" s="10" t="s">
        <v>1378</v>
      </c>
      <c r="M1263" s="10" t="s">
        <v>1631</v>
      </c>
      <c r="N1263" s="10" t="s">
        <v>1632</v>
      </c>
      <c r="O1263" s="8" t="s">
        <v>1106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1613</v>
      </c>
      <c r="AA1263" s="8" t="s">
        <v>331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1093</v>
      </c>
      <c r="E1264" s="8" t="s">
        <v>123</v>
      </c>
      <c r="F1264" s="8" t="s">
        <v>2492</v>
      </c>
      <c r="G1264" s="8" t="s">
        <v>1266</v>
      </c>
      <c r="H1264" s="8" t="s">
        <v>1196</v>
      </c>
      <c r="I1264" s="8" t="s">
        <v>2204</v>
      </c>
      <c r="J1264" s="8" t="s">
        <v>1479</v>
      </c>
      <c r="K1264" s="8" t="s">
        <v>1099</v>
      </c>
      <c r="L1264" s="10" t="s">
        <v>1466</v>
      </c>
      <c r="M1264" s="10" t="s">
        <v>1467</v>
      </c>
      <c r="N1264" s="10" t="s">
        <v>1468</v>
      </c>
      <c r="O1264" s="8" t="s">
        <v>321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331</v>
      </c>
      <c r="Z1264" s="10" t="s">
        <v>2493</v>
      </c>
      <c r="AA1264" s="8" t="s">
        <v>331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1093</v>
      </c>
      <c r="E1265" s="8" t="s">
        <v>123</v>
      </c>
      <c r="F1265" s="8" t="s">
        <v>2492</v>
      </c>
      <c r="G1265" s="8" t="s">
        <v>1149</v>
      </c>
      <c r="H1265" s="8" t="s">
        <v>1342</v>
      </c>
      <c r="I1265" s="8" t="s">
        <v>2494</v>
      </c>
      <c r="J1265" s="8" t="s">
        <v>1514</v>
      </c>
      <c r="K1265" s="8" t="s">
        <v>1496</v>
      </c>
      <c r="L1265" s="10" t="s">
        <v>1515</v>
      </c>
      <c r="M1265" s="10" t="s">
        <v>1964</v>
      </c>
      <c r="N1265" s="10" t="s">
        <v>2495</v>
      </c>
      <c r="O1265" s="8" t="s">
        <v>321</v>
      </c>
      <c r="P1265" s="8"/>
      <c r="Q1265" s="8"/>
      <c r="R1265" s="8">
        <v>0</v>
      </c>
      <c r="S1265" s="8" t="s">
        <v>331</v>
      </c>
      <c r="T1265" s="8"/>
      <c r="U1265" s="8"/>
      <c r="V1265" s="8"/>
      <c r="W1265" s="8"/>
      <c r="X1265" s="8"/>
      <c r="Y1265" s="8"/>
      <c r="Z1265" s="10" t="s">
        <v>2496</v>
      </c>
      <c r="AA1265" s="8" t="s">
        <v>331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1093</v>
      </c>
      <c r="E1266" s="8" t="s">
        <v>139</v>
      </c>
      <c r="F1266" s="8" t="s">
        <v>2492</v>
      </c>
      <c r="G1266" s="8" t="s">
        <v>1149</v>
      </c>
      <c r="H1266" s="8" t="s">
        <v>1342</v>
      </c>
      <c r="I1266" s="8" t="s">
        <v>2494</v>
      </c>
      <c r="J1266" s="8" t="s">
        <v>1514</v>
      </c>
      <c r="K1266" s="8" t="s">
        <v>1496</v>
      </c>
      <c r="L1266" s="10" t="s">
        <v>1515</v>
      </c>
      <c r="M1266" s="10" t="s">
        <v>1964</v>
      </c>
      <c r="N1266" s="10" t="s">
        <v>2495</v>
      </c>
      <c r="O1266" s="8" t="s">
        <v>321</v>
      </c>
      <c r="P1266" s="8"/>
      <c r="Q1266" s="8"/>
      <c r="R1266" s="8">
        <v>0</v>
      </c>
      <c r="S1266" s="8" t="s">
        <v>331</v>
      </c>
      <c r="T1266" s="8"/>
      <c r="U1266" s="8"/>
      <c r="V1266" s="8"/>
      <c r="W1266" s="8"/>
      <c r="X1266" s="8"/>
      <c r="Y1266" s="8"/>
      <c r="Z1266" s="10" t="s">
        <v>2497</v>
      </c>
      <c r="AA1266" s="8" t="s">
        <v>331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1093</v>
      </c>
      <c r="E1267" s="8" t="s">
        <v>139</v>
      </c>
      <c r="F1267" s="8" t="s">
        <v>2486</v>
      </c>
      <c r="G1267" s="8" t="s">
        <v>1149</v>
      </c>
      <c r="H1267" s="8" t="s">
        <v>1342</v>
      </c>
      <c r="I1267" s="8" t="s">
        <v>2489</v>
      </c>
      <c r="J1267" s="8" t="s">
        <v>1514</v>
      </c>
      <c r="K1267" s="8" t="s">
        <v>1496</v>
      </c>
      <c r="L1267" s="10" t="s">
        <v>1515</v>
      </c>
      <c r="M1267" s="10" t="s">
        <v>1516</v>
      </c>
      <c r="N1267" s="10" t="s">
        <v>1798</v>
      </c>
      <c r="O1267" s="8" t="s">
        <v>321</v>
      </c>
      <c r="P1267" s="8"/>
      <c r="Q1267" s="8"/>
      <c r="R1267" s="8">
        <v>0</v>
      </c>
      <c r="S1267" s="8" t="s">
        <v>331</v>
      </c>
      <c r="T1267" s="8"/>
      <c r="U1267" s="8"/>
      <c r="V1267" s="8"/>
      <c r="W1267" s="8"/>
      <c r="X1267" s="8"/>
      <c r="Y1267" s="8"/>
      <c r="Z1267" s="10" t="s">
        <v>2498</v>
      </c>
      <c r="AA1267" s="8" t="s">
        <v>331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1093</v>
      </c>
      <c r="E1268" s="8" t="s">
        <v>123</v>
      </c>
      <c r="F1268" s="8" t="s">
        <v>2487</v>
      </c>
      <c r="G1268" s="8" t="s">
        <v>1196</v>
      </c>
      <c r="H1268" s="8" t="s">
        <v>1279</v>
      </c>
      <c r="I1268" s="8" t="s">
        <v>2075</v>
      </c>
      <c r="J1268" s="8" t="s">
        <v>1140</v>
      </c>
      <c r="K1268" s="8" t="s">
        <v>1099</v>
      </c>
      <c r="L1268" s="10" t="s">
        <v>1466</v>
      </c>
      <c r="M1268" s="10" t="s">
        <v>2076</v>
      </c>
      <c r="N1268" s="10" t="s">
        <v>1618</v>
      </c>
      <c r="O1268" s="8" t="s">
        <v>1106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1613</v>
      </c>
      <c r="AA1268" s="8" t="s">
        <v>331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1093</v>
      </c>
      <c r="E1269" s="8" t="s">
        <v>123</v>
      </c>
      <c r="F1269" s="8" t="s">
        <v>2482</v>
      </c>
      <c r="G1269" s="8" t="s">
        <v>1120</v>
      </c>
      <c r="H1269" s="8" t="s">
        <v>1343</v>
      </c>
      <c r="I1269" s="8" t="s">
        <v>2485</v>
      </c>
      <c r="J1269" s="8" t="s">
        <v>2470</v>
      </c>
      <c r="K1269" s="8" t="s">
        <v>1099</v>
      </c>
      <c r="L1269" s="10" t="s">
        <v>1378</v>
      </c>
      <c r="M1269" s="10" t="s">
        <v>1447</v>
      </c>
      <c r="N1269" s="10" t="s">
        <v>1448</v>
      </c>
      <c r="O1269" s="8" t="s">
        <v>1106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1613</v>
      </c>
      <c r="AA1269" s="8" t="s">
        <v>331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1093</v>
      </c>
      <c r="E1270" s="8" t="s">
        <v>128</v>
      </c>
      <c r="F1270" s="8" t="s">
        <v>2486</v>
      </c>
      <c r="G1270" s="8" t="s">
        <v>1174</v>
      </c>
      <c r="H1270" s="8" t="s">
        <v>1414</v>
      </c>
      <c r="I1270" s="8" t="s">
        <v>1192</v>
      </c>
      <c r="J1270" s="8" t="s">
        <v>1193</v>
      </c>
      <c r="K1270" s="8" t="s">
        <v>1099</v>
      </c>
      <c r="L1270" s="10" t="s">
        <v>1194</v>
      </c>
      <c r="M1270" s="10" t="s">
        <v>1195</v>
      </c>
      <c r="N1270" s="10" t="s">
        <v>2325</v>
      </c>
      <c r="O1270" s="8" t="s">
        <v>1106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1102</v>
      </c>
      <c r="AA1270" s="8" t="s">
        <v>331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1093</v>
      </c>
      <c r="E1271" s="8" t="s">
        <v>123</v>
      </c>
      <c r="F1271" s="8" t="s">
        <v>2499</v>
      </c>
      <c r="G1271" s="8" t="s">
        <v>1166</v>
      </c>
      <c r="H1271" s="8" t="s">
        <v>1120</v>
      </c>
      <c r="I1271" s="8" t="s">
        <v>1298</v>
      </c>
      <c r="J1271" s="8" t="s">
        <v>1140</v>
      </c>
      <c r="K1271" s="8" t="s">
        <v>1099</v>
      </c>
      <c r="L1271" s="10" t="s">
        <v>1299</v>
      </c>
      <c r="M1271" s="10" t="s">
        <v>1300</v>
      </c>
      <c r="N1271" s="10" t="s">
        <v>1301</v>
      </c>
      <c r="O1271" s="8" t="s">
        <v>321</v>
      </c>
      <c r="P1271" s="8">
        <v>6868</v>
      </c>
      <c r="Q1271" s="8">
        <v>15339</v>
      </c>
      <c r="R1271" s="8">
        <v>20204</v>
      </c>
      <c r="S1271" s="8" t="s">
        <v>331</v>
      </c>
      <c r="T1271" s="8"/>
      <c r="U1271" s="8"/>
      <c r="V1271" s="8"/>
      <c r="W1271" s="8"/>
      <c r="X1271" s="8"/>
      <c r="Y1271" s="8"/>
      <c r="Z1271" s="10" t="s">
        <v>1613</v>
      </c>
      <c r="AA1271" s="8" t="s">
        <v>331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1093</v>
      </c>
      <c r="E1272" s="8" t="s">
        <v>123</v>
      </c>
      <c r="F1272" s="8" t="s">
        <v>2499</v>
      </c>
      <c r="G1272" s="8" t="s">
        <v>1284</v>
      </c>
      <c r="H1272" s="8" t="s">
        <v>1166</v>
      </c>
      <c r="I1272" s="8" t="s">
        <v>1600</v>
      </c>
      <c r="J1272" s="8" t="s">
        <v>1140</v>
      </c>
      <c r="K1272" s="8" t="s">
        <v>1099</v>
      </c>
      <c r="L1272" s="10" t="s">
        <v>1299</v>
      </c>
      <c r="M1272" s="10" t="s">
        <v>1601</v>
      </c>
      <c r="N1272" s="10" t="s">
        <v>1602</v>
      </c>
      <c r="O1272" s="8" t="s">
        <v>321</v>
      </c>
      <c r="P1272" s="8">
        <v>1844</v>
      </c>
      <c r="Q1272" s="8">
        <v>2679</v>
      </c>
      <c r="R1272" s="8">
        <v>8389</v>
      </c>
      <c r="S1272" s="8" t="s">
        <v>331</v>
      </c>
      <c r="T1272" s="8"/>
      <c r="U1272" s="8"/>
      <c r="V1272" s="8"/>
      <c r="W1272" s="8"/>
      <c r="X1272" s="8"/>
      <c r="Y1272" s="8"/>
      <c r="Z1272" s="10" t="s">
        <v>1613</v>
      </c>
      <c r="AA1272" s="8" t="s">
        <v>331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1093</v>
      </c>
      <c r="E1273" s="8" t="s">
        <v>123</v>
      </c>
      <c r="F1273" s="8" t="s">
        <v>2499</v>
      </c>
      <c r="G1273" s="8" t="s">
        <v>1120</v>
      </c>
      <c r="H1273" s="8" t="s">
        <v>1343</v>
      </c>
      <c r="I1273" s="8" t="s">
        <v>1857</v>
      </c>
      <c r="J1273" s="8" t="s">
        <v>1140</v>
      </c>
      <c r="K1273" s="8" t="s">
        <v>1099</v>
      </c>
      <c r="L1273" s="10" t="s">
        <v>1299</v>
      </c>
      <c r="M1273" s="10" t="s">
        <v>1858</v>
      </c>
      <c r="N1273" s="10" t="s">
        <v>1859</v>
      </c>
      <c r="O1273" s="8" t="s">
        <v>321</v>
      </c>
      <c r="P1273" s="8">
        <v>157</v>
      </c>
      <c r="Q1273" s="8">
        <v>947</v>
      </c>
      <c r="R1273" s="8">
        <v>3712</v>
      </c>
      <c r="S1273" s="8" t="s">
        <v>331</v>
      </c>
      <c r="T1273" s="8"/>
      <c r="U1273" s="8"/>
      <c r="V1273" s="8"/>
      <c r="W1273" s="8"/>
      <c r="X1273" s="8"/>
      <c r="Y1273" s="8"/>
      <c r="Z1273" s="10" t="s">
        <v>1613</v>
      </c>
      <c r="AA1273" s="8" t="s">
        <v>331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1093</v>
      </c>
      <c r="E1274" s="8" t="s">
        <v>123</v>
      </c>
      <c r="F1274" s="8" t="s">
        <v>2499</v>
      </c>
      <c r="G1274" s="8" t="s">
        <v>1266</v>
      </c>
      <c r="H1274" s="8" t="s">
        <v>1196</v>
      </c>
      <c r="I1274" s="8" t="s">
        <v>1320</v>
      </c>
      <c r="J1274" s="8" t="s">
        <v>1169</v>
      </c>
      <c r="K1274" s="8" t="s">
        <v>1099</v>
      </c>
      <c r="L1274" s="10" t="s">
        <v>1314</v>
      </c>
      <c r="M1274" s="10" t="s">
        <v>1492</v>
      </c>
      <c r="N1274" s="10" t="s">
        <v>1493</v>
      </c>
      <c r="O1274" s="8" t="s">
        <v>321</v>
      </c>
      <c r="P1274" s="8"/>
      <c r="Q1274" s="8"/>
      <c r="R1274" s="8">
        <v>653</v>
      </c>
      <c r="S1274" s="8" t="s">
        <v>331</v>
      </c>
      <c r="T1274" s="8"/>
      <c r="U1274" s="8"/>
      <c r="V1274" s="8"/>
      <c r="W1274" s="8"/>
      <c r="X1274" s="8"/>
      <c r="Y1274" s="8"/>
      <c r="Z1274" s="10" t="s">
        <v>1613</v>
      </c>
      <c r="AA1274" s="8" t="s">
        <v>331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1093</v>
      </c>
      <c r="E1275" s="8" t="s">
        <v>123</v>
      </c>
      <c r="F1275" s="8" t="s">
        <v>2499</v>
      </c>
      <c r="G1275" s="8" t="s">
        <v>1342</v>
      </c>
      <c r="H1275" s="8" t="s">
        <v>1347</v>
      </c>
      <c r="I1275" s="8" t="s">
        <v>1349</v>
      </c>
      <c r="J1275" s="8" t="s">
        <v>1193</v>
      </c>
      <c r="K1275" s="8" t="s">
        <v>1099</v>
      </c>
      <c r="L1275" s="10" t="s">
        <v>1350</v>
      </c>
      <c r="M1275" s="10" t="s">
        <v>1351</v>
      </c>
      <c r="N1275" s="10" t="s">
        <v>1352</v>
      </c>
      <c r="O1275" s="8" t="s">
        <v>321</v>
      </c>
      <c r="P1275" s="8"/>
      <c r="Q1275" s="8"/>
      <c r="R1275" s="8">
        <v>159470</v>
      </c>
      <c r="S1275" s="8" t="s">
        <v>331</v>
      </c>
      <c r="T1275" s="8"/>
      <c r="U1275" s="8"/>
      <c r="V1275" s="8"/>
      <c r="W1275" s="8"/>
      <c r="X1275" s="8"/>
      <c r="Y1275" s="8"/>
      <c r="Z1275" s="10" t="s">
        <v>1613</v>
      </c>
      <c r="AA1275" s="8" t="s">
        <v>331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1093</v>
      </c>
      <c r="E1276" s="8" t="s">
        <v>123</v>
      </c>
      <c r="F1276" s="8" t="s">
        <v>2499</v>
      </c>
      <c r="G1276" s="8" t="s">
        <v>1347</v>
      </c>
      <c r="H1276" s="8" t="s">
        <v>1348</v>
      </c>
      <c r="I1276" s="8" t="s">
        <v>1356</v>
      </c>
      <c r="J1276" s="8" t="s">
        <v>1193</v>
      </c>
      <c r="K1276" s="8" t="s">
        <v>1099</v>
      </c>
      <c r="L1276" s="10" t="s">
        <v>1350</v>
      </c>
      <c r="M1276" s="10" t="s">
        <v>1357</v>
      </c>
      <c r="N1276" s="10" t="s">
        <v>1358</v>
      </c>
      <c r="O1276" s="8" t="s">
        <v>321</v>
      </c>
      <c r="P1276" s="8"/>
      <c r="Q1276" s="8"/>
      <c r="R1276" s="8">
        <v>146710</v>
      </c>
      <c r="S1276" s="8" t="s">
        <v>331</v>
      </c>
      <c r="T1276" s="8"/>
      <c r="U1276" s="8"/>
      <c r="V1276" s="8"/>
      <c r="W1276" s="8"/>
      <c r="X1276" s="8"/>
      <c r="Y1276" s="8"/>
      <c r="Z1276" s="10" t="s">
        <v>1613</v>
      </c>
      <c r="AA1276" s="8" t="s">
        <v>331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1093</v>
      </c>
      <c r="E1277" s="8" t="s">
        <v>123</v>
      </c>
      <c r="F1277" s="8" t="s">
        <v>2499</v>
      </c>
      <c r="G1277" s="8" t="s">
        <v>1196</v>
      </c>
      <c r="H1277" s="8" t="s">
        <v>1279</v>
      </c>
      <c r="I1277" s="8" t="s">
        <v>2343</v>
      </c>
      <c r="J1277" s="8" t="s">
        <v>1193</v>
      </c>
      <c r="K1277" s="8" t="s">
        <v>1099</v>
      </c>
      <c r="L1277" s="10" t="s">
        <v>1314</v>
      </c>
      <c r="M1277" s="10" t="s">
        <v>1438</v>
      </c>
      <c r="N1277" s="10" t="s">
        <v>1439</v>
      </c>
      <c r="O1277" s="8" t="s">
        <v>321</v>
      </c>
      <c r="P1277" s="8"/>
      <c r="Q1277" s="8"/>
      <c r="R1277" s="8">
        <v>8211</v>
      </c>
      <c r="S1277" s="8" t="s">
        <v>331</v>
      </c>
      <c r="T1277" s="8"/>
      <c r="U1277" s="8"/>
      <c r="V1277" s="8"/>
      <c r="W1277" s="8"/>
      <c r="X1277" s="8"/>
      <c r="Y1277" s="8"/>
      <c r="Z1277" s="10" t="s">
        <v>1613</v>
      </c>
      <c r="AA1277" s="8" t="s">
        <v>331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1093</v>
      </c>
      <c r="E1278" s="8" t="s">
        <v>123</v>
      </c>
      <c r="F1278" s="8" t="s">
        <v>2499</v>
      </c>
      <c r="G1278" s="8" t="s">
        <v>1302</v>
      </c>
      <c r="H1278" s="8" t="s">
        <v>1167</v>
      </c>
      <c r="I1278" s="8" t="s">
        <v>2343</v>
      </c>
      <c r="J1278" s="8" t="s">
        <v>1193</v>
      </c>
      <c r="K1278" s="8" t="s">
        <v>1099</v>
      </c>
      <c r="L1278" s="10" t="s">
        <v>1314</v>
      </c>
      <c r="M1278" s="10" t="s">
        <v>1438</v>
      </c>
      <c r="N1278" s="10" t="s">
        <v>1439</v>
      </c>
      <c r="O1278" s="8" t="s">
        <v>321</v>
      </c>
      <c r="P1278" s="8"/>
      <c r="Q1278" s="8"/>
      <c r="R1278" s="8">
        <v>8211</v>
      </c>
      <c r="S1278" s="8"/>
      <c r="T1278" s="8"/>
      <c r="U1278" s="8" t="s">
        <v>331</v>
      </c>
      <c r="V1278" s="8"/>
      <c r="W1278" s="8"/>
      <c r="X1278" s="8"/>
      <c r="Y1278" s="8"/>
      <c r="Z1278" s="10" t="s">
        <v>1278</v>
      </c>
      <c r="AA1278" s="8" t="s">
        <v>331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1093</v>
      </c>
      <c r="E1279" s="8" t="s">
        <v>123</v>
      </c>
      <c r="F1279" s="8" t="s">
        <v>2499</v>
      </c>
      <c r="G1279" s="8" t="s">
        <v>1279</v>
      </c>
      <c r="H1279" s="8" t="s">
        <v>1149</v>
      </c>
      <c r="I1279" s="8" t="s">
        <v>2389</v>
      </c>
      <c r="J1279" s="8" t="s">
        <v>1193</v>
      </c>
      <c r="K1279" s="8" t="s">
        <v>1099</v>
      </c>
      <c r="L1279" s="10" t="s">
        <v>1314</v>
      </c>
      <c r="M1279" s="10" t="s">
        <v>1435</v>
      </c>
      <c r="N1279" s="10" t="s">
        <v>1436</v>
      </c>
      <c r="O1279" s="8" t="s">
        <v>321</v>
      </c>
      <c r="P1279" s="8"/>
      <c r="Q1279" s="8"/>
      <c r="R1279" s="8">
        <v>9341</v>
      </c>
      <c r="S1279" s="8" t="s">
        <v>331</v>
      </c>
      <c r="T1279" s="8"/>
      <c r="U1279" s="8"/>
      <c r="V1279" s="8"/>
      <c r="W1279" s="8"/>
      <c r="X1279" s="8"/>
      <c r="Y1279" s="8"/>
      <c r="Z1279" s="10" t="s">
        <v>1613</v>
      </c>
      <c r="AA1279" s="8" t="s">
        <v>331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1093</v>
      </c>
      <c r="E1280" s="8" t="s">
        <v>123</v>
      </c>
      <c r="F1280" s="8" t="s">
        <v>2499</v>
      </c>
      <c r="G1280" s="8" t="s">
        <v>1167</v>
      </c>
      <c r="H1280" s="8" t="s">
        <v>1765</v>
      </c>
      <c r="I1280" s="8" t="s">
        <v>2389</v>
      </c>
      <c r="J1280" s="8" t="s">
        <v>1193</v>
      </c>
      <c r="K1280" s="8" t="s">
        <v>1099</v>
      </c>
      <c r="L1280" s="10" t="s">
        <v>1314</v>
      </c>
      <c r="M1280" s="10" t="s">
        <v>1435</v>
      </c>
      <c r="N1280" s="10" t="s">
        <v>1436</v>
      </c>
      <c r="O1280" s="8" t="s">
        <v>321</v>
      </c>
      <c r="P1280" s="8"/>
      <c r="Q1280" s="8"/>
      <c r="R1280" s="8">
        <v>9341</v>
      </c>
      <c r="S1280" s="8"/>
      <c r="T1280" s="8"/>
      <c r="U1280" s="8" t="s">
        <v>331</v>
      </c>
      <c r="V1280" s="8"/>
      <c r="W1280" s="8"/>
      <c r="X1280" s="8"/>
      <c r="Y1280" s="8"/>
      <c r="Z1280" s="10" t="s">
        <v>1278</v>
      </c>
      <c r="AA1280" s="8" t="s">
        <v>331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1093</v>
      </c>
      <c r="E1281" s="8" t="s">
        <v>123</v>
      </c>
      <c r="F1281" s="8" t="s">
        <v>2499</v>
      </c>
      <c r="G1281" s="8" t="s">
        <v>1149</v>
      </c>
      <c r="H1281" s="8" t="s">
        <v>1297</v>
      </c>
      <c r="I1281" s="8" t="s">
        <v>2345</v>
      </c>
      <c r="J1281" s="8" t="s">
        <v>1193</v>
      </c>
      <c r="K1281" s="8" t="s">
        <v>1099</v>
      </c>
      <c r="L1281" s="10" t="s">
        <v>1314</v>
      </c>
      <c r="M1281" s="10" t="s">
        <v>1315</v>
      </c>
      <c r="N1281" s="10" t="s">
        <v>1316</v>
      </c>
      <c r="O1281" s="8" t="s">
        <v>321</v>
      </c>
      <c r="P1281" s="8"/>
      <c r="Q1281" s="8"/>
      <c r="R1281" s="8">
        <v>6114</v>
      </c>
      <c r="S1281" s="8" t="s">
        <v>331</v>
      </c>
      <c r="T1281" s="8"/>
      <c r="U1281" s="8"/>
      <c r="V1281" s="8"/>
      <c r="W1281" s="8"/>
      <c r="X1281" s="8"/>
      <c r="Y1281" s="8"/>
      <c r="Z1281" s="10" t="s">
        <v>1613</v>
      </c>
      <c r="AA1281" s="8" t="s">
        <v>331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1093</v>
      </c>
      <c r="E1282" s="8" t="s">
        <v>123</v>
      </c>
      <c r="F1282" s="8" t="s">
        <v>2499</v>
      </c>
      <c r="G1282" s="8" t="s">
        <v>1765</v>
      </c>
      <c r="H1282" s="8" t="s">
        <v>1303</v>
      </c>
      <c r="I1282" s="8" t="s">
        <v>2345</v>
      </c>
      <c r="J1282" s="8" t="s">
        <v>1193</v>
      </c>
      <c r="K1282" s="8" t="s">
        <v>1099</v>
      </c>
      <c r="L1282" s="10" t="s">
        <v>1314</v>
      </c>
      <c r="M1282" s="10" t="s">
        <v>1315</v>
      </c>
      <c r="N1282" s="10" t="s">
        <v>1316</v>
      </c>
      <c r="O1282" s="8" t="s">
        <v>321</v>
      </c>
      <c r="P1282" s="8"/>
      <c r="Q1282" s="8"/>
      <c r="R1282" s="8">
        <v>6114</v>
      </c>
      <c r="S1282" s="8"/>
      <c r="T1282" s="8"/>
      <c r="U1282" s="8" t="s">
        <v>331</v>
      </c>
      <c r="V1282" s="8"/>
      <c r="W1282" s="8"/>
      <c r="X1282" s="8"/>
      <c r="Y1282" s="8"/>
      <c r="Z1282" s="10" t="s">
        <v>1278</v>
      </c>
      <c r="AA1282" s="8" t="s">
        <v>331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1093</v>
      </c>
      <c r="E1283" s="8" t="s">
        <v>123</v>
      </c>
      <c r="F1283" s="8" t="s">
        <v>2499</v>
      </c>
      <c r="G1283" s="8" t="s">
        <v>1297</v>
      </c>
      <c r="H1283" s="8" t="s">
        <v>1317</v>
      </c>
      <c r="I1283" s="8" t="s">
        <v>2347</v>
      </c>
      <c r="J1283" s="8" t="s">
        <v>1193</v>
      </c>
      <c r="K1283" s="8" t="s">
        <v>1099</v>
      </c>
      <c r="L1283" s="10" t="s">
        <v>1314</v>
      </c>
      <c r="M1283" s="10" t="s">
        <v>1451</v>
      </c>
      <c r="N1283" s="10" t="s">
        <v>1410</v>
      </c>
      <c r="O1283" s="8" t="s">
        <v>321</v>
      </c>
      <c r="P1283" s="8"/>
      <c r="Q1283" s="8"/>
      <c r="R1283" s="8">
        <v>7819</v>
      </c>
      <c r="S1283" s="8" t="s">
        <v>331</v>
      </c>
      <c r="T1283" s="8"/>
      <c r="U1283" s="8"/>
      <c r="V1283" s="8"/>
      <c r="W1283" s="8"/>
      <c r="X1283" s="8"/>
      <c r="Y1283" s="8"/>
      <c r="Z1283" s="10" t="s">
        <v>1613</v>
      </c>
      <c r="AA1283" s="8" t="s">
        <v>331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1093</v>
      </c>
      <c r="E1284" s="8" t="s">
        <v>123</v>
      </c>
      <c r="F1284" s="8" t="s">
        <v>2499</v>
      </c>
      <c r="G1284" s="8" t="s">
        <v>1303</v>
      </c>
      <c r="H1284" s="8" t="s">
        <v>1505</v>
      </c>
      <c r="I1284" s="8" t="s">
        <v>2347</v>
      </c>
      <c r="J1284" s="8" t="s">
        <v>1193</v>
      </c>
      <c r="K1284" s="8" t="s">
        <v>1099</v>
      </c>
      <c r="L1284" s="10" t="s">
        <v>1314</v>
      </c>
      <c r="M1284" s="10" t="s">
        <v>1451</v>
      </c>
      <c r="N1284" s="10" t="s">
        <v>1410</v>
      </c>
      <c r="O1284" s="8" t="s">
        <v>321</v>
      </c>
      <c r="P1284" s="8"/>
      <c r="Q1284" s="8"/>
      <c r="R1284" s="8">
        <v>7819</v>
      </c>
      <c r="S1284" s="8"/>
      <c r="T1284" s="8"/>
      <c r="U1284" s="8" t="s">
        <v>331</v>
      </c>
      <c r="V1284" s="8"/>
      <c r="W1284" s="8"/>
      <c r="X1284" s="8"/>
      <c r="Y1284" s="8"/>
      <c r="Z1284" s="10" t="s">
        <v>1278</v>
      </c>
      <c r="AA1284" s="8" t="s">
        <v>331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1093</v>
      </c>
      <c r="E1285" s="8" t="s">
        <v>123</v>
      </c>
      <c r="F1285" s="8" t="s">
        <v>2499</v>
      </c>
      <c r="G1285" s="8" t="s">
        <v>1317</v>
      </c>
      <c r="H1285" s="8" t="s">
        <v>1273</v>
      </c>
      <c r="I1285" s="8" t="s">
        <v>2390</v>
      </c>
      <c r="J1285" s="8" t="s">
        <v>1193</v>
      </c>
      <c r="K1285" s="8" t="s">
        <v>1099</v>
      </c>
      <c r="L1285" s="10" t="s">
        <v>1314</v>
      </c>
      <c r="M1285" s="10" t="s">
        <v>1430</v>
      </c>
      <c r="N1285" s="10" t="s">
        <v>1295</v>
      </c>
      <c r="O1285" s="8" t="s">
        <v>321</v>
      </c>
      <c r="P1285" s="8"/>
      <c r="Q1285" s="8"/>
      <c r="R1285" s="8">
        <v>4596</v>
      </c>
      <c r="S1285" s="8" t="s">
        <v>331</v>
      </c>
      <c r="T1285" s="8"/>
      <c r="U1285" s="8"/>
      <c r="V1285" s="8"/>
      <c r="W1285" s="8"/>
      <c r="X1285" s="8"/>
      <c r="Y1285" s="8"/>
      <c r="Z1285" s="10" t="s">
        <v>1613</v>
      </c>
      <c r="AA1285" s="8" t="s">
        <v>331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1093</v>
      </c>
      <c r="E1286" s="8" t="s">
        <v>123</v>
      </c>
      <c r="F1286" s="8" t="s">
        <v>2499</v>
      </c>
      <c r="G1286" s="8" t="s">
        <v>1505</v>
      </c>
      <c r="H1286" s="8" t="s">
        <v>1290</v>
      </c>
      <c r="I1286" s="8" t="s">
        <v>2390</v>
      </c>
      <c r="J1286" s="8" t="s">
        <v>1193</v>
      </c>
      <c r="K1286" s="8" t="s">
        <v>1099</v>
      </c>
      <c r="L1286" s="10" t="s">
        <v>1314</v>
      </c>
      <c r="M1286" s="10" t="s">
        <v>1430</v>
      </c>
      <c r="N1286" s="10" t="s">
        <v>1295</v>
      </c>
      <c r="O1286" s="8" t="s">
        <v>321</v>
      </c>
      <c r="P1286" s="8"/>
      <c r="Q1286" s="8"/>
      <c r="R1286" s="8">
        <v>4596</v>
      </c>
      <c r="S1286" s="8"/>
      <c r="T1286" s="8"/>
      <c r="U1286" s="8" t="s">
        <v>331</v>
      </c>
      <c r="V1286" s="8"/>
      <c r="W1286" s="8"/>
      <c r="X1286" s="8"/>
      <c r="Y1286" s="8"/>
      <c r="Z1286" s="10" t="s">
        <v>1278</v>
      </c>
      <c r="AA1286" s="8" t="s">
        <v>331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1093</v>
      </c>
      <c r="E1287" s="8" t="s">
        <v>123</v>
      </c>
      <c r="F1287" s="8" t="s">
        <v>2499</v>
      </c>
      <c r="G1287" s="8" t="s">
        <v>1273</v>
      </c>
      <c r="H1287" s="8" t="s">
        <v>1258</v>
      </c>
      <c r="I1287" s="8" t="s">
        <v>1426</v>
      </c>
      <c r="J1287" s="8" t="s">
        <v>1214</v>
      </c>
      <c r="K1287" s="8" t="s">
        <v>1099</v>
      </c>
      <c r="L1287" s="10" t="s">
        <v>1314</v>
      </c>
      <c r="M1287" s="10" t="s">
        <v>1427</v>
      </c>
      <c r="N1287" s="10" t="s">
        <v>1428</v>
      </c>
      <c r="O1287" s="8" t="s">
        <v>321</v>
      </c>
      <c r="P1287" s="8"/>
      <c r="Q1287" s="8"/>
      <c r="R1287" s="8">
        <v>173</v>
      </c>
      <c r="S1287" s="8" t="s">
        <v>331</v>
      </c>
      <c r="T1287" s="8"/>
      <c r="U1287" s="8"/>
      <c r="V1287" s="8"/>
      <c r="W1287" s="8"/>
      <c r="X1287" s="8"/>
      <c r="Y1287" s="8"/>
      <c r="Z1287" s="10" t="s">
        <v>1613</v>
      </c>
      <c r="AA1287" s="8" t="s">
        <v>331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1093</v>
      </c>
      <c r="E1288" s="8" t="s">
        <v>123</v>
      </c>
      <c r="F1288" s="8" t="s">
        <v>2499</v>
      </c>
      <c r="G1288" s="8" t="s">
        <v>1258</v>
      </c>
      <c r="H1288" s="8" t="s">
        <v>1684</v>
      </c>
      <c r="I1288" s="8" t="s">
        <v>1437</v>
      </c>
      <c r="J1288" s="8" t="s">
        <v>1214</v>
      </c>
      <c r="K1288" s="8" t="s">
        <v>1099</v>
      </c>
      <c r="L1288" s="10" t="s">
        <v>1314</v>
      </c>
      <c r="M1288" s="10" t="s">
        <v>1321</v>
      </c>
      <c r="N1288" s="10" t="s">
        <v>1322</v>
      </c>
      <c r="O1288" s="8" t="s">
        <v>321</v>
      </c>
      <c r="P1288" s="8"/>
      <c r="Q1288" s="8"/>
      <c r="R1288" s="8">
        <v>2461</v>
      </c>
      <c r="S1288" s="8" t="s">
        <v>331</v>
      </c>
      <c r="T1288" s="8"/>
      <c r="U1288" s="8"/>
      <c r="V1288" s="8"/>
      <c r="W1288" s="8"/>
      <c r="X1288" s="8"/>
      <c r="Y1288" s="8"/>
      <c r="Z1288" s="10" t="s">
        <v>1613</v>
      </c>
      <c r="AA1288" s="8" t="s">
        <v>331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1093</v>
      </c>
      <c r="E1289" s="8" t="s">
        <v>123</v>
      </c>
      <c r="F1289" s="8" t="s">
        <v>2482</v>
      </c>
      <c r="G1289" s="8" t="s">
        <v>1302</v>
      </c>
      <c r="H1289" s="8" t="s">
        <v>1303</v>
      </c>
      <c r="I1289" s="8" t="s">
        <v>2500</v>
      </c>
      <c r="J1289" s="8" t="s">
        <v>2470</v>
      </c>
      <c r="K1289" s="8" t="s">
        <v>1099</v>
      </c>
      <c r="L1289" s="10" t="s">
        <v>1378</v>
      </c>
      <c r="M1289" s="10" t="s">
        <v>1379</v>
      </c>
      <c r="N1289" s="10" t="s">
        <v>1380</v>
      </c>
      <c r="O1289" s="8" t="s">
        <v>1106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1613</v>
      </c>
      <c r="AA1289" s="8" t="s">
        <v>331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1093</v>
      </c>
      <c r="E1290" s="8" t="s">
        <v>128</v>
      </c>
      <c r="F1290" s="8" t="s">
        <v>2501</v>
      </c>
      <c r="G1290" s="8" t="s">
        <v>1940</v>
      </c>
      <c r="H1290" s="8" t="s">
        <v>1955</v>
      </c>
      <c r="I1290" s="8" t="s">
        <v>2417</v>
      </c>
      <c r="J1290" s="8" t="s">
        <v>1140</v>
      </c>
      <c r="K1290" s="8" t="s">
        <v>1099</v>
      </c>
      <c r="L1290" s="10" t="s">
        <v>1123</v>
      </c>
      <c r="M1290" s="10" t="s">
        <v>1124</v>
      </c>
      <c r="N1290" s="10" t="s">
        <v>1125</v>
      </c>
      <c r="O1290" s="8" t="s">
        <v>321</v>
      </c>
      <c r="P1290" s="8"/>
      <c r="Q1290" s="8">
        <v>6543</v>
      </c>
      <c r="R1290" s="8">
        <v>3796</v>
      </c>
      <c r="S1290" s="8" t="s">
        <v>331</v>
      </c>
      <c r="T1290" s="8"/>
      <c r="U1290" s="8"/>
      <c r="V1290" s="8"/>
      <c r="W1290" s="8"/>
      <c r="X1290" s="8"/>
      <c r="Y1290" s="8"/>
      <c r="Z1290" s="10" t="s">
        <v>1102</v>
      </c>
      <c r="AA1290" s="8" t="s">
        <v>331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1093</v>
      </c>
      <c r="E1291" s="8" t="s">
        <v>128</v>
      </c>
      <c r="F1291" s="8" t="s">
        <v>2501</v>
      </c>
      <c r="G1291" s="8" t="s">
        <v>2050</v>
      </c>
      <c r="H1291" s="8" t="s">
        <v>2051</v>
      </c>
      <c r="I1291" s="8" t="s">
        <v>1175</v>
      </c>
      <c r="J1291" s="8" t="s">
        <v>1169</v>
      </c>
      <c r="K1291" s="8" t="s">
        <v>1099</v>
      </c>
      <c r="L1291" s="10" t="s">
        <v>1123</v>
      </c>
      <c r="M1291" s="10" t="s">
        <v>1124</v>
      </c>
      <c r="N1291" s="10" t="s">
        <v>1176</v>
      </c>
      <c r="O1291" s="8" t="s">
        <v>321</v>
      </c>
      <c r="P1291" s="8"/>
      <c r="Q1291" s="8"/>
      <c r="R1291" s="8">
        <v>3601</v>
      </c>
      <c r="S1291" s="8" t="s">
        <v>331</v>
      </c>
      <c r="T1291" s="8"/>
      <c r="U1291" s="8"/>
      <c r="V1291" s="8"/>
      <c r="W1291" s="8"/>
      <c r="X1291" s="8"/>
      <c r="Y1291" s="8"/>
      <c r="Z1291" s="10" t="s">
        <v>1102</v>
      </c>
      <c r="AA1291" s="8" t="s">
        <v>331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1093</v>
      </c>
      <c r="E1292" s="8" t="s">
        <v>128</v>
      </c>
      <c r="F1292" s="8" t="s">
        <v>2501</v>
      </c>
      <c r="G1292" s="8" t="s">
        <v>1949</v>
      </c>
      <c r="H1292" s="8" t="s">
        <v>1706</v>
      </c>
      <c r="I1292" s="8" t="s">
        <v>2419</v>
      </c>
      <c r="J1292" s="8" t="s">
        <v>1193</v>
      </c>
      <c r="K1292" s="8" t="s">
        <v>1099</v>
      </c>
      <c r="L1292" s="10" t="s">
        <v>1123</v>
      </c>
      <c r="M1292" s="10" t="s">
        <v>1124</v>
      </c>
      <c r="N1292" s="10" t="s">
        <v>1215</v>
      </c>
      <c r="O1292" s="8" t="s">
        <v>321</v>
      </c>
      <c r="P1292" s="8"/>
      <c r="Q1292" s="8"/>
      <c r="R1292" s="8">
        <v>10404</v>
      </c>
      <c r="S1292" s="8" t="s">
        <v>331</v>
      </c>
      <c r="T1292" s="8"/>
      <c r="U1292" s="8"/>
      <c r="V1292" s="8"/>
      <c r="W1292" s="8"/>
      <c r="X1292" s="8"/>
      <c r="Y1292" s="8"/>
      <c r="Z1292" s="10" t="s">
        <v>1102</v>
      </c>
      <c r="AA1292" s="8" t="s">
        <v>331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1093</v>
      </c>
      <c r="E1293" s="8" t="s">
        <v>123</v>
      </c>
      <c r="F1293" s="8" t="s">
        <v>2501</v>
      </c>
      <c r="G1293" s="8" t="s">
        <v>1196</v>
      </c>
      <c r="H1293" s="8" t="s">
        <v>1279</v>
      </c>
      <c r="I1293" s="8" t="s">
        <v>1281</v>
      </c>
      <c r="J1293" s="8" t="s">
        <v>1111</v>
      </c>
      <c r="K1293" s="8" t="s">
        <v>1099</v>
      </c>
      <c r="L1293" s="10" t="s">
        <v>1282</v>
      </c>
      <c r="M1293" s="10" t="s">
        <v>1283</v>
      </c>
      <c r="N1293" s="10"/>
      <c r="O1293" s="8" t="s">
        <v>1106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1738</v>
      </c>
      <c r="AA1293" s="8" t="s">
        <v>331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1093</v>
      </c>
      <c r="E1294" s="8" t="s">
        <v>123</v>
      </c>
      <c r="F1294" s="8" t="s">
        <v>2502</v>
      </c>
      <c r="G1294" s="8" t="s">
        <v>1196</v>
      </c>
      <c r="H1294" s="8" t="s">
        <v>1149</v>
      </c>
      <c r="I1294" s="8" t="s">
        <v>1281</v>
      </c>
      <c r="J1294" s="8" t="s">
        <v>1111</v>
      </c>
      <c r="K1294" s="8" t="s">
        <v>1099</v>
      </c>
      <c r="L1294" s="10" t="s">
        <v>1282</v>
      </c>
      <c r="M1294" s="10" t="s">
        <v>1283</v>
      </c>
      <c r="N1294" s="10"/>
      <c r="O1294" s="8" t="s">
        <v>321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331</v>
      </c>
      <c r="X1294" s="8"/>
      <c r="Y1294" s="8" t="s">
        <v>331</v>
      </c>
      <c r="Z1294" s="10" t="s">
        <v>2503</v>
      </c>
      <c r="AA1294" s="8" t="s">
        <v>331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1093</v>
      </c>
      <c r="E1295" s="8" t="s">
        <v>123</v>
      </c>
      <c r="F1295" s="8" t="s">
        <v>2501</v>
      </c>
      <c r="G1295" s="8" t="s">
        <v>1279</v>
      </c>
      <c r="H1295" s="8" t="s">
        <v>1149</v>
      </c>
      <c r="I1295" s="8" t="s">
        <v>1286</v>
      </c>
      <c r="J1295" s="8" t="s">
        <v>1111</v>
      </c>
      <c r="K1295" s="8" t="s">
        <v>1099</v>
      </c>
      <c r="L1295" s="10" t="s">
        <v>1287</v>
      </c>
      <c r="M1295" s="10" t="s">
        <v>1288</v>
      </c>
      <c r="N1295" s="10" t="s">
        <v>1289</v>
      </c>
      <c r="O1295" s="8" t="s">
        <v>321</v>
      </c>
      <c r="P1295" s="8"/>
      <c r="Q1295" s="8">
        <v>17513</v>
      </c>
      <c r="R1295" s="8">
        <v>150611</v>
      </c>
      <c r="S1295" s="8" t="s">
        <v>331</v>
      </c>
      <c r="T1295" s="8"/>
      <c r="U1295" s="8"/>
      <c r="V1295" s="8"/>
      <c r="W1295" s="8"/>
      <c r="X1295" s="8"/>
      <c r="Y1295" s="8"/>
      <c r="Z1295" s="10" t="s">
        <v>1613</v>
      </c>
      <c r="AA1295" s="8" t="s">
        <v>331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1093</v>
      </c>
      <c r="E1296" s="8" t="s">
        <v>123</v>
      </c>
      <c r="F1296" s="8" t="s">
        <v>2501</v>
      </c>
      <c r="G1296" s="8" t="s">
        <v>1266</v>
      </c>
      <c r="H1296" s="8" t="s">
        <v>1196</v>
      </c>
      <c r="I1296" s="8" t="s">
        <v>1606</v>
      </c>
      <c r="J1296" s="8" t="s">
        <v>1140</v>
      </c>
      <c r="K1296" s="8" t="s">
        <v>1099</v>
      </c>
      <c r="L1296" s="10" t="s">
        <v>1260</v>
      </c>
      <c r="M1296" s="10" t="s">
        <v>1261</v>
      </c>
      <c r="N1296" s="10" t="s">
        <v>1413</v>
      </c>
      <c r="O1296" s="8" t="s">
        <v>321</v>
      </c>
      <c r="P1296" s="8"/>
      <c r="Q1296" s="8">
        <v>1000</v>
      </c>
      <c r="R1296" s="8">
        <v>15000</v>
      </c>
      <c r="S1296" s="8" t="s">
        <v>331</v>
      </c>
      <c r="T1296" s="8"/>
      <c r="U1296" s="8"/>
      <c r="V1296" s="8"/>
      <c r="W1296" s="8"/>
      <c r="X1296" s="8"/>
      <c r="Y1296" s="8"/>
      <c r="Z1296" s="10" t="s">
        <v>1738</v>
      </c>
      <c r="AA1296" s="8" t="s">
        <v>331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1093</v>
      </c>
      <c r="E1297" s="8" t="s">
        <v>123</v>
      </c>
      <c r="F1297" s="8" t="s">
        <v>2487</v>
      </c>
      <c r="G1297" s="8" t="s">
        <v>1303</v>
      </c>
      <c r="H1297" s="8" t="s">
        <v>1342</v>
      </c>
      <c r="I1297" s="8" t="s">
        <v>2273</v>
      </c>
      <c r="J1297" s="8" t="s">
        <v>1459</v>
      </c>
      <c r="K1297" s="8" t="s">
        <v>1099</v>
      </c>
      <c r="L1297" s="10" t="s">
        <v>1997</v>
      </c>
      <c r="M1297" s="10" t="s">
        <v>2274</v>
      </c>
      <c r="N1297" s="10" t="s">
        <v>1999</v>
      </c>
      <c r="O1297" s="8" t="s">
        <v>1106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1613</v>
      </c>
      <c r="AA1297" s="8" t="s">
        <v>331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1093</v>
      </c>
      <c r="E1298" s="8" t="s">
        <v>123</v>
      </c>
      <c r="F1298" s="8" t="s">
        <v>2502</v>
      </c>
      <c r="G1298" s="8" t="s">
        <v>1505</v>
      </c>
      <c r="H1298" s="8" t="s">
        <v>1716</v>
      </c>
      <c r="I1298" s="8" t="s">
        <v>1267</v>
      </c>
      <c r="J1298" s="8" t="s">
        <v>1111</v>
      </c>
      <c r="K1298" s="8" t="s">
        <v>1099</v>
      </c>
      <c r="L1298" s="10" t="s">
        <v>1268</v>
      </c>
      <c r="M1298" s="10" t="s">
        <v>1269</v>
      </c>
      <c r="N1298" s="10" t="s">
        <v>1584</v>
      </c>
      <c r="O1298" s="8" t="s">
        <v>321</v>
      </c>
      <c r="P1298" s="8"/>
      <c r="Q1298" s="8">
        <v>11496</v>
      </c>
      <c r="R1298" s="8">
        <v>83277</v>
      </c>
      <c r="S1298" s="8" t="s">
        <v>331</v>
      </c>
      <c r="T1298" s="8"/>
      <c r="U1298" s="8"/>
      <c r="V1298" s="8"/>
      <c r="W1298" s="8"/>
      <c r="X1298" s="8"/>
      <c r="Y1298" s="8"/>
      <c r="Z1298" s="10" t="s">
        <v>1613</v>
      </c>
      <c r="AA1298" s="8" t="s">
        <v>331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1093</v>
      </c>
      <c r="E1299" s="8" t="s">
        <v>123</v>
      </c>
      <c r="F1299" s="8" t="s">
        <v>2501</v>
      </c>
      <c r="G1299" s="8" t="s">
        <v>1196</v>
      </c>
      <c r="H1299" s="8" t="s">
        <v>1279</v>
      </c>
      <c r="I1299" s="8" t="s">
        <v>1281</v>
      </c>
      <c r="J1299" s="8" t="s">
        <v>1111</v>
      </c>
      <c r="K1299" s="8" t="s">
        <v>1099</v>
      </c>
      <c r="L1299" s="10" t="s">
        <v>1282</v>
      </c>
      <c r="M1299" s="10" t="s">
        <v>1283</v>
      </c>
      <c r="N1299" s="10"/>
      <c r="O1299" s="8" t="s">
        <v>321</v>
      </c>
      <c r="P1299" s="8"/>
      <c r="Q1299" s="8">
        <v>2200</v>
      </c>
      <c r="R1299" s="8">
        <v>44000</v>
      </c>
      <c r="S1299" s="8" t="s">
        <v>331</v>
      </c>
      <c r="T1299" s="8"/>
      <c r="U1299" s="8"/>
      <c r="V1299" s="8"/>
      <c r="W1299" s="8"/>
      <c r="X1299" s="8"/>
      <c r="Y1299" s="8"/>
      <c r="Z1299" s="10" t="s">
        <v>1738</v>
      </c>
      <c r="AA1299" s="8" t="s">
        <v>331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1093</v>
      </c>
      <c r="E1300" s="8" t="s">
        <v>123</v>
      </c>
      <c r="F1300" s="8" t="s">
        <v>2499</v>
      </c>
      <c r="G1300" s="8" t="s">
        <v>1166</v>
      </c>
      <c r="H1300" s="8" t="s">
        <v>1120</v>
      </c>
      <c r="I1300" s="8" t="s">
        <v>1298</v>
      </c>
      <c r="J1300" s="8" t="s">
        <v>1140</v>
      </c>
      <c r="K1300" s="8" t="s">
        <v>1099</v>
      </c>
      <c r="L1300" s="10" t="s">
        <v>1299</v>
      </c>
      <c r="M1300" s="10" t="s">
        <v>1300</v>
      </c>
      <c r="N1300" s="10" t="s">
        <v>1301</v>
      </c>
      <c r="O1300" s="8" t="s">
        <v>1106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1613</v>
      </c>
      <c r="AA1300" s="8" t="s">
        <v>331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1093</v>
      </c>
      <c r="E1301" s="8" t="s">
        <v>123</v>
      </c>
      <c r="F1301" s="8" t="s">
        <v>2482</v>
      </c>
      <c r="G1301" s="8" t="s">
        <v>1279</v>
      </c>
      <c r="H1301" s="8" t="s">
        <v>1149</v>
      </c>
      <c r="I1301" s="8" t="s">
        <v>1338</v>
      </c>
      <c r="J1301" s="8" t="s">
        <v>1169</v>
      </c>
      <c r="K1301" s="8" t="s">
        <v>1099</v>
      </c>
      <c r="L1301" s="10" t="s">
        <v>1186</v>
      </c>
      <c r="M1301" s="10" t="s">
        <v>1339</v>
      </c>
      <c r="N1301" s="10" t="s">
        <v>1340</v>
      </c>
      <c r="O1301" s="8" t="s">
        <v>1106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1738</v>
      </c>
      <c r="AA1301" s="8" t="s">
        <v>331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1093</v>
      </c>
      <c r="E1302" s="8" t="s">
        <v>123</v>
      </c>
      <c r="F1302" s="8" t="s">
        <v>2499</v>
      </c>
      <c r="G1302" s="8" t="s">
        <v>1196</v>
      </c>
      <c r="H1302" s="8" t="s">
        <v>1279</v>
      </c>
      <c r="I1302" s="8" t="s">
        <v>2343</v>
      </c>
      <c r="J1302" s="8" t="s">
        <v>1193</v>
      </c>
      <c r="K1302" s="8" t="s">
        <v>1099</v>
      </c>
      <c r="L1302" s="10" t="s">
        <v>1314</v>
      </c>
      <c r="M1302" s="10" t="s">
        <v>1438</v>
      </c>
      <c r="N1302" s="10" t="s">
        <v>1439</v>
      </c>
      <c r="O1302" s="8" t="s">
        <v>1106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1613</v>
      </c>
      <c r="AA1302" s="8" t="s">
        <v>331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1093</v>
      </c>
      <c r="E1303" s="8" t="s">
        <v>123</v>
      </c>
      <c r="F1303" s="8" t="s">
        <v>2487</v>
      </c>
      <c r="G1303" s="8" t="s">
        <v>1342</v>
      </c>
      <c r="H1303" s="8" t="s">
        <v>1347</v>
      </c>
      <c r="I1303" s="8" t="s">
        <v>1996</v>
      </c>
      <c r="J1303" s="8" t="s">
        <v>1214</v>
      </c>
      <c r="K1303" s="8" t="s">
        <v>1099</v>
      </c>
      <c r="L1303" s="10" t="s">
        <v>1997</v>
      </c>
      <c r="M1303" s="10" t="s">
        <v>1998</v>
      </c>
      <c r="N1303" s="10" t="s">
        <v>1999</v>
      </c>
      <c r="O1303" s="8" t="s">
        <v>1106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1613</v>
      </c>
      <c r="AA1303" s="8" t="s">
        <v>331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1093</v>
      </c>
      <c r="E1304" s="8" t="s">
        <v>123</v>
      </c>
      <c r="F1304" s="8" t="s">
        <v>2502</v>
      </c>
      <c r="G1304" s="8" t="s">
        <v>1284</v>
      </c>
      <c r="H1304" s="8" t="s">
        <v>1120</v>
      </c>
      <c r="I1304" s="8" t="s">
        <v>1452</v>
      </c>
      <c r="J1304" s="8" t="s">
        <v>1214</v>
      </c>
      <c r="K1304" s="8" t="s">
        <v>1099</v>
      </c>
      <c r="L1304" s="10" t="s">
        <v>1453</v>
      </c>
      <c r="M1304" s="10" t="s">
        <v>1454</v>
      </c>
      <c r="N1304" s="10"/>
      <c r="O1304" s="8" t="s">
        <v>321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331</v>
      </c>
      <c r="Z1304" s="10" t="s">
        <v>2504</v>
      </c>
      <c r="AA1304" s="8" t="s">
        <v>331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1093</v>
      </c>
      <c r="E1305" s="8" t="s">
        <v>123</v>
      </c>
      <c r="F1305" s="8" t="s">
        <v>2505</v>
      </c>
      <c r="G1305" s="8" t="s">
        <v>1270</v>
      </c>
      <c r="H1305" s="8" t="s">
        <v>1643</v>
      </c>
      <c r="I1305" s="8" t="s">
        <v>2320</v>
      </c>
      <c r="J1305" s="8" t="s">
        <v>1140</v>
      </c>
      <c r="K1305" s="8" t="s">
        <v>1099</v>
      </c>
      <c r="L1305" s="10" t="s">
        <v>2321</v>
      </c>
      <c r="M1305" s="10" t="s">
        <v>2341</v>
      </c>
      <c r="N1305" s="10" t="s">
        <v>1413</v>
      </c>
      <c r="O1305" s="8" t="s">
        <v>362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2506</v>
      </c>
      <c r="AA1305" s="8" t="s">
        <v>331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1093</v>
      </c>
      <c r="E1306" s="8" t="s">
        <v>123</v>
      </c>
      <c r="F1306" s="8" t="s">
        <v>2482</v>
      </c>
      <c r="G1306" s="8" t="s">
        <v>1196</v>
      </c>
      <c r="H1306" s="8" t="s">
        <v>1279</v>
      </c>
      <c r="I1306" s="8" t="s">
        <v>1344</v>
      </c>
      <c r="J1306" s="8" t="s">
        <v>1169</v>
      </c>
      <c r="K1306" s="8" t="s">
        <v>1099</v>
      </c>
      <c r="L1306" s="10" t="s">
        <v>1186</v>
      </c>
      <c r="M1306" s="10" t="s">
        <v>1345</v>
      </c>
      <c r="N1306" s="10" t="s">
        <v>1346</v>
      </c>
      <c r="O1306" s="8" t="s">
        <v>1106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1738</v>
      </c>
      <c r="AA1306" s="8" t="s">
        <v>331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1093</v>
      </c>
      <c r="E1307" s="8" t="s">
        <v>123</v>
      </c>
      <c r="F1307" s="8" t="s">
        <v>2482</v>
      </c>
      <c r="G1307" s="8" t="s">
        <v>1303</v>
      </c>
      <c r="H1307" s="8" t="s">
        <v>1342</v>
      </c>
      <c r="I1307" s="8" t="s">
        <v>1422</v>
      </c>
      <c r="J1307" s="8" t="s">
        <v>1214</v>
      </c>
      <c r="K1307" s="8" t="s">
        <v>1099</v>
      </c>
      <c r="L1307" s="10" t="s">
        <v>1378</v>
      </c>
      <c r="M1307" s="10" t="s">
        <v>1423</v>
      </c>
      <c r="N1307" s="10" t="s">
        <v>2507</v>
      </c>
      <c r="O1307" s="8" t="s">
        <v>1106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1613</v>
      </c>
      <c r="AA1307" s="8" t="s">
        <v>331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1093</v>
      </c>
      <c r="E1308" s="8" t="s">
        <v>123</v>
      </c>
      <c r="F1308" s="8" t="s">
        <v>2501</v>
      </c>
      <c r="G1308" s="8" t="s">
        <v>1149</v>
      </c>
      <c r="H1308" s="8" t="s">
        <v>1297</v>
      </c>
      <c r="I1308" s="8" t="s">
        <v>2292</v>
      </c>
      <c r="J1308" s="8" t="s">
        <v>1459</v>
      </c>
      <c r="K1308" s="8" t="s">
        <v>1099</v>
      </c>
      <c r="L1308" s="10" t="s">
        <v>1170</v>
      </c>
      <c r="M1308" s="10" t="s">
        <v>1659</v>
      </c>
      <c r="N1308" s="10" t="s">
        <v>2293</v>
      </c>
      <c r="O1308" s="8" t="s">
        <v>1106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1613</v>
      </c>
      <c r="AA1308" s="8" t="s">
        <v>331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1093</v>
      </c>
      <c r="E1309" s="8" t="s">
        <v>123</v>
      </c>
      <c r="F1309" s="8" t="s">
        <v>2505</v>
      </c>
      <c r="G1309" s="8" t="s">
        <v>1266</v>
      </c>
      <c r="H1309" s="8" t="s">
        <v>1279</v>
      </c>
      <c r="I1309" s="8" t="s">
        <v>2204</v>
      </c>
      <c r="J1309" s="8" t="s">
        <v>1479</v>
      </c>
      <c r="K1309" s="8" t="s">
        <v>1099</v>
      </c>
      <c r="L1309" s="10" t="s">
        <v>1466</v>
      </c>
      <c r="M1309" s="10" t="s">
        <v>1467</v>
      </c>
      <c r="N1309" s="10" t="s">
        <v>1468</v>
      </c>
      <c r="O1309" s="8" t="s">
        <v>362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2508</v>
      </c>
      <c r="AA1309" s="8" t="s">
        <v>331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1093</v>
      </c>
      <c r="E1310" s="8" t="s">
        <v>123</v>
      </c>
      <c r="F1310" s="8" t="s">
        <v>2509</v>
      </c>
      <c r="G1310" s="8" t="s">
        <v>1343</v>
      </c>
      <c r="H1310" s="8" t="s">
        <v>1303</v>
      </c>
      <c r="I1310" s="8" t="s">
        <v>1606</v>
      </c>
      <c r="J1310" s="8" t="s">
        <v>1140</v>
      </c>
      <c r="K1310" s="8" t="s">
        <v>1099</v>
      </c>
      <c r="L1310" s="10" t="s">
        <v>1260</v>
      </c>
      <c r="M1310" s="10" t="s">
        <v>1261</v>
      </c>
      <c r="N1310" s="10" t="s">
        <v>1413</v>
      </c>
      <c r="O1310" s="8" t="s">
        <v>362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2510</v>
      </c>
      <c r="AA1310" s="8" t="s">
        <v>331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1093</v>
      </c>
      <c r="E1311" s="8" t="s">
        <v>123</v>
      </c>
      <c r="F1311" s="8" t="s">
        <v>2509</v>
      </c>
      <c r="G1311" s="8" t="s">
        <v>1303</v>
      </c>
      <c r="H1311" s="8" t="s">
        <v>1342</v>
      </c>
      <c r="I1311" s="8" t="s">
        <v>2457</v>
      </c>
      <c r="J1311" s="8" t="s">
        <v>1140</v>
      </c>
      <c r="K1311" s="8" t="s">
        <v>1099</v>
      </c>
      <c r="L1311" s="10" t="s">
        <v>1293</v>
      </c>
      <c r="M1311" s="10" t="s">
        <v>1854</v>
      </c>
      <c r="N1311" s="10" t="s">
        <v>1855</v>
      </c>
      <c r="O1311" s="8" t="s">
        <v>362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2511</v>
      </c>
      <c r="AA1311" s="8" t="s">
        <v>331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1093</v>
      </c>
      <c r="E1312" s="8" t="s">
        <v>123</v>
      </c>
      <c r="F1312" s="8" t="s">
        <v>2499</v>
      </c>
      <c r="G1312" s="8" t="s">
        <v>1266</v>
      </c>
      <c r="H1312" s="8" t="s">
        <v>1196</v>
      </c>
      <c r="I1312" s="8" t="s">
        <v>1320</v>
      </c>
      <c r="J1312" s="8" t="s">
        <v>1169</v>
      </c>
      <c r="K1312" s="8" t="s">
        <v>1099</v>
      </c>
      <c r="L1312" s="10" t="s">
        <v>1314</v>
      </c>
      <c r="M1312" s="10" t="s">
        <v>1492</v>
      </c>
      <c r="N1312" s="10" t="s">
        <v>1493</v>
      </c>
      <c r="O1312" s="8" t="s">
        <v>1106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1613</v>
      </c>
      <c r="AA1312" s="8" t="s">
        <v>331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1093</v>
      </c>
      <c r="E1313" s="8" t="s">
        <v>123</v>
      </c>
      <c r="F1313" s="8" t="s">
        <v>2512</v>
      </c>
      <c r="G1313" s="8" t="s">
        <v>1284</v>
      </c>
      <c r="H1313" s="8" t="s">
        <v>1166</v>
      </c>
      <c r="I1313" s="8" t="s">
        <v>2459</v>
      </c>
      <c r="J1313" s="8" t="s">
        <v>1217</v>
      </c>
      <c r="K1313" s="8" t="s">
        <v>1099</v>
      </c>
      <c r="L1313" s="10" t="s">
        <v>1480</v>
      </c>
      <c r="M1313" s="10" t="s">
        <v>1481</v>
      </c>
      <c r="N1313" s="10" t="s">
        <v>1482</v>
      </c>
      <c r="O1313" s="8" t="s">
        <v>321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331</v>
      </c>
      <c r="Z1313" s="10" t="s">
        <v>2513</v>
      </c>
      <c r="AA1313" s="8" t="s">
        <v>331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1093</v>
      </c>
      <c r="E1314" s="8" t="s">
        <v>123</v>
      </c>
      <c r="F1314" s="8" t="s">
        <v>2512</v>
      </c>
      <c r="G1314" s="8" t="s">
        <v>1317</v>
      </c>
      <c r="H1314" s="8" t="s">
        <v>1273</v>
      </c>
      <c r="I1314" s="8" t="s">
        <v>1680</v>
      </c>
      <c r="J1314" s="8" t="s">
        <v>1675</v>
      </c>
      <c r="K1314" s="8" t="s">
        <v>1099</v>
      </c>
      <c r="L1314" s="10" t="s">
        <v>1676</v>
      </c>
      <c r="M1314" s="10" t="s">
        <v>1677</v>
      </c>
      <c r="N1314" s="10" t="s">
        <v>1681</v>
      </c>
      <c r="O1314" s="8" t="s">
        <v>1106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1613</v>
      </c>
      <c r="AA1314" s="8" t="s">
        <v>331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1093</v>
      </c>
      <c r="E1315" s="8" t="s">
        <v>139</v>
      </c>
      <c r="F1315" s="8" t="s">
        <v>2509</v>
      </c>
      <c r="G1315" s="8" t="s">
        <v>2514</v>
      </c>
      <c r="H1315" s="8" t="s">
        <v>2515</v>
      </c>
      <c r="I1315" s="8" t="s">
        <v>1502</v>
      </c>
      <c r="J1315" s="8" t="s">
        <v>1217</v>
      </c>
      <c r="K1315" s="8" t="s">
        <v>1099</v>
      </c>
      <c r="L1315" s="10" t="s">
        <v>1503</v>
      </c>
      <c r="M1315" s="10" t="s">
        <v>1504</v>
      </c>
      <c r="N1315" s="10" t="s">
        <v>1346</v>
      </c>
      <c r="O1315" s="8" t="s">
        <v>1106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331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1093</v>
      </c>
      <c r="E1316" s="8" t="s">
        <v>139</v>
      </c>
      <c r="F1316" s="8" t="s">
        <v>2509</v>
      </c>
      <c r="G1316" s="8" t="s">
        <v>2514</v>
      </c>
      <c r="H1316" s="8" t="s">
        <v>2515</v>
      </c>
      <c r="I1316" s="8" t="s">
        <v>1509</v>
      </c>
      <c r="J1316" s="8" t="s">
        <v>1217</v>
      </c>
      <c r="K1316" s="8" t="s">
        <v>1099</v>
      </c>
      <c r="L1316" s="10" t="s">
        <v>1503</v>
      </c>
      <c r="M1316" s="10" t="s">
        <v>1504</v>
      </c>
      <c r="N1316" s="10" t="s">
        <v>1346</v>
      </c>
      <c r="O1316" s="8" t="s">
        <v>1106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331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1093</v>
      </c>
      <c r="E1317" s="8" t="s">
        <v>128</v>
      </c>
      <c r="F1317" s="8" t="s">
        <v>2516</v>
      </c>
      <c r="G1317" s="8" t="s">
        <v>1698</v>
      </c>
      <c r="H1317" s="8" t="s">
        <v>1699</v>
      </c>
      <c r="I1317" s="8" t="s">
        <v>1110</v>
      </c>
      <c r="J1317" s="8" t="s">
        <v>1111</v>
      </c>
      <c r="K1317" s="8" t="s">
        <v>1099</v>
      </c>
      <c r="L1317" s="10" t="s">
        <v>1112</v>
      </c>
      <c r="M1317" s="10" t="s">
        <v>1113</v>
      </c>
      <c r="N1317" s="10" t="s">
        <v>128</v>
      </c>
      <c r="O1317" s="8" t="s">
        <v>321</v>
      </c>
      <c r="P1317" s="8"/>
      <c r="Q1317" s="8">
        <v>102</v>
      </c>
      <c r="R1317" s="8">
        <v>3574</v>
      </c>
      <c r="S1317" s="8" t="s">
        <v>331</v>
      </c>
      <c r="T1317" s="8"/>
      <c r="U1317" s="8"/>
      <c r="V1317" s="8"/>
      <c r="W1317" s="8"/>
      <c r="X1317" s="8"/>
      <c r="Y1317" s="8"/>
      <c r="Z1317" s="10" t="s">
        <v>1102</v>
      </c>
      <c r="AA1317" s="8" t="s">
        <v>331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1093</v>
      </c>
      <c r="E1318" s="8" t="s">
        <v>128</v>
      </c>
      <c r="F1318" s="8" t="s">
        <v>2516</v>
      </c>
      <c r="G1318" s="8" t="s">
        <v>2275</v>
      </c>
      <c r="H1318" s="8" t="s">
        <v>2284</v>
      </c>
      <c r="I1318" s="8" t="s">
        <v>1116</v>
      </c>
      <c r="J1318" s="8" t="s">
        <v>1111</v>
      </c>
      <c r="K1318" s="8" t="s">
        <v>1099</v>
      </c>
      <c r="L1318" s="10" t="s">
        <v>1117</v>
      </c>
      <c r="M1318" s="10" t="s">
        <v>1118</v>
      </c>
      <c r="N1318" s="10" t="s">
        <v>1802</v>
      </c>
      <c r="O1318" s="8" t="s">
        <v>321</v>
      </c>
      <c r="P1318" s="8"/>
      <c r="Q1318" s="8">
        <v>2227</v>
      </c>
      <c r="R1318" s="8">
        <v>17683</v>
      </c>
      <c r="S1318" s="8" t="s">
        <v>331</v>
      </c>
      <c r="T1318" s="8"/>
      <c r="U1318" s="8"/>
      <c r="V1318" s="8"/>
      <c r="W1318" s="8"/>
      <c r="X1318" s="8"/>
      <c r="Y1318" s="8"/>
      <c r="Z1318" s="10" t="s">
        <v>1102</v>
      </c>
      <c r="AA1318" s="8" t="s">
        <v>331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1093</v>
      </c>
      <c r="E1319" s="8" t="s">
        <v>128</v>
      </c>
      <c r="F1319" s="8" t="s">
        <v>2516</v>
      </c>
      <c r="G1319" s="8" t="s">
        <v>1837</v>
      </c>
      <c r="H1319" s="8" t="s">
        <v>2517</v>
      </c>
      <c r="I1319" s="8" t="s">
        <v>1134</v>
      </c>
      <c r="J1319" s="8" t="s">
        <v>1111</v>
      </c>
      <c r="K1319" s="8" t="s">
        <v>1099</v>
      </c>
      <c r="L1319" s="10" t="s">
        <v>1135</v>
      </c>
      <c r="M1319" s="10" t="s">
        <v>1136</v>
      </c>
      <c r="N1319" s="10"/>
      <c r="O1319" s="8" t="s">
        <v>321</v>
      </c>
      <c r="P1319" s="8"/>
      <c r="Q1319" s="8">
        <v>187</v>
      </c>
      <c r="R1319" s="8">
        <v>7627</v>
      </c>
      <c r="S1319" s="8" t="s">
        <v>331</v>
      </c>
      <c r="T1319" s="8"/>
      <c r="U1319" s="8"/>
      <c r="V1319" s="8"/>
      <c r="W1319" s="8"/>
      <c r="X1319" s="8"/>
      <c r="Y1319" s="8"/>
      <c r="Z1319" s="10" t="s">
        <v>1102</v>
      </c>
      <c r="AA1319" s="8" t="s">
        <v>331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1093</v>
      </c>
      <c r="E1320" s="8" t="s">
        <v>128</v>
      </c>
      <c r="F1320" s="8" t="s">
        <v>2516</v>
      </c>
      <c r="G1320" s="8" t="s">
        <v>1709</v>
      </c>
      <c r="H1320" s="8" t="s">
        <v>1710</v>
      </c>
      <c r="I1320" s="8" t="s">
        <v>1139</v>
      </c>
      <c r="J1320" s="8" t="s">
        <v>1140</v>
      </c>
      <c r="K1320" s="8" t="s">
        <v>1099</v>
      </c>
      <c r="L1320" s="10" t="s">
        <v>1141</v>
      </c>
      <c r="M1320" s="10" t="s">
        <v>1142</v>
      </c>
      <c r="N1320" s="10" t="s">
        <v>1143</v>
      </c>
      <c r="O1320" s="8" t="s">
        <v>321</v>
      </c>
      <c r="P1320" s="8"/>
      <c r="Q1320" s="8">
        <v>330</v>
      </c>
      <c r="R1320" s="8">
        <v>1581</v>
      </c>
      <c r="S1320" s="8" t="s">
        <v>331</v>
      </c>
      <c r="T1320" s="8"/>
      <c r="U1320" s="8"/>
      <c r="V1320" s="8"/>
      <c r="W1320" s="8"/>
      <c r="X1320" s="8"/>
      <c r="Y1320" s="8"/>
      <c r="Z1320" s="10" t="s">
        <v>1102</v>
      </c>
      <c r="AA1320" s="8" t="s">
        <v>331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1093</v>
      </c>
      <c r="E1321" s="8" t="s">
        <v>128</v>
      </c>
      <c r="F1321" s="8" t="s">
        <v>2516</v>
      </c>
      <c r="G1321" s="8" t="s">
        <v>1839</v>
      </c>
      <c r="H1321" s="8" t="s">
        <v>2518</v>
      </c>
      <c r="I1321" s="8" t="s">
        <v>1145</v>
      </c>
      <c r="J1321" s="8" t="s">
        <v>1140</v>
      </c>
      <c r="K1321" s="8" t="s">
        <v>1099</v>
      </c>
      <c r="L1321" s="10" t="s">
        <v>1146</v>
      </c>
      <c r="M1321" s="10" t="s">
        <v>1147</v>
      </c>
      <c r="N1321" s="10" t="s">
        <v>1131</v>
      </c>
      <c r="O1321" s="8" t="s">
        <v>321</v>
      </c>
      <c r="P1321" s="8"/>
      <c r="Q1321" s="8">
        <v>4298</v>
      </c>
      <c r="R1321" s="8">
        <v>3673</v>
      </c>
      <c r="S1321" s="8" t="s">
        <v>331</v>
      </c>
      <c r="T1321" s="8"/>
      <c r="U1321" s="8"/>
      <c r="V1321" s="8"/>
      <c r="W1321" s="8"/>
      <c r="X1321" s="8"/>
      <c r="Y1321" s="8"/>
      <c r="Z1321" s="10" t="s">
        <v>1102</v>
      </c>
      <c r="AA1321" s="8" t="s">
        <v>331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1093</v>
      </c>
      <c r="E1322" s="8" t="s">
        <v>128</v>
      </c>
      <c r="F1322" s="8" t="s">
        <v>2516</v>
      </c>
      <c r="G1322" s="8" t="s">
        <v>1414</v>
      </c>
      <c r="H1322" s="8" t="s">
        <v>2384</v>
      </c>
      <c r="I1322" s="8" t="s">
        <v>1150</v>
      </c>
      <c r="J1322" s="8" t="s">
        <v>1140</v>
      </c>
      <c r="K1322" s="8" t="s">
        <v>1099</v>
      </c>
      <c r="L1322" s="10" t="s">
        <v>1151</v>
      </c>
      <c r="M1322" s="10" t="s">
        <v>1152</v>
      </c>
      <c r="N1322" s="10" t="s">
        <v>1153</v>
      </c>
      <c r="O1322" s="8" t="s">
        <v>321</v>
      </c>
      <c r="P1322" s="8"/>
      <c r="Q1322" s="8">
        <v>1576</v>
      </c>
      <c r="R1322" s="8">
        <v>70998</v>
      </c>
      <c r="S1322" s="8" t="s">
        <v>331</v>
      </c>
      <c r="T1322" s="8"/>
      <c r="U1322" s="8"/>
      <c r="V1322" s="8"/>
      <c r="W1322" s="8"/>
      <c r="X1322" s="8"/>
      <c r="Y1322" s="8"/>
      <c r="Z1322" s="10" t="s">
        <v>1102</v>
      </c>
      <c r="AA1322" s="8" t="s">
        <v>331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1093</v>
      </c>
      <c r="E1323" s="8" t="s">
        <v>128</v>
      </c>
      <c r="F1323" s="8" t="s">
        <v>2516</v>
      </c>
      <c r="G1323" s="8" t="s">
        <v>1577</v>
      </c>
      <c r="H1323" s="8" t="s">
        <v>1578</v>
      </c>
      <c r="I1323" s="8" t="s">
        <v>1156</v>
      </c>
      <c r="J1323" s="8" t="s">
        <v>1140</v>
      </c>
      <c r="K1323" s="8" t="s">
        <v>1099</v>
      </c>
      <c r="L1323" s="10" t="s">
        <v>1157</v>
      </c>
      <c r="M1323" s="10" t="s">
        <v>1158</v>
      </c>
      <c r="N1323" s="10"/>
      <c r="O1323" s="8" t="s">
        <v>321</v>
      </c>
      <c r="P1323" s="8"/>
      <c r="Q1323" s="8">
        <v>2239</v>
      </c>
      <c r="R1323" s="8">
        <v>2172</v>
      </c>
      <c r="S1323" s="8" t="s">
        <v>331</v>
      </c>
      <c r="T1323" s="8"/>
      <c r="U1323" s="8"/>
      <c r="V1323" s="8"/>
      <c r="W1323" s="8"/>
      <c r="X1323" s="8"/>
      <c r="Y1323" s="8"/>
      <c r="Z1323" s="10" t="s">
        <v>1102</v>
      </c>
      <c r="AA1323" s="8" t="s">
        <v>331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1093</v>
      </c>
      <c r="E1324" s="8" t="s">
        <v>128</v>
      </c>
      <c r="F1324" s="8" t="s">
        <v>2516</v>
      </c>
      <c r="G1324" s="8" t="s">
        <v>1114</v>
      </c>
      <c r="H1324" s="8" t="s">
        <v>1633</v>
      </c>
      <c r="I1324" s="8" t="s">
        <v>2287</v>
      </c>
      <c r="J1324" s="8" t="s">
        <v>1140</v>
      </c>
      <c r="K1324" s="8" t="s">
        <v>1099</v>
      </c>
      <c r="L1324" s="10" t="s">
        <v>2288</v>
      </c>
      <c r="M1324" s="10" t="s">
        <v>1101</v>
      </c>
      <c r="N1324" s="10"/>
      <c r="O1324" s="8" t="s">
        <v>321</v>
      </c>
      <c r="P1324" s="8"/>
      <c r="Q1324" s="8">
        <v>466</v>
      </c>
      <c r="R1324" s="8">
        <v>5046</v>
      </c>
      <c r="S1324" s="8" t="s">
        <v>331</v>
      </c>
      <c r="T1324" s="8"/>
      <c r="U1324" s="8"/>
      <c r="V1324" s="8"/>
      <c r="W1324" s="8"/>
      <c r="X1324" s="8"/>
      <c r="Y1324" s="8"/>
      <c r="Z1324" s="10" t="s">
        <v>1102</v>
      </c>
      <c r="AA1324" s="8" t="s">
        <v>331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1093</v>
      </c>
      <c r="E1325" s="8" t="s">
        <v>128</v>
      </c>
      <c r="F1325" s="8" t="s">
        <v>2516</v>
      </c>
      <c r="G1325" s="8" t="s">
        <v>2236</v>
      </c>
      <c r="H1325" s="8" t="s">
        <v>1541</v>
      </c>
      <c r="I1325" s="8" t="s">
        <v>1223</v>
      </c>
      <c r="J1325" s="8" t="s">
        <v>1217</v>
      </c>
      <c r="K1325" s="8" t="s">
        <v>1099</v>
      </c>
      <c r="L1325" s="10" t="s">
        <v>2438</v>
      </c>
      <c r="M1325" s="10" t="s">
        <v>1225</v>
      </c>
      <c r="N1325" s="10" t="s">
        <v>1226</v>
      </c>
      <c r="O1325" s="8" t="s">
        <v>321</v>
      </c>
      <c r="P1325" s="8"/>
      <c r="Q1325" s="8">
        <v>5600</v>
      </c>
      <c r="R1325" s="8">
        <v>45925</v>
      </c>
      <c r="S1325" s="8" t="s">
        <v>331</v>
      </c>
      <c r="T1325" s="8"/>
      <c r="U1325" s="8"/>
      <c r="V1325" s="8"/>
      <c r="W1325" s="8"/>
      <c r="X1325" s="8"/>
      <c r="Y1325" s="8"/>
      <c r="Z1325" s="10" t="s">
        <v>2137</v>
      </c>
      <c r="AA1325" s="8" t="s">
        <v>331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1093</v>
      </c>
      <c r="E1326" s="8" t="s">
        <v>128</v>
      </c>
      <c r="F1326" s="8" t="s">
        <v>2516</v>
      </c>
      <c r="G1326" s="8" t="s">
        <v>1694</v>
      </c>
      <c r="H1326" s="8" t="s">
        <v>1534</v>
      </c>
      <c r="I1326" s="8" t="s">
        <v>2144</v>
      </c>
      <c r="J1326" s="8" t="s">
        <v>1217</v>
      </c>
      <c r="K1326" s="8" t="s">
        <v>1099</v>
      </c>
      <c r="L1326" s="10" t="s">
        <v>1205</v>
      </c>
      <c r="M1326" s="10" t="s">
        <v>1206</v>
      </c>
      <c r="N1326" s="10"/>
      <c r="O1326" s="8" t="s">
        <v>321</v>
      </c>
      <c r="P1326" s="8"/>
      <c r="Q1326" s="8">
        <v>725</v>
      </c>
      <c r="R1326" s="8">
        <v>11689</v>
      </c>
      <c r="S1326" s="8" t="s">
        <v>331</v>
      </c>
      <c r="T1326" s="8"/>
      <c r="U1326" s="8"/>
      <c r="V1326" s="8"/>
      <c r="W1326" s="8"/>
      <c r="X1326" s="8"/>
      <c r="Y1326" s="8"/>
      <c r="Z1326" s="10" t="s">
        <v>1102</v>
      </c>
      <c r="AA1326" s="8" t="s">
        <v>331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1093</v>
      </c>
      <c r="E1327" s="8" t="s">
        <v>128</v>
      </c>
      <c r="F1327" s="8" t="s">
        <v>2516</v>
      </c>
      <c r="G1327" s="8" t="s">
        <v>1476</v>
      </c>
      <c r="H1327" s="8" t="s">
        <v>1716</v>
      </c>
      <c r="I1327" s="8" t="s">
        <v>2147</v>
      </c>
      <c r="J1327" s="8" t="s">
        <v>1244</v>
      </c>
      <c r="K1327" s="8" t="s">
        <v>1099</v>
      </c>
      <c r="L1327" s="10" t="s">
        <v>1230</v>
      </c>
      <c r="M1327" s="10" t="s">
        <v>1231</v>
      </c>
      <c r="N1327" s="10"/>
      <c r="O1327" s="8" t="s">
        <v>321</v>
      </c>
      <c r="P1327" s="8"/>
      <c r="Q1327" s="8">
        <v>4141</v>
      </c>
      <c r="R1327" s="8">
        <v>6421</v>
      </c>
      <c r="S1327" s="8" t="s">
        <v>331</v>
      </c>
      <c r="T1327" s="8"/>
      <c r="U1327" s="8"/>
      <c r="V1327" s="8"/>
      <c r="W1327" s="8"/>
      <c r="X1327" s="8"/>
      <c r="Y1327" s="8"/>
      <c r="Z1327" s="10" t="s">
        <v>1102</v>
      </c>
      <c r="AA1327" s="8" t="s">
        <v>331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1093</v>
      </c>
      <c r="E1328" s="8" t="s">
        <v>123</v>
      </c>
      <c r="F1328" s="8" t="s">
        <v>2516</v>
      </c>
      <c r="G1328" s="8" t="s">
        <v>1149</v>
      </c>
      <c r="H1328" s="8" t="s">
        <v>1297</v>
      </c>
      <c r="I1328" s="8" t="s">
        <v>1274</v>
      </c>
      <c r="J1328" s="8" t="s">
        <v>1111</v>
      </c>
      <c r="K1328" s="8" t="s">
        <v>1099</v>
      </c>
      <c r="L1328" s="10" t="s">
        <v>1275</v>
      </c>
      <c r="M1328" s="10" t="s">
        <v>1276</v>
      </c>
      <c r="N1328" s="10" t="s">
        <v>1277</v>
      </c>
      <c r="O1328" s="8" t="s">
        <v>321</v>
      </c>
      <c r="P1328" s="8"/>
      <c r="Q1328" s="8">
        <v>22958</v>
      </c>
      <c r="R1328" s="8">
        <v>88985</v>
      </c>
      <c r="S1328" s="8" t="s">
        <v>331</v>
      </c>
      <c r="T1328" s="8"/>
      <c r="U1328" s="8"/>
      <c r="V1328" s="8"/>
      <c r="W1328" s="8"/>
      <c r="X1328" s="8"/>
      <c r="Y1328" s="8"/>
      <c r="Z1328" s="10" t="s">
        <v>1613</v>
      </c>
      <c r="AA1328" s="8" t="s">
        <v>331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1093</v>
      </c>
      <c r="E1329" s="8" t="s">
        <v>123</v>
      </c>
      <c r="F1329" s="8" t="s">
        <v>2516</v>
      </c>
      <c r="G1329" s="8" t="s">
        <v>1279</v>
      </c>
      <c r="H1329" s="8" t="s">
        <v>1149</v>
      </c>
      <c r="I1329" s="8" t="s">
        <v>2519</v>
      </c>
      <c r="J1329" s="8" t="s">
        <v>1140</v>
      </c>
      <c r="K1329" s="8" t="s">
        <v>1099</v>
      </c>
      <c r="L1329" s="10" t="s">
        <v>1456</v>
      </c>
      <c r="M1329" s="10" t="s">
        <v>1457</v>
      </c>
      <c r="N1329" s="10"/>
      <c r="O1329" s="8" t="s">
        <v>321</v>
      </c>
      <c r="P1329" s="8"/>
      <c r="Q1329" s="8">
        <v>48</v>
      </c>
      <c r="R1329" s="8">
        <v>1904</v>
      </c>
      <c r="S1329" s="8" t="s">
        <v>331</v>
      </c>
      <c r="T1329" s="8"/>
      <c r="U1329" s="8"/>
      <c r="V1329" s="8"/>
      <c r="W1329" s="8"/>
      <c r="X1329" s="8"/>
      <c r="Y1329" s="8"/>
      <c r="Z1329" s="10" t="s">
        <v>1613</v>
      </c>
      <c r="AA1329" s="8" t="s">
        <v>331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1093</v>
      </c>
      <c r="E1330" s="8" t="s">
        <v>123</v>
      </c>
      <c r="F1330" s="8" t="s">
        <v>2501</v>
      </c>
      <c r="G1330" s="8" t="s">
        <v>1628</v>
      </c>
      <c r="H1330" s="8" t="s">
        <v>1384</v>
      </c>
      <c r="I1330" s="8" t="s">
        <v>2520</v>
      </c>
      <c r="J1330" s="8" t="s">
        <v>1169</v>
      </c>
      <c r="K1330" s="8" t="s">
        <v>1099</v>
      </c>
      <c r="L1330" s="10" t="s">
        <v>1170</v>
      </c>
      <c r="M1330" s="10" t="s">
        <v>2521</v>
      </c>
      <c r="N1330" s="10" t="s">
        <v>2522</v>
      </c>
      <c r="O1330" s="8" t="s">
        <v>1106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1613</v>
      </c>
      <c r="AA1330" s="8" t="s">
        <v>331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1093</v>
      </c>
      <c r="E1331" s="8" t="s">
        <v>123</v>
      </c>
      <c r="F1331" s="8" t="s">
        <v>2499</v>
      </c>
      <c r="G1331" s="8" t="s">
        <v>1342</v>
      </c>
      <c r="H1331" s="8" t="s">
        <v>1347</v>
      </c>
      <c r="I1331" s="8" t="s">
        <v>1349</v>
      </c>
      <c r="J1331" s="8" t="s">
        <v>1193</v>
      </c>
      <c r="K1331" s="8" t="s">
        <v>1099</v>
      </c>
      <c r="L1331" s="10" t="s">
        <v>1350</v>
      </c>
      <c r="M1331" s="10" t="s">
        <v>1351</v>
      </c>
      <c r="N1331" s="10" t="s">
        <v>1352</v>
      </c>
      <c r="O1331" s="8" t="s">
        <v>1106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1613</v>
      </c>
      <c r="AA1331" s="8" t="s">
        <v>331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1093</v>
      </c>
      <c r="E1332" s="8" t="s">
        <v>123</v>
      </c>
      <c r="F1332" s="8" t="s">
        <v>2516</v>
      </c>
      <c r="G1332" s="8" t="s">
        <v>1303</v>
      </c>
      <c r="H1332" s="8" t="s">
        <v>1347</v>
      </c>
      <c r="I1332" s="8" t="s">
        <v>1368</v>
      </c>
      <c r="J1332" s="8" t="s">
        <v>1193</v>
      </c>
      <c r="K1332" s="8" t="s">
        <v>1099</v>
      </c>
      <c r="L1332" s="10" t="s">
        <v>1170</v>
      </c>
      <c r="M1332" s="10" t="s">
        <v>1369</v>
      </c>
      <c r="N1332" s="10" t="s">
        <v>2523</v>
      </c>
      <c r="O1332" s="8" t="s">
        <v>362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1382</v>
      </c>
      <c r="AA1332" s="8" t="s">
        <v>331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1093</v>
      </c>
      <c r="E1333" s="8" t="s">
        <v>123</v>
      </c>
      <c r="F1333" s="8" t="s">
        <v>2499</v>
      </c>
      <c r="G1333" s="8" t="s">
        <v>1279</v>
      </c>
      <c r="H1333" s="8" t="s">
        <v>1149</v>
      </c>
      <c r="I1333" s="8" t="s">
        <v>2389</v>
      </c>
      <c r="J1333" s="8" t="s">
        <v>1193</v>
      </c>
      <c r="K1333" s="8" t="s">
        <v>1099</v>
      </c>
      <c r="L1333" s="10" t="s">
        <v>1314</v>
      </c>
      <c r="M1333" s="10" t="s">
        <v>1435</v>
      </c>
      <c r="N1333" s="10" t="s">
        <v>1436</v>
      </c>
      <c r="O1333" s="8" t="s">
        <v>1106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1613</v>
      </c>
      <c r="AA1333" s="8" t="s">
        <v>331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1093</v>
      </c>
      <c r="E1334" s="8" t="s">
        <v>123</v>
      </c>
      <c r="F1334" s="8" t="s">
        <v>2516</v>
      </c>
      <c r="G1334" s="8" t="s">
        <v>1196</v>
      </c>
      <c r="H1334" s="8" t="s">
        <v>1279</v>
      </c>
      <c r="I1334" s="8" t="s">
        <v>1473</v>
      </c>
      <c r="J1334" s="8" t="s">
        <v>1244</v>
      </c>
      <c r="K1334" s="8" t="s">
        <v>1099</v>
      </c>
      <c r="L1334" s="10" t="s">
        <v>1474</v>
      </c>
      <c r="M1334" s="10" t="s">
        <v>1475</v>
      </c>
      <c r="N1334" s="10" t="s">
        <v>1424</v>
      </c>
      <c r="O1334" s="8" t="s">
        <v>321</v>
      </c>
      <c r="P1334" s="8"/>
      <c r="Q1334" s="8">
        <v>4464</v>
      </c>
      <c r="R1334" s="8">
        <v>1549</v>
      </c>
      <c r="S1334" s="8" t="s">
        <v>331</v>
      </c>
      <c r="T1334" s="8"/>
      <c r="U1334" s="8"/>
      <c r="V1334" s="8"/>
      <c r="W1334" s="8"/>
      <c r="X1334" s="8"/>
      <c r="Y1334" s="8"/>
      <c r="Z1334" s="10" t="s">
        <v>1613</v>
      </c>
      <c r="AA1334" s="8" t="s">
        <v>331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1093</v>
      </c>
      <c r="E1335" s="8" t="s">
        <v>123</v>
      </c>
      <c r="F1335" s="8" t="s">
        <v>2516</v>
      </c>
      <c r="G1335" s="8" t="s">
        <v>1317</v>
      </c>
      <c r="H1335" s="8" t="s">
        <v>1258</v>
      </c>
      <c r="I1335" s="8" t="s">
        <v>2524</v>
      </c>
      <c r="J1335" s="8" t="s">
        <v>1479</v>
      </c>
      <c r="K1335" s="8" t="s">
        <v>1099</v>
      </c>
      <c r="L1335" s="10" t="s">
        <v>1170</v>
      </c>
      <c r="M1335" s="10" t="s">
        <v>1463</v>
      </c>
      <c r="N1335" s="10" t="s">
        <v>1670</v>
      </c>
      <c r="O1335" s="8" t="s">
        <v>321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331</v>
      </c>
      <c r="Z1335" s="10" t="s">
        <v>2525</v>
      </c>
      <c r="AA1335" s="8" t="s">
        <v>331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1093</v>
      </c>
      <c r="E1336" s="8" t="s">
        <v>128</v>
      </c>
      <c r="F1336" s="8" t="s">
        <v>2481</v>
      </c>
      <c r="G1336" s="8" t="s">
        <v>1718</v>
      </c>
      <c r="H1336" s="8" t="s">
        <v>1719</v>
      </c>
      <c r="I1336" s="8" t="s">
        <v>1209</v>
      </c>
      <c r="J1336" s="8" t="s">
        <v>1204</v>
      </c>
      <c r="K1336" s="8" t="s">
        <v>1099</v>
      </c>
      <c r="L1336" s="10" t="s">
        <v>1210</v>
      </c>
      <c r="M1336" s="10" t="s">
        <v>1211</v>
      </c>
      <c r="N1336" s="10" t="s">
        <v>1188</v>
      </c>
      <c r="O1336" s="8" t="s">
        <v>1106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1102</v>
      </c>
      <c r="AA1336" s="8" t="s">
        <v>331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1093</v>
      </c>
      <c r="E1337" s="8" t="s">
        <v>123</v>
      </c>
      <c r="F1337" s="8" t="s">
        <v>2499</v>
      </c>
      <c r="G1337" s="8" t="s">
        <v>1284</v>
      </c>
      <c r="H1337" s="8" t="s">
        <v>1166</v>
      </c>
      <c r="I1337" s="8" t="s">
        <v>1600</v>
      </c>
      <c r="J1337" s="8" t="s">
        <v>1140</v>
      </c>
      <c r="K1337" s="8" t="s">
        <v>1099</v>
      </c>
      <c r="L1337" s="10" t="s">
        <v>1299</v>
      </c>
      <c r="M1337" s="10" t="s">
        <v>1601</v>
      </c>
      <c r="N1337" s="10" t="s">
        <v>1602</v>
      </c>
      <c r="O1337" s="8" t="s">
        <v>1106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1613</v>
      </c>
      <c r="AA1337" s="8" t="s">
        <v>331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1093</v>
      </c>
      <c r="E1338" s="8" t="s">
        <v>123</v>
      </c>
      <c r="F1338" s="8" t="s">
        <v>2516</v>
      </c>
      <c r="G1338" s="8" t="s">
        <v>1279</v>
      </c>
      <c r="H1338" s="8" t="s">
        <v>1149</v>
      </c>
      <c r="I1338" s="8" t="s">
        <v>2519</v>
      </c>
      <c r="J1338" s="8" t="s">
        <v>1140</v>
      </c>
      <c r="K1338" s="8" t="s">
        <v>1099</v>
      </c>
      <c r="L1338" s="10" t="s">
        <v>1456</v>
      </c>
      <c r="M1338" s="10" t="s">
        <v>1457</v>
      </c>
      <c r="N1338" s="10"/>
      <c r="O1338" s="8" t="s">
        <v>1106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1613</v>
      </c>
      <c r="AA1338" s="8" t="s">
        <v>331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1093</v>
      </c>
      <c r="E1339" s="8" t="s">
        <v>123</v>
      </c>
      <c r="F1339" s="8" t="s">
        <v>2526</v>
      </c>
      <c r="G1339" s="8" t="s">
        <v>1149</v>
      </c>
      <c r="H1339" s="8" t="s">
        <v>1317</v>
      </c>
      <c r="I1339" s="8" t="s">
        <v>1349</v>
      </c>
      <c r="J1339" s="8" t="s">
        <v>1193</v>
      </c>
      <c r="K1339" s="8" t="s">
        <v>1099</v>
      </c>
      <c r="L1339" s="10" t="s">
        <v>1350</v>
      </c>
      <c r="M1339" s="10" t="s">
        <v>1351</v>
      </c>
      <c r="N1339" s="10" t="s">
        <v>1352</v>
      </c>
      <c r="O1339" s="8" t="s">
        <v>362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2527</v>
      </c>
      <c r="AA1339" s="8" t="s">
        <v>331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1093</v>
      </c>
      <c r="E1340" s="8" t="s">
        <v>123</v>
      </c>
      <c r="F1340" s="8" t="s">
        <v>2526</v>
      </c>
      <c r="G1340" s="8" t="s">
        <v>1196</v>
      </c>
      <c r="H1340" s="8" t="s">
        <v>1149</v>
      </c>
      <c r="I1340" s="8" t="s">
        <v>1356</v>
      </c>
      <c r="J1340" s="8" t="s">
        <v>1193</v>
      </c>
      <c r="K1340" s="8" t="s">
        <v>1099</v>
      </c>
      <c r="L1340" s="10" t="s">
        <v>1350</v>
      </c>
      <c r="M1340" s="10" t="s">
        <v>1357</v>
      </c>
      <c r="N1340" s="10" t="s">
        <v>1358</v>
      </c>
      <c r="O1340" s="8" t="s">
        <v>362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2528</v>
      </c>
      <c r="AA1340" s="8" t="s">
        <v>331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1093</v>
      </c>
      <c r="E1341" s="8" t="s">
        <v>123</v>
      </c>
      <c r="F1341" s="8" t="s">
        <v>2516</v>
      </c>
      <c r="G1341" s="8" t="s">
        <v>1196</v>
      </c>
      <c r="H1341" s="8" t="s">
        <v>1279</v>
      </c>
      <c r="I1341" s="8" t="s">
        <v>1473</v>
      </c>
      <c r="J1341" s="8" t="s">
        <v>1244</v>
      </c>
      <c r="K1341" s="8" t="s">
        <v>1099</v>
      </c>
      <c r="L1341" s="10" t="s">
        <v>1474</v>
      </c>
      <c r="M1341" s="10" t="s">
        <v>1475</v>
      </c>
      <c r="N1341" s="10" t="s">
        <v>1424</v>
      </c>
      <c r="O1341" s="8" t="s">
        <v>1106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1613</v>
      </c>
      <c r="AA1341" s="8" t="s">
        <v>331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1093</v>
      </c>
      <c r="E1342" s="8" t="s">
        <v>123</v>
      </c>
      <c r="F1342" s="8" t="s">
        <v>2512</v>
      </c>
      <c r="G1342" s="8" t="s">
        <v>1273</v>
      </c>
      <c r="H1342" s="8" t="s">
        <v>1258</v>
      </c>
      <c r="I1342" s="8" t="s">
        <v>1674</v>
      </c>
      <c r="J1342" s="8" t="s">
        <v>1675</v>
      </c>
      <c r="K1342" s="8" t="s">
        <v>1099</v>
      </c>
      <c r="L1342" s="10" t="s">
        <v>1676</v>
      </c>
      <c r="M1342" s="10" t="s">
        <v>1677</v>
      </c>
      <c r="N1342" s="10" t="s">
        <v>1678</v>
      </c>
      <c r="O1342" s="8" t="s">
        <v>1106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1613</v>
      </c>
      <c r="AA1342" s="8" t="s">
        <v>331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1093</v>
      </c>
      <c r="E1343" s="8" t="s">
        <v>128</v>
      </c>
      <c r="F1343" s="8" t="s">
        <v>2529</v>
      </c>
      <c r="G1343" s="8" t="s">
        <v>2384</v>
      </c>
      <c r="H1343" s="8" t="s">
        <v>1415</v>
      </c>
      <c r="I1343" s="8" t="s">
        <v>2530</v>
      </c>
      <c r="J1343" s="8" t="s">
        <v>1140</v>
      </c>
      <c r="K1343" s="8" t="s">
        <v>1099</v>
      </c>
      <c r="L1343" s="10" t="s">
        <v>1180</v>
      </c>
      <c r="M1343" s="10" t="s">
        <v>1181</v>
      </c>
      <c r="N1343" s="10"/>
      <c r="O1343" s="8" t="s">
        <v>321</v>
      </c>
      <c r="P1343" s="8"/>
      <c r="Q1343" s="8">
        <v>4</v>
      </c>
      <c r="R1343" s="8">
        <v>215</v>
      </c>
      <c r="S1343" s="8" t="s">
        <v>331</v>
      </c>
      <c r="T1343" s="8"/>
      <c r="U1343" s="8"/>
      <c r="V1343" s="8"/>
      <c r="W1343" s="8"/>
      <c r="X1343" s="8"/>
      <c r="Y1343" s="8"/>
      <c r="Z1343" s="10" t="s">
        <v>1102</v>
      </c>
      <c r="AA1343" s="8" t="s">
        <v>331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1093</v>
      </c>
      <c r="E1344" s="8" t="s">
        <v>128</v>
      </c>
      <c r="F1344" s="8" t="s">
        <v>2529</v>
      </c>
      <c r="G1344" s="8" t="s">
        <v>1096</v>
      </c>
      <c r="H1344" s="8" t="s">
        <v>2003</v>
      </c>
      <c r="I1344" s="8" t="s">
        <v>1724</v>
      </c>
      <c r="J1344" s="8" t="s">
        <v>1725</v>
      </c>
      <c r="K1344" s="8" t="s">
        <v>1099</v>
      </c>
      <c r="L1344" s="10" t="s">
        <v>1249</v>
      </c>
      <c r="M1344" s="10" t="s">
        <v>1250</v>
      </c>
      <c r="N1344" s="10"/>
      <c r="O1344" s="8" t="s">
        <v>321</v>
      </c>
      <c r="P1344" s="8"/>
      <c r="Q1344" s="8"/>
      <c r="R1344" s="8">
        <v>57519</v>
      </c>
      <c r="S1344" s="8" t="s">
        <v>331</v>
      </c>
      <c r="T1344" s="8"/>
      <c r="U1344" s="8"/>
      <c r="V1344" s="8"/>
      <c r="W1344" s="8"/>
      <c r="X1344" s="8"/>
      <c r="Y1344" s="8"/>
      <c r="Z1344" s="10" t="s">
        <v>1102</v>
      </c>
      <c r="AA1344" s="8" t="s">
        <v>331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1093</v>
      </c>
      <c r="E1345" s="8" t="s">
        <v>123</v>
      </c>
      <c r="F1345" s="8" t="s">
        <v>2529</v>
      </c>
      <c r="G1345" s="8" t="s">
        <v>1196</v>
      </c>
      <c r="H1345" s="8" t="s">
        <v>1279</v>
      </c>
      <c r="I1345" s="8" t="s">
        <v>2445</v>
      </c>
      <c r="J1345" s="8" t="s">
        <v>1140</v>
      </c>
      <c r="K1345" s="8" t="s">
        <v>1099</v>
      </c>
      <c r="L1345" s="10" t="s">
        <v>1293</v>
      </c>
      <c r="M1345" s="10" t="s">
        <v>2446</v>
      </c>
      <c r="N1345" s="10" t="s">
        <v>1295</v>
      </c>
      <c r="O1345" s="8" t="s">
        <v>1106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1613</v>
      </c>
      <c r="AA1345" s="8" t="s">
        <v>331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1093</v>
      </c>
      <c r="E1346" s="8" t="s">
        <v>123</v>
      </c>
      <c r="F1346" s="8" t="s">
        <v>2526</v>
      </c>
      <c r="G1346" s="8" t="s">
        <v>1342</v>
      </c>
      <c r="H1346" s="8" t="s">
        <v>1348</v>
      </c>
      <c r="I1346" s="8" t="s">
        <v>1324</v>
      </c>
      <c r="J1346" s="8" t="s">
        <v>1169</v>
      </c>
      <c r="K1346" s="8" t="s">
        <v>1099</v>
      </c>
      <c r="L1346" s="10" t="s">
        <v>1325</v>
      </c>
      <c r="M1346" s="10" t="s">
        <v>1326</v>
      </c>
      <c r="N1346" s="10"/>
      <c r="O1346" s="8" t="s">
        <v>362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2531</v>
      </c>
      <c r="AA1346" s="8" t="s">
        <v>331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1093</v>
      </c>
      <c r="E1347" s="8" t="s">
        <v>123</v>
      </c>
      <c r="F1347" s="8" t="s">
        <v>2529</v>
      </c>
      <c r="G1347" s="8" t="s">
        <v>1120</v>
      </c>
      <c r="H1347" s="8" t="s">
        <v>1343</v>
      </c>
      <c r="I1347" s="8" t="s">
        <v>1324</v>
      </c>
      <c r="J1347" s="8" t="s">
        <v>1169</v>
      </c>
      <c r="K1347" s="8" t="s">
        <v>1099</v>
      </c>
      <c r="L1347" s="10" t="s">
        <v>1325</v>
      </c>
      <c r="M1347" s="10" t="s">
        <v>1326</v>
      </c>
      <c r="N1347" s="10"/>
      <c r="O1347" s="8" t="s">
        <v>321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331</v>
      </c>
      <c r="Z1347" s="10" t="s">
        <v>1382</v>
      </c>
      <c r="AA1347" s="8" t="s">
        <v>331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1093</v>
      </c>
      <c r="E1348" s="8" t="s">
        <v>123</v>
      </c>
      <c r="F1348" s="8" t="s">
        <v>2505</v>
      </c>
      <c r="G1348" s="8" t="s">
        <v>1149</v>
      </c>
      <c r="H1348" s="8" t="s">
        <v>1297</v>
      </c>
      <c r="I1348" s="8" t="s">
        <v>1623</v>
      </c>
      <c r="J1348" s="8" t="s">
        <v>1169</v>
      </c>
      <c r="K1348" s="8" t="s">
        <v>1099</v>
      </c>
      <c r="L1348" s="10" t="s">
        <v>1624</v>
      </c>
      <c r="M1348" s="10" t="s">
        <v>1625</v>
      </c>
      <c r="N1348" s="10" t="s">
        <v>1340</v>
      </c>
      <c r="O1348" s="8" t="s">
        <v>1106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1613</v>
      </c>
      <c r="AA1348" s="8" t="s">
        <v>331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1093</v>
      </c>
      <c r="E1349" s="8" t="s">
        <v>123</v>
      </c>
      <c r="F1349" s="8" t="s">
        <v>2499</v>
      </c>
      <c r="G1349" s="8" t="s">
        <v>1347</v>
      </c>
      <c r="H1349" s="8" t="s">
        <v>1348</v>
      </c>
      <c r="I1349" s="8" t="s">
        <v>1356</v>
      </c>
      <c r="J1349" s="8" t="s">
        <v>1193</v>
      </c>
      <c r="K1349" s="8" t="s">
        <v>1099</v>
      </c>
      <c r="L1349" s="10" t="s">
        <v>1350</v>
      </c>
      <c r="M1349" s="10" t="s">
        <v>1357</v>
      </c>
      <c r="N1349" s="10" t="s">
        <v>1358</v>
      </c>
      <c r="O1349" s="8" t="s">
        <v>1106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1613</v>
      </c>
      <c r="AA1349" s="8" t="s">
        <v>331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1093</v>
      </c>
      <c r="E1350" s="8" t="s">
        <v>123</v>
      </c>
      <c r="F1350" s="8" t="s">
        <v>2481</v>
      </c>
      <c r="G1350" s="8" t="s">
        <v>1302</v>
      </c>
      <c r="H1350" s="8" t="s">
        <v>1303</v>
      </c>
      <c r="I1350" s="8" t="s">
        <v>1895</v>
      </c>
      <c r="J1350" s="8" t="s">
        <v>1217</v>
      </c>
      <c r="K1350" s="8" t="s">
        <v>1099</v>
      </c>
      <c r="L1350" s="10" t="s">
        <v>2398</v>
      </c>
      <c r="M1350" s="10" t="s">
        <v>1897</v>
      </c>
      <c r="N1350" s="10" t="s">
        <v>1413</v>
      </c>
      <c r="O1350" s="8" t="s">
        <v>1106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1738</v>
      </c>
      <c r="AA1350" s="8" t="s">
        <v>331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1093</v>
      </c>
      <c r="E1351" s="8" t="s">
        <v>123</v>
      </c>
      <c r="F1351" s="8" t="s">
        <v>2482</v>
      </c>
      <c r="G1351" s="8" t="s">
        <v>1343</v>
      </c>
      <c r="H1351" s="8" t="s">
        <v>1302</v>
      </c>
      <c r="I1351" s="8" t="s">
        <v>2469</v>
      </c>
      <c r="J1351" s="8" t="s">
        <v>2470</v>
      </c>
      <c r="K1351" s="8" t="s">
        <v>1099</v>
      </c>
      <c r="L1351" s="10" t="s">
        <v>1378</v>
      </c>
      <c r="M1351" s="10" t="s">
        <v>1442</v>
      </c>
      <c r="N1351" s="10" t="s">
        <v>2471</v>
      </c>
      <c r="O1351" s="8" t="s">
        <v>1106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1613</v>
      </c>
      <c r="AA1351" s="8" t="s">
        <v>331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1093</v>
      </c>
      <c r="E1352" s="8" t="s">
        <v>123</v>
      </c>
      <c r="F1352" s="8" t="s">
        <v>2526</v>
      </c>
      <c r="G1352" s="8" t="s">
        <v>1302</v>
      </c>
      <c r="H1352" s="8" t="s">
        <v>1342</v>
      </c>
      <c r="I1352" s="8" t="s">
        <v>1489</v>
      </c>
      <c r="J1352" s="8" t="s">
        <v>1479</v>
      </c>
      <c r="K1352" s="8" t="s">
        <v>1099</v>
      </c>
      <c r="L1352" s="10" t="s">
        <v>1388</v>
      </c>
      <c r="M1352" s="10" t="s">
        <v>1326</v>
      </c>
      <c r="N1352" s="10" t="s">
        <v>1358</v>
      </c>
      <c r="O1352" s="8" t="s">
        <v>362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2532</v>
      </c>
      <c r="AA1352" s="8" t="s">
        <v>331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1093</v>
      </c>
      <c r="E1353" s="8" t="s">
        <v>123</v>
      </c>
      <c r="F1353" s="8" t="s">
        <v>2529</v>
      </c>
      <c r="G1353" s="8" t="s">
        <v>1284</v>
      </c>
      <c r="H1353" s="8" t="s">
        <v>1120</v>
      </c>
      <c r="I1353" s="8" t="s">
        <v>1489</v>
      </c>
      <c r="J1353" s="8" t="s">
        <v>1479</v>
      </c>
      <c r="K1353" s="8" t="s">
        <v>1099</v>
      </c>
      <c r="L1353" s="10" t="s">
        <v>1388</v>
      </c>
      <c r="M1353" s="10" t="s">
        <v>1326</v>
      </c>
      <c r="N1353" s="10" t="s">
        <v>1358</v>
      </c>
      <c r="O1353" s="8" t="s">
        <v>321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331</v>
      </c>
      <c r="Z1353" s="10" t="s">
        <v>2532</v>
      </c>
      <c r="AA1353" s="8" t="s">
        <v>331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1093</v>
      </c>
      <c r="E1354" s="8" t="s">
        <v>128</v>
      </c>
      <c r="F1354" s="8" t="s">
        <v>2533</v>
      </c>
      <c r="G1354" s="8" t="s">
        <v>1279</v>
      </c>
      <c r="H1354" s="8" t="s">
        <v>1899</v>
      </c>
      <c r="I1354" s="8" t="s">
        <v>1128</v>
      </c>
      <c r="J1354" s="8" t="s">
        <v>1111</v>
      </c>
      <c r="K1354" s="8" t="s">
        <v>1099</v>
      </c>
      <c r="L1354" s="10" t="s">
        <v>1129</v>
      </c>
      <c r="M1354" s="10" t="s">
        <v>1130</v>
      </c>
      <c r="N1354" s="10" t="s">
        <v>1131</v>
      </c>
      <c r="O1354" s="8" t="s">
        <v>1106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1106</v>
      </c>
      <c r="AA1354" s="8" t="s">
        <v>331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1093</v>
      </c>
      <c r="E1355" s="8" t="s">
        <v>128</v>
      </c>
      <c r="F1355" s="8" t="s">
        <v>2533</v>
      </c>
      <c r="G1355" s="8" t="s">
        <v>1148</v>
      </c>
      <c r="H1355" s="8" t="s">
        <v>1971</v>
      </c>
      <c r="I1355" s="8" t="s">
        <v>1162</v>
      </c>
      <c r="J1355" s="8" t="s">
        <v>1140</v>
      </c>
      <c r="K1355" s="8" t="s">
        <v>1099</v>
      </c>
      <c r="L1355" s="10" t="s">
        <v>1163</v>
      </c>
      <c r="M1355" s="10" t="s">
        <v>1164</v>
      </c>
      <c r="N1355" s="10" t="s">
        <v>1131</v>
      </c>
      <c r="O1355" s="8" t="s">
        <v>1106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1106</v>
      </c>
      <c r="AA1355" s="8" t="s">
        <v>331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1093</v>
      </c>
      <c r="E1356" s="8" t="s">
        <v>128</v>
      </c>
      <c r="F1356" s="8" t="s">
        <v>2533</v>
      </c>
      <c r="G1356" s="8" t="s">
        <v>1149</v>
      </c>
      <c r="H1356" s="8" t="s">
        <v>2267</v>
      </c>
      <c r="I1356" s="8" t="s">
        <v>2391</v>
      </c>
      <c r="J1356" s="8" t="s">
        <v>1140</v>
      </c>
      <c r="K1356" s="8" t="s">
        <v>1099</v>
      </c>
      <c r="L1356" s="10" t="s">
        <v>2392</v>
      </c>
      <c r="M1356" s="10" t="s">
        <v>2393</v>
      </c>
      <c r="N1356" s="10" t="s">
        <v>2394</v>
      </c>
      <c r="O1356" s="8" t="s">
        <v>1106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1106</v>
      </c>
      <c r="AA1356" s="8" t="s">
        <v>331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1093</v>
      </c>
      <c r="E1357" s="8" t="s">
        <v>128</v>
      </c>
      <c r="F1357" s="8" t="s">
        <v>2501</v>
      </c>
      <c r="G1357" s="8" t="s">
        <v>1940</v>
      </c>
      <c r="H1357" s="8" t="s">
        <v>1955</v>
      </c>
      <c r="I1357" s="8" t="s">
        <v>2417</v>
      </c>
      <c r="J1357" s="8" t="s">
        <v>1140</v>
      </c>
      <c r="K1357" s="8" t="s">
        <v>1099</v>
      </c>
      <c r="L1357" s="10" t="s">
        <v>1123</v>
      </c>
      <c r="M1357" s="10" t="s">
        <v>1124</v>
      </c>
      <c r="N1357" s="10" t="s">
        <v>1125</v>
      </c>
      <c r="O1357" s="8" t="s">
        <v>1106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1102</v>
      </c>
      <c r="AA1357" s="8" t="s">
        <v>331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1093</v>
      </c>
      <c r="E1358" s="8" t="s">
        <v>128</v>
      </c>
      <c r="F1358" s="8" t="s">
        <v>2533</v>
      </c>
      <c r="G1358" s="8" t="s">
        <v>2534</v>
      </c>
      <c r="H1358" s="8" t="s">
        <v>2275</v>
      </c>
      <c r="I1358" s="8" t="s">
        <v>1216</v>
      </c>
      <c r="J1358" s="8" t="s">
        <v>1217</v>
      </c>
      <c r="K1358" s="8" t="s">
        <v>1099</v>
      </c>
      <c r="L1358" s="10" t="s">
        <v>1218</v>
      </c>
      <c r="M1358" s="10" t="s">
        <v>1219</v>
      </c>
      <c r="N1358" s="10" t="s">
        <v>1220</v>
      </c>
      <c r="O1358" s="8" t="s">
        <v>321</v>
      </c>
      <c r="P1358" s="8"/>
      <c r="Q1358" s="8">
        <v>40738</v>
      </c>
      <c r="R1358" s="8">
        <v>34985</v>
      </c>
      <c r="S1358" s="8" t="s">
        <v>331</v>
      </c>
      <c r="T1358" s="8"/>
      <c r="U1358" s="8"/>
      <c r="V1358" s="8"/>
      <c r="W1358" s="8"/>
      <c r="X1358" s="8"/>
      <c r="Y1358" s="8"/>
      <c r="Z1358" s="10" t="s">
        <v>1102</v>
      </c>
      <c r="AA1358" s="8" t="s">
        <v>331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1093</v>
      </c>
      <c r="E1359" s="8" t="s">
        <v>123</v>
      </c>
      <c r="F1359" s="8" t="s">
        <v>2502</v>
      </c>
      <c r="G1359" s="8" t="s">
        <v>1505</v>
      </c>
      <c r="H1359" s="8" t="s">
        <v>1716</v>
      </c>
      <c r="I1359" s="8" t="s">
        <v>1267</v>
      </c>
      <c r="J1359" s="8" t="s">
        <v>1111</v>
      </c>
      <c r="K1359" s="8" t="s">
        <v>1099</v>
      </c>
      <c r="L1359" s="10" t="s">
        <v>1268</v>
      </c>
      <c r="M1359" s="10" t="s">
        <v>1269</v>
      </c>
      <c r="N1359" s="10" t="s">
        <v>1584</v>
      </c>
      <c r="O1359" s="8" t="s">
        <v>1106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1613</v>
      </c>
      <c r="AA1359" s="8" t="s">
        <v>331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1093</v>
      </c>
      <c r="E1360" s="8" t="s">
        <v>123</v>
      </c>
      <c r="F1360" s="8" t="s">
        <v>2481</v>
      </c>
      <c r="G1360" s="8" t="s">
        <v>1120</v>
      </c>
      <c r="H1360" s="8" t="s">
        <v>1343</v>
      </c>
      <c r="I1360" s="8" t="s">
        <v>2320</v>
      </c>
      <c r="J1360" s="8" t="s">
        <v>1140</v>
      </c>
      <c r="K1360" s="8" t="s">
        <v>1099</v>
      </c>
      <c r="L1360" s="10" t="s">
        <v>2321</v>
      </c>
      <c r="M1360" s="10" t="s">
        <v>2341</v>
      </c>
      <c r="N1360" s="10" t="s">
        <v>1413</v>
      </c>
      <c r="O1360" s="8" t="s">
        <v>1106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1738</v>
      </c>
      <c r="AA1360" s="8" t="s">
        <v>331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1093</v>
      </c>
      <c r="E1361" s="8" t="s">
        <v>123</v>
      </c>
      <c r="F1361" s="8" t="s">
        <v>2499</v>
      </c>
      <c r="G1361" s="8" t="s">
        <v>1258</v>
      </c>
      <c r="H1361" s="8" t="s">
        <v>1684</v>
      </c>
      <c r="I1361" s="8" t="s">
        <v>1437</v>
      </c>
      <c r="J1361" s="8" t="s">
        <v>1214</v>
      </c>
      <c r="K1361" s="8" t="s">
        <v>1099</v>
      </c>
      <c r="L1361" s="10" t="s">
        <v>1314</v>
      </c>
      <c r="M1361" s="10" t="s">
        <v>1321</v>
      </c>
      <c r="N1361" s="10" t="s">
        <v>1322</v>
      </c>
      <c r="O1361" s="8" t="s">
        <v>1106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1613</v>
      </c>
      <c r="AA1361" s="8" t="s">
        <v>331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1093</v>
      </c>
      <c r="E1362" s="8" t="s">
        <v>123</v>
      </c>
      <c r="F1362" s="8" t="s">
        <v>2533</v>
      </c>
      <c r="G1362" s="8" t="s">
        <v>1302</v>
      </c>
      <c r="H1362" s="8" t="s">
        <v>1342</v>
      </c>
      <c r="I1362" s="8" t="s">
        <v>1895</v>
      </c>
      <c r="J1362" s="8" t="s">
        <v>1217</v>
      </c>
      <c r="K1362" s="8" t="s">
        <v>1099</v>
      </c>
      <c r="L1362" s="10" t="s">
        <v>2398</v>
      </c>
      <c r="M1362" s="10" t="s">
        <v>1897</v>
      </c>
      <c r="N1362" s="10" t="s">
        <v>1413</v>
      </c>
      <c r="O1362" s="8" t="s">
        <v>321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331</v>
      </c>
      <c r="Z1362" s="10" t="s">
        <v>2535</v>
      </c>
      <c r="AA1362" s="8" t="s">
        <v>331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1093</v>
      </c>
      <c r="E1363" s="8" t="s">
        <v>123</v>
      </c>
      <c r="F1363" s="8" t="s">
        <v>2533</v>
      </c>
      <c r="G1363" s="8" t="s">
        <v>1297</v>
      </c>
      <c r="H1363" s="8" t="s">
        <v>1273</v>
      </c>
      <c r="I1363" s="8" t="s">
        <v>1487</v>
      </c>
      <c r="J1363" s="8" t="s">
        <v>1479</v>
      </c>
      <c r="K1363" s="8" t="s">
        <v>1099</v>
      </c>
      <c r="L1363" s="10" t="s">
        <v>1170</v>
      </c>
      <c r="M1363" s="10" t="s">
        <v>1463</v>
      </c>
      <c r="N1363" s="10" t="s">
        <v>1488</v>
      </c>
      <c r="O1363" s="8" t="s">
        <v>362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2536</v>
      </c>
      <c r="AA1363" s="8" t="s">
        <v>331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1093</v>
      </c>
      <c r="E1364" s="8" t="s">
        <v>128</v>
      </c>
      <c r="F1364" s="8" t="s">
        <v>2481</v>
      </c>
      <c r="G1364" s="8" t="s">
        <v>1746</v>
      </c>
      <c r="H1364" s="8" t="s">
        <v>1303</v>
      </c>
      <c r="I1364" s="8" t="s">
        <v>1198</v>
      </c>
      <c r="J1364" s="8" t="s">
        <v>1193</v>
      </c>
      <c r="K1364" s="8" t="s">
        <v>1099</v>
      </c>
      <c r="L1364" s="10" t="s">
        <v>1199</v>
      </c>
      <c r="M1364" s="10" t="s">
        <v>1200</v>
      </c>
      <c r="N1364" s="10"/>
      <c r="O1364" s="8" t="s">
        <v>1106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1102</v>
      </c>
      <c r="AA1364" s="8" t="s">
        <v>331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1093</v>
      </c>
      <c r="E1365" s="8" t="s">
        <v>123</v>
      </c>
      <c r="F1365" s="8" t="s">
        <v>2537</v>
      </c>
      <c r="G1365" s="8" t="s">
        <v>1342</v>
      </c>
      <c r="H1365" s="8" t="s">
        <v>1347</v>
      </c>
      <c r="I1365" s="8" t="s">
        <v>1329</v>
      </c>
      <c r="J1365" s="8" t="s">
        <v>1169</v>
      </c>
      <c r="K1365" s="8" t="s">
        <v>1099</v>
      </c>
      <c r="L1365" s="10" t="s">
        <v>2466</v>
      </c>
      <c r="M1365" s="10" t="s">
        <v>1331</v>
      </c>
      <c r="N1365" s="10" t="s">
        <v>2467</v>
      </c>
      <c r="O1365" s="8" t="s">
        <v>321</v>
      </c>
      <c r="P1365" s="8"/>
      <c r="Q1365" s="8"/>
      <c r="R1365" s="8">
        <v>113400</v>
      </c>
      <c r="S1365" s="8" t="s">
        <v>331</v>
      </c>
      <c r="T1365" s="8"/>
      <c r="U1365" s="8"/>
      <c r="V1365" s="8"/>
      <c r="W1365" s="8"/>
      <c r="X1365" s="8"/>
      <c r="Y1365" s="8"/>
      <c r="Z1365" s="10" t="s">
        <v>1613</v>
      </c>
      <c r="AA1365" s="8" t="s">
        <v>331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1093</v>
      </c>
      <c r="E1366" s="8" t="s">
        <v>123</v>
      </c>
      <c r="F1366" s="8" t="s">
        <v>2499</v>
      </c>
      <c r="G1366" s="8" t="s">
        <v>1317</v>
      </c>
      <c r="H1366" s="8" t="s">
        <v>1273</v>
      </c>
      <c r="I1366" s="8" t="s">
        <v>2390</v>
      </c>
      <c r="J1366" s="8" t="s">
        <v>1193</v>
      </c>
      <c r="K1366" s="8" t="s">
        <v>1099</v>
      </c>
      <c r="L1366" s="10" t="s">
        <v>1314</v>
      </c>
      <c r="M1366" s="10" t="s">
        <v>1430</v>
      </c>
      <c r="N1366" s="10" t="s">
        <v>1295</v>
      </c>
      <c r="O1366" s="8" t="s">
        <v>1106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1613</v>
      </c>
      <c r="AA1366" s="8" t="s">
        <v>331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1093</v>
      </c>
      <c r="E1367" s="8" t="s">
        <v>123</v>
      </c>
      <c r="F1367" s="8" t="s">
        <v>2529</v>
      </c>
      <c r="G1367" s="8" t="s">
        <v>1303</v>
      </c>
      <c r="H1367" s="8" t="s">
        <v>1342</v>
      </c>
      <c r="I1367" s="8" t="s">
        <v>2538</v>
      </c>
      <c r="J1367" s="8" t="s">
        <v>2448</v>
      </c>
      <c r="K1367" s="8" t="s">
        <v>1099</v>
      </c>
      <c r="L1367" s="10" t="s">
        <v>1293</v>
      </c>
      <c r="M1367" s="10" t="s">
        <v>2539</v>
      </c>
      <c r="N1367" s="10" t="s">
        <v>2540</v>
      </c>
      <c r="O1367" s="8" t="s">
        <v>1106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1613</v>
      </c>
      <c r="AA1367" s="8" t="s">
        <v>331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1093</v>
      </c>
      <c r="E1368" s="8" t="s">
        <v>128</v>
      </c>
      <c r="F1368" s="8" t="s">
        <v>2516</v>
      </c>
      <c r="G1368" s="8" t="s">
        <v>1837</v>
      </c>
      <c r="H1368" s="8" t="s">
        <v>2517</v>
      </c>
      <c r="I1368" s="8" t="s">
        <v>1134</v>
      </c>
      <c r="J1368" s="8" t="s">
        <v>1111</v>
      </c>
      <c r="K1368" s="8" t="s">
        <v>1099</v>
      </c>
      <c r="L1368" s="10" t="s">
        <v>1135</v>
      </c>
      <c r="M1368" s="10" t="s">
        <v>1136</v>
      </c>
      <c r="N1368" s="10"/>
      <c r="O1368" s="8" t="s">
        <v>1106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1102</v>
      </c>
      <c r="AA1368" s="8" t="s">
        <v>331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1093</v>
      </c>
      <c r="E1369" s="8" t="s">
        <v>128</v>
      </c>
      <c r="F1369" s="8" t="s">
        <v>2516</v>
      </c>
      <c r="G1369" s="8" t="s">
        <v>1577</v>
      </c>
      <c r="H1369" s="8" t="s">
        <v>1578</v>
      </c>
      <c r="I1369" s="8" t="s">
        <v>1156</v>
      </c>
      <c r="J1369" s="8" t="s">
        <v>1140</v>
      </c>
      <c r="K1369" s="8" t="s">
        <v>1099</v>
      </c>
      <c r="L1369" s="10" t="s">
        <v>1157</v>
      </c>
      <c r="M1369" s="10" t="s">
        <v>1158</v>
      </c>
      <c r="N1369" s="10"/>
      <c r="O1369" s="8" t="s">
        <v>1106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1102</v>
      </c>
      <c r="AA1369" s="8" t="s">
        <v>331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1093</v>
      </c>
      <c r="E1370" s="8" t="s">
        <v>123</v>
      </c>
      <c r="F1370" s="8" t="s">
        <v>2541</v>
      </c>
      <c r="G1370" s="8" t="s">
        <v>1279</v>
      </c>
      <c r="H1370" s="8" t="s">
        <v>1149</v>
      </c>
      <c r="I1370" s="8" t="s">
        <v>1324</v>
      </c>
      <c r="J1370" s="8" t="s">
        <v>1169</v>
      </c>
      <c r="K1370" s="8" t="s">
        <v>1099</v>
      </c>
      <c r="L1370" s="10" t="s">
        <v>1325</v>
      </c>
      <c r="M1370" s="10" t="s">
        <v>1326</v>
      </c>
      <c r="N1370" s="10"/>
      <c r="O1370" s="8" t="s">
        <v>321</v>
      </c>
      <c r="P1370" s="8"/>
      <c r="Q1370" s="8"/>
      <c r="R1370" s="8">
        <v>340073</v>
      </c>
      <c r="S1370" s="8" t="s">
        <v>331</v>
      </c>
      <c r="T1370" s="8"/>
      <c r="U1370" s="8"/>
      <c r="V1370" s="8"/>
      <c r="W1370" s="8"/>
      <c r="X1370" s="8"/>
      <c r="Y1370" s="8"/>
      <c r="Z1370" s="10" t="s">
        <v>1613</v>
      </c>
      <c r="AA1370" s="8" t="s">
        <v>331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1093</v>
      </c>
      <c r="E1371" s="8" t="s">
        <v>123</v>
      </c>
      <c r="F1371" s="8" t="s">
        <v>2541</v>
      </c>
      <c r="G1371" s="8" t="s">
        <v>1196</v>
      </c>
      <c r="H1371" s="8" t="s">
        <v>1279</v>
      </c>
      <c r="I1371" s="8" t="s">
        <v>1386</v>
      </c>
      <c r="J1371" s="8" t="s">
        <v>1387</v>
      </c>
      <c r="K1371" s="8" t="s">
        <v>1099</v>
      </c>
      <c r="L1371" s="10" t="s">
        <v>1388</v>
      </c>
      <c r="M1371" s="10" t="s">
        <v>1326</v>
      </c>
      <c r="N1371" s="10" t="s">
        <v>1358</v>
      </c>
      <c r="O1371" s="8" t="s">
        <v>321</v>
      </c>
      <c r="P1371" s="8"/>
      <c r="Q1371" s="8"/>
      <c r="R1371" s="8">
        <v>76018</v>
      </c>
      <c r="S1371" s="8" t="s">
        <v>331</v>
      </c>
      <c r="T1371" s="8"/>
      <c r="U1371" s="8"/>
      <c r="V1371" s="8"/>
      <c r="W1371" s="8"/>
      <c r="X1371" s="8"/>
      <c r="Y1371" s="8"/>
      <c r="Z1371" s="10" t="s">
        <v>1613</v>
      </c>
      <c r="AA1371" s="8" t="s">
        <v>331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1093</v>
      </c>
      <c r="E1372" s="8" t="s">
        <v>123</v>
      </c>
      <c r="F1372" s="8" t="s">
        <v>2541</v>
      </c>
      <c r="G1372" s="8" t="s">
        <v>1273</v>
      </c>
      <c r="H1372" s="8" t="s">
        <v>1258</v>
      </c>
      <c r="I1372" s="8" t="s">
        <v>1390</v>
      </c>
      <c r="J1372" s="8" t="s">
        <v>1204</v>
      </c>
      <c r="K1372" s="8" t="s">
        <v>1099</v>
      </c>
      <c r="L1372" s="10" t="s">
        <v>1305</v>
      </c>
      <c r="M1372" s="10" t="s">
        <v>1391</v>
      </c>
      <c r="N1372" s="10" t="s">
        <v>1392</v>
      </c>
      <c r="O1372" s="8" t="s">
        <v>321</v>
      </c>
      <c r="P1372" s="8"/>
      <c r="Q1372" s="8">
        <v>74</v>
      </c>
      <c r="R1372" s="8">
        <v>2831</v>
      </c>
      <c r="S1372" s="8"/>
      <c r="T1372" s="8"/>
      <c r="U1372" s="8" t="s">
        <v>331</v>
      </c>
      <c r="V1372" s="8"/>
      <c r="W1372" s="8"/>
      <c r="X1372" s="8"/>
      <c r="Y1372" s="8"/>
      <c r="Z1372" s="10" t="s">
        <v>1278</v>
      </c>
      <c r="AA1372" s="8" t="s">
        <v>331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1093</v>
      </c>
      <c r="E1373" s="8" t="s">
        <v>123</v>
      </c>
      <c r="F1373" s="8" t="s">
        <v>2541</v>
      </c>
      <c r="G1373" s="8" t="s">
        <v>1317</v>
      </c>
      <c r="H1373" s="8" t="s">
        <v>1273</v>
      </c>
      <c r="I1373" s="8" t="s">
        <v>2314</v>
      </c>
      <c r="J1373" s="8" t="s">
        <v>1204</v>
      </c>
      <c r="K1373" s="8" t="s">
        <v>1099</v>
      </c>
      <c r="L1373" s="10" t="s">
        <v>1170</v>
      </c>
      <c r="M1373" s="10" t="s">
        <v>1651</v>
      </c>
      <c r="N1373" s="10" t="s">
        <v>1652</v>
      </c>
      <c r="O1373" s="8" t="s">
        <v>321</v>
      </c>
      <c r="P1373" s="8"/>
      <c r="Q1373" s="8">
        <v>112</v>
      </c>
      <c r="R1373" s="8">
        <v>11429</v>
      </c>
      <c r="S1373" s="8"/>
      <c r="T1373" s="8"/>
      <c r="U1373" s="8" t="s">
        <v>331</v>
      </c>
      <c r="V1373" s="8"/>
      <c r="W1373" s="8"/>
      <c r="X1373" s="8"/>
      <c r="Y1373" s="8"/>
      <c r="Z1373" s="10" t="s">
        <v>1278</v>
      </c>
      <c r="AA1373" s="8" t="s">
        <v>331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1093</v>
      </c>
      <c r="E1374" s="8" t="s">
        <v>123</v>
      </c>
      <c r="F1374" s="8" t="s">
        <v>2512</v>
      </c>
      <c r="G1374" s="8" t="s">
        <v>1284</v>
      </c>
      <c r="H1374" s="8" t="s">
        <v>1166</v>
      </c>
      <c r="I1374" s="8" t="s">
        <v>2459</v>
      </c>
      <c r="J1374" s="8" t="s">
        <v>1217</v>
      </c>
      <c r="K1374" s="8" t="s">
        <v>1099</v>
      </c>
      <c r="L1374" s="10" t="s">
        <v>1480</v>
      </c>
      <c r="M1374" s="10" t="s">
        <v>1481</v>
      </c>
      <c r="N1374" s="10" t="s">
        <v>1482</v>
      </c>
      <c r="O1374" s="8" t="s">
        <v>321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331</v>
      </c>
      <c r="Z1374" s="10" t="s">
        <v>2513</v>
      </c>
      <c r="AA1374" s="8" t="s">
        <v>331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1093</v>
      </c>
      <c r="E1375" s="8" t="s">
        <v>123</v>
      </c>
      <c r="F1375" s="8" t="s">
        <v>2541</v>
      </c>
      <c r="G1375" s="8" t="s">
        <v>1347</v>
      </c>
      <c r="H1375" s="8" t="s">
        <v>1348</v>
      </c>
      <c r="I1375" s="8" t="s">
        <v>1895</v>
      </c>
      <c r="J1375" s="8" t="s">
        <v>1217</v>
      </c>
      <c r="K1375" s="8" t="s">
        <v>1099</v>
      </c>
      <c r="L1375" s="10" t="s">
        <v>2398</v>
      </c>
      <c r="M1375" s="10" t="s">
        <v>1897</v>
      </c>
      <c r="N1375" s="10" t="s">
        <v>1413</v>
      </c>
      <c r="O1375" s="8" t="s">
        <v>321</v>
      </c>
      <c r="P1375" s="8"/>
      <c r="Q1375" s="8">
        <v>6296</v>
      </c>
      <c r="R1375" s="8">
        <v>12863</v>
      </c>
      <c r="S1375" s="8"/>
      <c r="T1375" s="8"/>
      <c r="U1375" s="8" t="s">
        <v>331</v>
      </c>
      <c r="V1375" s="8"/>
      <c r="W1375" s="8"/>
      <c r="X1375" s="8"/>
      <c r="Y1375" s="8"/>
      <c r="Z1375" s="10" t="s">
        <v>1278</v>
      </c>
      <c r="AA1375" s="8" t="s">
        <v>331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1093</v>
      </c>
      <c r="E1376" s="8" t="s">
        <v>123</v>
      </c>
      <c r="F1376" s="8" t="s">
        <v>2541</v>
      </c>
      <c r="G1376" s="8" t="s">
        <v>1266</v>
      </c>
      <c r="H1376" s="8" t="s">
        <v>1196</v>
      </c>
      <c r="I1376" s="8" t="s">
        <v>1489</v>
      </c>
      <c r="J1376" s="8" t="s">
        <v>1479</v>
      </c>
      <c r="K1376" s="8" t="s">
        <v>1099</v>
      </c>
      <c r="L1376" s="10" t="s">
        <v>1388</v>
      </c>
      <c r="M1376" s="10" t="s">
        <v>1326</v>
      </c>
      <c r="N1376" s="10" t="s">
        <v>1358</v>
      </c>
      <c r="O1376" s="8" t="s">
        <v>321</v>
      </c>
      <c r="P1376" s="8"/>
      <c r="Q1376" s="8"/>
      <c r="R1376" s="8">
        <v>116110</v>
      </c>
      <c r="S1376" s="8" t="s">
        <v>331</v>
      </c>
      <c r="T1376" s="8"/>
      <c r="U1376" s="8"/>
      <c r="V1376" s="8"/>
      <c r="W1376" s="8"/>
      <c r="X1376" s="8"/>
      <c r="Y1376" s="8"/>
      <c r="Z1376" s="10" t="s">
        <v>1613</v>
      </c>
      <c r="AA1376" s="8" t="s">
        <v>331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1093</v>
      </c>
      <c r="E1377" s="8" t="s">
        <v>123</v>
      </c>
      <c r="F1377" s="8" t="s">
        <v>2529</v>
      </c>
      <c r="G1377" s="8" t="s">
        <v>1302</v>
      </c>
      <c r="H1377" s="8" t="s">
        <v>1303</v>
      </c>
      <c r="I1377" s="8" t="s">
        <v>2542</v>
      </c>
      <c r="J1377" s="8" t="s">
        <v>2448</v>
      </c>
      <c r="K1377" s="8" t="s">
        <v>1099</v>
      </c>
      <c r="L1377" s="10" t="s">
        <v>1293</v>
      </c>
      <c r="M1377" s="10" t="s">
        <v>2543</v>
      </c>
      <c r="N1377" s="10" t="s">
        <v>2544</v>
      </c>
      <c r="O1377" s="8" t="s">
        <v>1106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1613</v>
      </c>
      <c r="AA1377" s="8" t="s">
        <v>331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1093</v>
      </c>
      <c r="E1378" s="8" t="s">
        <v>128</v>
      </c>
      <c r="F1378" s="8" t="s">
        <v>2516</v>
      </c>
      <c r="G1378" s="8" t="s">
        <v>1709</v>
      </c>
      <c r="H1378" s="8" t="s">
        <v>1710</v>
      </c>
      <c r="I1378" s="8" t="s">
        <v>1139</v>
      </c>
      <c r="J1378" s="8" t="s">
        <v>1140</v>
      </c>
      <c r="K1378" s="8" t="s">
        <v>1099</v>
      </c>
      <c r="L1378" s="10" t="s">
        <v>1141</v>
      </c>
      <c r="M1378" s="10" t="s">
        <v>1142</v>
      </c>
      <c r="N1378" s="10" t="s">
        <v>1143</v>
      </c>
      <c r="O1378" s="8" t="s">
        <v>1106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1102</v>
      </c>
      <c r="AA1378" s="8" t="s">
        <v>331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1093</v>
      </c>
      <c r="E1379" s="8" t="s">
        <v>128</v>
      </c>
      <c r="F1379" s="8" t="s">
        <v>2545</v>
      </c>
      <c r="G1379" s="8" t="s">
        <v>2546</v>
      </c>
      <c r="H1379" s="8" t="s">
        <v>2547</v>
      </c>
      <c r="I1379" s="8" t="s">
        <v>1243</v>
      </c>
      <c r="J1379" s="8" t="s">
        <v>1244</v>
      </c>
      <c r="K1379" s="8" t="s">
        <v>1099</v>
      </c>
      <c r="L1379" s="10" t="s">
        <v>1236</v>
      </c>
      <c r="M1379" s="10" t="s">
        <v>1237</v>
      </c>
      <c r="N1379" s="10" t="s">
        <v>1238</v>
      </c>
      <c r="O1379" s="8" t="s">
        <v>321</v>
      </c>
      <c r="P1379" s="8"/>
      <c r="Q1379" s="8">
        <v>694</v>
      </c>
      <c r="R1379" s="8">
        <v>29526</v>
      </c>
      <c r="S1379" s="8" t="s">
        <v>331</v>
      </c>
      <c r="T1379" s="8"/>
      <c r="U1379" s="8"/>
      <c r="V1379" s="8"/>
      <c r="W1379" s="8"/>
      <c r="X1379" s="8"/>
      <c r="Y1379" s="8"/>
      <c r="Z1379" s="10" t="s">
        <v>1102</v>
      </c>
      <c r="AA1379" s="8" t="s">
        <v>331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1093</v>
      </c>
      <c r="E1380" s="8" t="s">
        <v>128</v>
      </c>
      <c r="F1380" s="8" t="s">
        <v>2545</v>
      </c>
      <c r="G1380" s="8" t="s">
        <v>2548</v>
      </c>
      <c r="H1380" s="8" t="s">
        <v>1686</v>
      </c>
      <c r="I1380" s="8" t="s">
        <v>1251</v>
      </c>
      <c r="J1380" s="8" t="s">
        <v>1252</v>
      </c>
      <c r="K1380" s="8" t="s">
        <v>1099</v>
      </c>
      <c r="L1380" s="10" t="s">
        <v>1236</v>
      </c>
      <c r="M1380" s="10" t="s">
        <v>1237</v>
      </c>
      <c r="N1380" s="10" t="s">
        <v>1253</v>
      </c>
      <c r="O1380" s="8" t="s">
        <v>321</v>
      </c>
      <c r="P1380" s="8"/>
      <c r="Q1380" s="8"/>
      <c r="R1380" s="8">
        <v>149126</v>
      </c>
      <c r="S1380" s="8" t="s">
        <v>331</v>
      </c>
      <c r="T1380" s="8"/>
      <c r="U1380" s="8"/>
      <c r="V1380" s="8"/>
      <c r="W1380" s="8"/>
      <c r="X1380" s="8"/>
      <c r="Y1380" s="8"/>
      <c r="Z1380" s="10" t="s">
        <v>1102</v>
      </c>
      <c r="AA1380" s="8" t="s">
        <v>331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1093</v>
      </c>
      <c r="E1381" s="8" t="s">
        <v>128</v>
      </c>
      <c r="F1381" s="8" t="s">
        <v>2545</v>
      </c>
      <c r="G1381" s="8" t="s">
        <v>2549</v>
      </c>
      <c r="H1381" s="8" t="s">
        <v>1562</v>
      </c>
      <c r="I1381" s="8" t="s">
        <v>1256</v>
      </c>
      <c r="J1381" s="8" t="s">
        <v>1252</v>
      </c>
      <c r="K1381" s="8" t="s">
        <v>1099</v>
      </c>
      <c r="L1381" s="10" t="s">
        <v>1236</v>
      </c>
      <c r="M1381" s="10" t="s">
        <v>1237</v>
      </c>
      <c r="N1381" s="10" t="s">
        <v>1257</v>
      </c>
      <c r="O1381" s="8" t="s">
        <v>321</v>
      </c>
      <c r="P1381" s="8"/>
      <c r="Q1381" s="8"/>
      <c r="R1381" s="8">
        <v>60957</v>
      </c>
      <c r="S1381" s="8" t="s">
        <v>331</v>
      </c>
      <c r="T1381" s="8"/>
      <c r="U1381" s="8"/>
      <c r="V1381" s="8"/>
      <c r="W1381" s="8"/>
      <c r="X1381" s="8"/>
      <c r="Y1381" s="8"/>
      <c r="Z1381" s="10" t="s">
        <v>1102</v>
      </c>
      <c r="AA1381" s="8" t="s">
        <v>331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1093</v>
      </c>
      <c r="E1382" s="8" t="s">
        <v>123</v>
      </c>
      <c r="F1382" s="8" t="s">
        <v>2516</v>
      </c>
      <c r="G1382" s="8" t="s">
        <v>1149</v>
      </c>
      <c r="H1382" s="8" t="s">
        <v>1297</v>
      </c>
      <c r="I1382" s="8" t="s">
        <v>1274</v>
      </c>
      <c r="J1382" s="8" t="s">
        <v>1111</v>
      </c>
      <c r="K1382" s="8" t="s">
        <v>1099</v>
      </c>
      <c r="L1382" s="10" t="s">
        <v>1275</v>
      </c>
      <c r="M1382" s="10" t="s">
        <v>1276</v>
      </c>
      <c r="N1382" s="10" t="s">
        <v>1277</v>
      </c>
      <c r="O1382" s="8" t="s">
        <v>1106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1613</v>
      </c>
      <c r="AA1382" s="8" t="s">
        <v>331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1093</v>
      </c>
      <c r="E1383" s="8" t="s">
        <v>123</v>
      </c>
      <c r="F1383" s="8" t="s">
        <v>2501</v>
      </c>
      <c r="G1383" s="8" t="s">
        <v>1266</v>
      </c>
      <c r="H1383" s="8" t="s">
        <v>1196</v>
      </c>
      <c r="I1383" s="8" t="s">
        <v>1606</v>
      </c>
      <c r="J1383" s="8" t="s">
        <v>1140</v>
      </c>
      <c r="K1383" s="8" t="s">
        <v>1099</v>
      </c>
      <c r="L1383" s="10" t="s">
        <v>1260</v>
      </c>
      <c r="M1383" s="10" t="s">
        <v>1261</v>
      </c>
      <c r="N1383" s="10" t="s">
        <v>1413</v>
      </c>
      <c r="O1383" s="8" t="s">
        <v>1106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1738</v>
      </c>
      <c r="AA1383" s="8" t="s">
        <v>331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1093</v>
      </c>
      <c r="E1384" s="8" t="s">
        <v>123</v>
      </c>
      <c r="F1384" s="8" t="s">
        <v>2545</v>
      </c>
      <c r="G1384" s="8" t="s">
        <v>1196</v>
      </c>
      <c r="H1384" s="8" t="s">
        <v>1149</v>
      </c>
      <c r="I1384" s="8" t="s">
        <v>1606</v>
      </c>
      <c r="J1384" s="8" t="s">
        <v>1140</v>
      </c>
      <c r="K1384" s="8" t="s">
        <v>1099</v>
      </c>
      <c r="L1384" s="10" t="s">
        <v>1260</v>
      </c>
      <c r="M1384" s="10" t="s">
        <v>1261</v>
      </c>
      <c r="N1384" s="10" t="s">
        <v>1413</v>
      </c>
      <c r="O1384" s="8" t="s">
        <v>321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331</v>
      </c>
      <c r="Z1384" s="10" t="s">
        <v>2550</v>
      </c>
      <c r="AA1384" s="8" t="s">
        <v>331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1093</v>
      </c>
      <c r="E1385" s="8" t="s">
        <v>123</v>
      </c>
      <c r="F1385" s="8" t="s">
        <v>2545</v>
      </c>
      <c r="G1385" s="8" t="s">
        <v>1303</v>
      </c>
      <c r="H1385" s="8" t="s">
        <v>2551</v>
      </c>
      <c r="I1385" s="8" t="s">
        <v>1403</v>
      </c>
      <c r="J1385" s="8" t="s">
        <v>1204</v>
      </c>
      <c r="K1385" s="8" t="s">
        <v>1099</v>
      </c>
      <c r="L1385" s="10" t="s">
        <v>1404</v>
      </c>
      <c r="M1385" s="10" t="s">
        <v>1405</v>
      </c>
      <c r="N1385" s="10" t="s">
        <v>1406</v>
      </c>
      <c r="O1385" s="8" t="s">
        <v>362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2552</v>
      </c>
      <c r="AA1385" s="8" t="s">
        <v>331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1093</v>
      </c>
      <c r="E1386" s="8" t="s">
        <v>123</v>
      </c>
      <c r="F1386" s="8" t="s">
        <v>2482</v>
      </c>
      <c r="G1386" s="8" t="s">
        <v>1284</v>
      </c>
      <c r="H1386" s="8" t="s">
        <v>1166</v>
      </c>
      <c r="I1386" s="8" t="s">
        <v>2553</v>
      </c>
      <c r="J1386" s="8" t="s">
        <v>2470</v>
      </c>
      <c r="K1386" s="8" t="s">
        <v>1099</v>
      </c>
      <c r="L1386" s="10" t="s">
        <v>1419</v>
      </c>
      <c r="M1386" s="10" t="s">
        <v>1420</v>
      </c>
      <c r="N1386" s="10" t="s">
        <v>216</v>
      </c>
      <c r="O1386" s="8" t="s">
        <v>1106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1613</v>
      </c>
      <c r="AA1386" s="8" t="s">
        <v>331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1093</v>
      </c>
      <c r="E1387" s="8" t="s">
        <v>128</v>
      </c>
      <c r="F1387" s="8" t="s">
        <v>2533</v>
      </c>
      <c r="G1387" s="8" t="s">
        <v>1534</v>
      </c>
      <c r="H1387" s="8" t="s">
        <v>1765</v>
      </c>
      <c r="I1387" s="8" t="s">
        <v>2302</v>
      </c>
      <c r="J1387" s="8" t="s">
        <v>2303</v>
      </c>
      <c r="K1387" s="8" t="s">
        <v>1099</v>
      </c>
      <c r="L1387" s="10" t="s">
        <v>1546</v>
      </c>
      <c r="M1387" s="10" t="s">
        <v>2304</v>
      </c>
      <c r="N1387" s="10"/>
      <c r="O1387" s="8" t="s">
        <v>1106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1102</v>
      </c>
      <c r="AA1387" s="8" t="s">
        <v>331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1093</v>
      </c>
      <c r="E1388" s="8" t="s">
        <v>128</v>
      </c>
      <c r="F1388" s="8" t="s">
        <v>2554</v>
      </c>
      <c r="G1388" s="8" t="s">
        <v>1166</v>
      </c>
      <c r="H1388" s="8" t="s">
        <v>1709</v>
      </c>
      <c r="I1388" s="8" t="s">
        <v>1825</v>
      </c>
      <c r="J1388" s="8" t="s">
        <v>1169</v>
      </c>
      <c r="K1388" s="8" t="s">
        <v>1099</v>
      </c>
      <c r="L1388" s="10" t="s">
        <v>1546</v>
      </c>
      <c r="M1388" s="10" t="s">
        <v>1826</v>
      </c>
      <c r="N1388" s="10" t="s">
        <v>128</v>
      </c>
      <c r="O1388" s="8" t="s">
        <v>321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331</v>
      </c>
      <c r="Z1388" s="10" t="s">
        <v>2555</v>
      </c>
      <c r="AA1388" s="8" t="s">
        <v>331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1093</v>
      </c>
      <c r="E1389" s="8" t="s">
        <v>128</v>
      </c>
      <c r="F1389" s="8" t="s">
        <v>2545</v>
      </c>
      <c r="G1389" s="8" t="s">
        <v>2546</v>
      </c>
      <c r="H1389" s="8" t="s">
        <v>2547</v>
      </c>
      <c r="I1389" s="8" t="s">
        <v>1243</v>
      </c>
      <c r="J1389" s="8" t="s">
        <v>1244</v>
      </c>
      <c r="K1389" s="8" t="s">
        <v>1099</v>
      </c>
      <c r="L1389" s="10" t="s">
        <v>1236</v>
      </c>
      <c r="M1389" s="10" t="s">
        <v>1237</v>
      </c>
      <c r="N1389" s="10" t="s">
        <v>1238</v>
      </c>
      <c r="O1389" s="8" t="s">
        <v>1106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1102</v>
      </c>
      <c r="AA1389" s="8" t="s">
        <v>331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1093</v>
      </c>
      <c r="E1390" s="8" t="s">
        <v>123</v>
      </c>
      <c r="F1390" s="8" t="s">
        <v>2554</v>
      </c>
      <c r="G1390" s="8" t="s">
        <v>1196</v>
      </c>
      <c r="H1390" s="8" t="s">
        <v>1258</v>
      </c>
      <c r="I1390" s="8" t="s">
        <v>1452</v>
      </c>
      <c r="J1390" s="8" t="s">
        <v>1214</v>
      </c>
      <c r="K1390" s="8" t="s">
        <v>1099</v>
      </c>
      <c r="L1390" s="10" t="s">
        <v>1453</v>
      </c>
      <c r="M1390" s="10" t="s">
        <v>1454</v>
      </c>
      <c r="N1390" s="10"/>
      <c r="O1390" s="8" t="s">
        <v>321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331</v>
      </c>
      <c r="Z1390" s="10" t="s">
        <v>2556</v>
      </c>
      <c r="AA1390" s="8" t="s">
        <v>331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1093</v>
      </c>
      <c r="E1391" s="8" t="s">
        <v>128</v>
      </c>
      <c r="F1391" s="8" t="s">
        <v>2533</v>
      </c>
      <c r="G1391" s="8" t="s">
        <v>1526</v>
      </c>
      <c r="H1391" s="8" t="s">
        <v>1927</v>
      </c>
      <c r="I1391" s="8" t="s">
        <v>1825</v>
      </c>
      <c r="J1391" s="8" t="s">
        <v>1169</v>
      </c>
      <c r="K1391" s="8" t="s">
        <v>1099</v>
      </c>
      <c r="L1391" s="10" t="s">
        <v>1546</v>
      </c>
      <c r="M1391" s="10" t="s">
        <v>1826</v>
      </c>
      <c r="N1391" s="10" t="s">
        <v>128</v>
      </c>
      <c r="O1391" s="8" t="s">
        <v>1106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1102</v>
      </c>
      <c r="AA1391" s="8" t="s">
        <v>331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1093</v>
      </c>
      <c r="E1392" s="8" t="s">
        <v>123</v>
      </c>
      <c r="F1392" s="8" t="s">
        <v>2541</v>
      </c>
      <c r="G1392" s="8" t="s">
        <v>1196</v>
      </c>
      <c r="H1392" s="8" t="s">
        <v>1279</v>
      </c>
      <c r="I1392" s="8" t="s">
        <v>1386</v>
      </c>
      <c r="J1392" s="8" t="s">
        <v>1387</v>
      </c>
      <c r="K1392" s="8" t="s">
        <v>1099</v>
      </c>
      <c r="L1392" s="10" t="s">
        <v>1388</v>
      </c>
      <c r="M1392" s="10" t="s">
        <v>1326</v>
      </c>
      <c r="N1392" s="10" t="s">
        <v>1358</v>
      </c>
      <c r="O1392" s="8" t="s">
        <v>1106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1613</v>
      </c>
      <c r="AA1392" s="8" t="s">
        <v>331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1093</v>
      </c>
      <c r="E1393" s="8" t="s">
        <v>123</v>
      </c>
      <c r="F1393" s="8" t="s">
        <v>2554</v>
      </c>
      <c r="G1393" s="8" t="s">
        <v>1302</v>
      </c>
      <c r="H1393" s="8" t="s">
        <v>1342</v>
      </c>
      <c r="I1393" s="8" t="s">
        <v>1452</v>
      </c>
      <c r="J1393" s="8" t="s">
        <v>1214</v>
      </c>
      <c r="K1393" s="8" t="s">
        <v>1099</v>
      </c>
      <c r="L1393" s="10" t="s">
        <v>1453</v>
      </c>
      <c r="M1393" s="10" t="s">
        <v>1454</v>
      </c>
      <c r="N1393" s="10"/>
      <c r="O1393" s="8" t="s">
        <v>321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331</v>
      </c>
      <c r="Z1393" s="10" t="s">
        <v>2557</v>
      </c>
      <c r="AA1393" s="8" t="s">
        <v>331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1093</v>
      </c>
      <c r="E1394" s="8" t="s">
        <v>128</v>
      </c>
      <c r="F1394" s="8" t="s">
        <v>2545</v>
      </c>
      <c r="G1394" s="8" t="s">
        <v>2549</v>
      </c>
      <c r="H1394" s="8" t="s">
        <v>1562</v>
      </c>
      <c r="I1394" s="8" t="s">
        <v>1256</v>
      </c>
      <c r="J1394" s="8" t="s">
        <v>1252</v>
      </c>
      <c r="K1394" s="8" t="s">
        <v>1099</v>
      </c>
      <c r="L1394" s="10" t="s">
        <v>1236</v>
      </c>
      <c r="M1394" s="10" t="s">
        <v>1237</v>
      </c>
      <c r="N1394" s="10" t="s">
        <v>1257</v>
      </c>
      <c r="O1394" s="8" t="s">
        <v>1106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1102</v>
      </c>
      <c r="AA1394" s="8" t="s">
        <v>331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1093</v>
      </c>
      <c r="E1395" s="8" t="s">
        <v>123</v>
      </c>
      <c r="F1395" s="8" t="s">
        <v>2558</v>
      </c>
      <c r="G1395" s="8" t="s">
        <v>1342</v>
      </c>
      <c r="H1395" s="8" t="s">
        <v>1348</v>
      </c>
      <c r="I1395" s="8" t="s">
        <v>1356</v>
      </c>
      <c r="J1395" s="8" t="s">
        <v>1193</v>
      </c>
      <c r="K1395" s="8" t="s">
        <v>1099</v>
      </c>
      <c r="L1395" s="10" t="s">
        <v>1350</v>
      </c>
      <c r="M1395" s="10" t="s">
        <v>1357</v>
      </c>
      <c r="N1395" s="10" t="s">
        <v>1358</v>
      </c>
      <c r="O1395" s="8" t="s">
        <v>362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2559</v>
      </c>
      <c r="AA1395" s="8" t="s">
        <v>331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1093</v>
      </c>
      <c r="E1396" s="8" t="s">
        <v>123</v>
      </c>
      <c r="F1396" s="8" t="s">
        <v>2558</v>
      </c>
      <c r="G1396" s="8" t="s">
        <v>1196</v>
      </c>
      <c r="H1396" s="8" t="s">
        <v>1297</v>
      </c>
      <c r="I1396" s="8" t="s">
        <v>1368</v>
      </c>
      <c r="J1396" s="8" t="s">
        <v>1193</v>
      </c>
      <c r="K1396" s="8" t="s">
        <v>1099</v>
      </c>
      <c r="L1396" s="10" t="s">
        <v>1170</v>
      </c>
      <c r="M1396" s="10" t="s">
        <v>1369</v>
      </c>
      <c r="N1396" s="10" t="s">
        <v>2523</v>
      </c>
      <c r="O1396" s="8" t="s">
        <v>362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2560</v>
      </c>
      <c r="AA1396" s="8" t="s">
        <v>331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1093</v>
      </c>
      <c r="E1397" s="8" t="s">
        <v>123</v>
      </c>
      <c r="F1397" s="8" t="s">
        <v>2499</v>
      </c>
      <c r="G1397" s="8" t="s">
        <v>1149</v>
      </c>
      <c r="H1397" s="8" t="s">
        <v>1297</v>
      </c>
      <c r="I1397" s="8" t="s">
        <v>2345</v>
      </c>
      <c r="J1397" s="8" t="s">
        <v>1193</v>
      </c>
      <c r="K1397" s="8" t="s">
        <v>1099</v>
      </c>
      <c r="L1397" s="10" t="s">
        <v>1314</v>
      </c>
      <c r="M1397" s="10" t="s">
        <v>1315</v>
      </c>
      <c r="N1397" s="10" t="s">
        <v>1316</v>
      </c>
      <c r="O1397" s="8" t="s">
        <v>1106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1613</v>
      </c>
      <c r="AA1397" s="8" t="s">
        <v>331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1093</v>
      </c>
      <c r="E1398" s="8" t="s">
        <v>123</v>
      </c>
      <c r="F1398" s="8" t="s">
        <v>2501</v>
      </c>
      <c r="G1398" s="8" t="s">
        <v>1317</v>
      </c>
      <c r="H1398" s="8" t="s">
        <v>1273</v>
      </c>
      <c r="I1398" s="8" t="s">
        <v>1390</v>
      </c>
      <c r="J1398" s="8" t="s">
        <v>1204</v>
      </c>
      <c r="K1398" s="8" t="s">
        <v>1099</v>
      </c>
      <c r="L1398" s="10" t="s">
        <v>1305</v>
      </c>
      <c r="M1398" s="10" t="s">
        <v>1391</v>
      </c>
      <c r="N1398" s="10" t="s">
        <v>1392</v>
      </c>
      <c r="O1398" s="8" t="s">
        <v>1106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1613</v>
      </c>
      <c r="AA1398" s="8" t="s">
        <v>331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1093</v>
      </c>
      <c r="E1399" s="8" t="s">
        <v>123</v>
      </c>
      <c r="F1399" s="8" t="s">
        <v>2558</v>
      </c>
      <c r="G1399" s="8" t="s">
        <v>1149</v>
      </c>
      <c r="H1399" s="8" t="s">
        <v>1273</v>
      </c>
      <c r="I1399" s="8" t="s">
        <v>1883</v>
      </c>
      <c r="J1399" s="8" t="s">
        <v>1204</v>
      </c>
      <c r="K1399" s="8" t="s">
        <v>1099</v>
      </c>
      <c r="L1399" s="10" t="s">
        <v>1293</v>
      </c>
      <c r="M1399" s="10" t="s">
        <v>1884</v>
      </c>
      <c r="N1399" s="10" t="s">
        <v>1885</v>
      </c>
      <c r="O1399" s="8" t="s">
        <v>362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2561</v>
      </c>
      <c r="AA1399" s="8" t="s">
        <v>331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1093</v>
      </c>
      <c r="E1400" s="8" t="s">
        <v>128</v>
      </c>
      <c r="F1400" s="8" t="s">
        <v>2562</v>
      </c>
      <c r="G1400" s="8" t="s">
        <v>1190</v>
      </c>
      <c r="H1400" s="8" t="s">
        <v>2563</v>
      </c>
      <c r="I1400" s="8" t="s">
        <v>2387</v>
      </c>
      <c r="J1400" s="8" t="s">
        <v>1140</v>
      </c>
      <c r="K1400" s="8" t="s">
        <v>1099</v>
      </c>
      <c r="L1400" s="10" t="s">
        <v>2321</v>
      </c>
      <c r="M1400" s="10" t="s">
        <v>2388</v>
      </c>
      <c r="N1400" s="10" t="s">
        <v>1131</v>
      </c>
      <c r="O1400" s="8" t="s">
        <v>1106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1106</v>
      </c>
      <c r="AA1400" s="8" t="s">
        <v>331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1093</v>
      </c>
      <c r="E1401" s="8" t="s">
        <v>123</v>
      </c>
      <c r="F1401" s="8" t="s">
        <v>2562</v>
      </c>
      <c r="G1401" s="8" t="s">
        <v>1347</v>
      </c>
      <c r="H1401" s="8" t="s">
        <v>1348</v>
      </c>
      <c r="I1401" s="8" t="s">
        <v>1606</v>
      </c>
      <c r="J1401" s="8" t="s">
        <v>1140</v>
      </c>
      <c r="K1401" s="8" t="s">
        <v>1099</v>
      </c>
      <c r="L1401" s="10" t="s">
        <v>1260</v>
      </c>
      <c r="M1401" s="10" t="s">
        <v>1261</v>
      </c>
      <c r="N1401" s="10" t="s">
        <v>1413</v>
      </c>
      <c r="O1401" s="8" t="s">
        <v>321</v>
      </c>
      <c r="P1401" s="8"/>
      <c r="Q1401" s="8">
        <v>1100</v>
      </c>
      <c r="R1401" s="8">
        <v>16500</v>
      </c>
      <c r="S1401" s="8" t="s">
        <v>331</v>
      </c>
      <c r="T1401" s="8"/>
      <c r="U1401" s="8"/>
      <c r="V1401" s="8"/>
      <c r="W1401" s="8"/>
      <c r="X1401" s="8"/>
      <c r="Y1401" s="8"/>
      <c r="Z1401" s="10" t="s">
        <v>1613</v>
      </c>
      <c r="AA1401" s="8" t="s">
        <v>331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1093</v>
      </c>
      <c r="E1402" s="8" t="s">
        <v>123</v>
      </c>
      <c r="F1402" s="8" t="s">
        <v>2562</v>
      </c>
      <c r="G1402" s="8" t="s">
        <v>1348</v>
      </c>
      <c r="H1402" s="8" t="s">
        <v>2258</v>
      </c>
      <c r="I1402" s="8" t="s">
        <v>1363</v>
      </c>
      <c r="J1402" s="8" t="s">
        <v>1193</v>
      </c>
      <c r="K1402" s="8" t="s">
        <v>1099</v>
      </c>
      <c r="L1402" s="10" t="s">
        <v>1364</v>
      </c>
      <c r="M1402" s="10" t="s">
        <v>1365</v>
      </c>
      <c r="N1402" s="10"/>
      <c r="O1402" s="8" t="s">
        <v>321</v>
      </c>
      <c r="P1402" s="8"/>
      <c r="Q1402" s="8"/>
      <c r="R1402" s="8">
        <v>54000</v>
      </c>
      <c r="S1402" s="8" t="s">
        <v>331</v>
      </c>
      <c r="T1402" s="8"/>
      <c r="U1402" s="8"/>
      <c r="V1402" s="8"/>
      <c r="W1402" s="8"/>
      <c r="X1402" s="8"/>
      <c r="Y1402" s="8"/>
      <c r="Z1402" s="10" t="s">
        <v>1613</v>
      </c>
      <c r="AA1402" s="8" t="s">
        <v>331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1093</v>
      </c>
      <c r="E1403" s="8" t="s">
        <v>123</v>
      </c>
      <c r="F1403" s="8" t="s">
        <v>2562</v>
      </c>
      <c r="G1403" s="8" t="s">
        <v>1120</v>
      </c>
      <c r="H1403" s="8" t="s">
        <v>1343</v>
      </c>
      <c r="I1403" s="8" t="s">
        <v>2491</v>
      </c>
      <c r="J1403" s="8" t="s">
        <v>2470</v>
      </c>
      <c r="K1403" s="8" t="s">
        <v>1099</v>
      </c>
      <c r="L1403" s="10" t="s">
        <v>1378</v>
      </c>
      <c r="M1403" s="10" t="s">
        <v>1631</v>
      </c>
      <c r="N1403" s="10" t="s">
        <v>1632</v>
      </c>
      <c r="O1403" s="8" t="s">
        <v>1106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1613</v>
      </c>
      <c r="AA1403" s="8" t="s">
        <v>331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1093</v>
      </c>
      <c r="E1404" s="8" t="s">
        <v>123</v>
      </c>
      <c r="F1404" s="8" t="s">
        <v>2562</v>
      </c>
      <c r="G1404" s="8" t="s">
        <v>1302</v>
      </c>
      <c r="H1404" s="8" t="s">
        <v>1303</v>
      </c>
      <c r="I1404" s="8" t="s">
        <v>2469</v>
      </c>
      <c r="J1404" s="8" t="s">
        <v>2470</v>
      </c>
      <c r="K1404" s="8" t="s">
        <v>1099</v>
      </c>
      <c r="L1404" s="10" t="s">
        <v>1378</v>
      </c>
      <c r="M1404" s="10" t="s">
        <v>1442</v>
      </c>
      <c r="N1404" s="10" t="s">
        <v>2471</v>
      </c>
      <c r="O1404" s="8" t="s">
        <v>1106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1613</v>
      </c>
      <c r="AA1404" s="8" t="s">
        <v>331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1093</v>
      </c>
      <c r="E1405" s="8" t="s">
        <v>128</v>
      </c>
      <c r="F1405" s="8" t="s">
        <v>2564</v>
      </c>
      <c r="G1405" s="8" t="s">
        <v>1709</v>
      </c>
      <c r="H1405" s="8" t="s">
        <v>1710</v>
      </c>
      <c r="I1405" s="8" t="s">
        <v>1185</v>
      </c>
      <c r="J1405" s="8" t="s">
        <v>1169</v>
      </c>
      <c r="K1405" s="8" t="s">
        <v>1099</v>
      </c>
      <c r="L1405" s="10" t="s">
        <v>1186</v>
      </c>
      <c r="M1405" s="10" t="s">
        <v>1187</v>
      </c>
      <c r="N1405" s="10" t="s">
        <v>1188</v>
      </c>
      <c r="O1405" s="8" t="s">
        <v>321</v>
      </c>
      <c r="P1405" s="8"/>
      <c r="Q1405" s="8"/>
      <c r="R1405" s="8">
        <v>25886</v>
      </c>
      <c r="S1405" s="8" t="s">
        <v>331</v>
      </c>
      <c r="T1405" s="8"/>
      <c r="U1405" s="8"/>
      <c r="V1405" s="8"/>
      <c r="W1405" s="8"/>
      <c r="X1405" s="8"/>
      <c r="Y1405" s="8"/>
      <c r="Z1405" s="10" t="s">
        <v>1102</v>
      </c>
      <c r="AA1405" s="8" t="s">
        <v>331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1093</v>
      </c>
      <c r="E1406" s="8" t="s">
        <v>128</v>
      </c>
      <c r="F1406" s="8" t="s">
        <v>2564</v>
      </c>
      <c r="G1406" s="8" t="s">
        <v>1245</v>
      </c>
      <c r="H1406" s="8" t="s">
        <v>1246</v>
      </c>
      <c r="I1406" s="8" t="s">
        <v>1209</v>
      </c>
      <c r="J1406" s="8" t="s">
        <v>1204</v>
      </c>
      <c r="K1406" s="8" t="s">
        <v>1099</v>
      </c>
      <c r="L1406" s="10" t="s">
        <v>1210</v>
      </c>
      <c r="M1406" s="10" t="s">
        <v>1211</v>
      </c>
      <c r="N1406" s="10" t="s">
        <v>1188</v>
      </c>
      <c r="O1406" s="8" t="s">
        <v>321</v>
      </c>
      <c r="P1406" s="8"/>
      <c r="Q1406" s="8">
        <v>2512</v>
      </c>
      <c r="R1406" s="8">
        <v>321332</v>
      </c>
      <c r="S1406" s="8" t="s">
        <v>331</v>
      </c>
      <c r="T1406" s="8"/>
      <c r="U1406" s="8"/>
      <c r="V1406" s="8"/>
      <c r="W1406" s="8"/>
      <c r="X1406" s="8"/>
      <c r="Y1406" s="8"/>
      <c r="Z1406" s="10" t="s">
        <v>1102</v>
      </c>
      <c r="AA1406" s="8" t="s">
        <v>331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1093</v>
      </c>
      <c r="E1407" s="8" t="s">
        <v>123</v>
      </c>
      <c r="F1407" s="8" t="s">
        <v>2564</v>
      </c>
      <c r="G1407" s="8" t="s">
        <v>1196</v>
      </c>
      <c r="H1407" s="8" t="s">
        <v>1279</v>
      </c>
      <c r="I1407" s="8" t="s">
        <v>1298</v>
      </c>
      <c r="J1407" s="8" t="s">
        <v>1140</v>
      </c>
      <c r="K1407" s="8" t="s">
        <v>1099</v>
      </c>
      <c r="L1407" s="10" t="s">
        <v>1299</v>
      </c>
      <c r="M1407" s="10" t="s">
        <v>1300</v>
      </c>
      <c r="N1407" s="10" t="s">
        <v>1301</v>
      </c>
      <c r="O1407" s="8" t="s">
        <v>321</v>
      </c>
      <c r="P1407" s="8">
        <v>6965</v>
      </c>
      <c r="Q1407" s="8">
        <v>15589</v>
      </c>
      <c r="R1407" s="8">
        <v>20840</v>
      </c>
      <c r="S1407" s="8" t="s">
        <v>331</v>
      </c>
      <c r="T1407" s="8"/>
      <c r="U1407" s="8"/>
      <c r="V1407" s="8"/>
      <c r="W1407" s="8"/>
      <c r="X1407" s="8"/>
      <c r="Y1407" s="8"/>
      <c r="Z1407" s="10" t="s">
        <v>1613</v>
      </c>
      <c r="AA1407" s="8" t="s">
        <v>331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1093</v>
      </c>
      <c r="E1408" s="8" t="s">
        <v>123</v>
      </c>
      <c r="F1408" s="8" t="s">
        <v>2564</v>
      </c>
      <c r="G1408" s="8" t="s">
        <v>1266</v>
      </c>
      <c r="H1408" s="8" t="s">
        <v>1196</v>
      </c>
      <c r="I1408" s="8" t="s">
        <v>1600</v>
      </c>
      <c r="J1408" s="8" t="s">
        <v>1140</v>
      </c>
      <c r="K1408" s="8" t="s">
        <v>1099</v>
      </c>
      <c r="L1408" s="10" t="s">
        <v>1299</v>
      </c>
      <c r="M1408" s="10" t="s">
        <v>1601</v>
      </c>
      <c r="N1408" s="10" t="s">
        <v>1602</v>
      </c>
      <c r="O1408" s="8" t="s">
        <v>321</v>
      </c>
      <c r="P1408" s="8">
        <v>1921</v>
      </c>
      <c r="Q1408" s="8">
        <v>2784</v>
      </c>
      <c r="R1408" s="8">
        <v>8923</v>
      </c>
      <c r="S1408" s="8" t="s">
        <v>331</v>
      </c>
      <c r="T1408" s="8"/>
      <c r="U1408" s="8"/>
      <c r="V1408" s="8"/>
      <c r="W1408" s="8"/>
      <c r="X1408" s="8"/>
      <c r="Y1408" s="8"/>
      <c r="Z1408" s="10" t="s">
        <v>1613</v>
      </c>
      <c r="AA1408" s="8" t="s">
        <v>331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1093</v>
      </c>
      <c r="E1409" s="8" t="s">
        <v>123</v>
      </c>
      <c r="F1409" s="8" t="s">
        <v>2564</v>
      </c>
      <c r="G1409" s="8" t="s">
        <v>1279</v>
      </c>
      <c r="H1409" s="8" t="s">
        <v>1149</v>
      </c>
      <c r="I1409" s="8" t="s">
        <v>1857</v>
      </c>
      <c r="J1409" s="8" t="s">
        <v>1140</v>
      </c>
      <c r="K1409" s="8" t="s">
        <v>1099</v>
      </c>
      <c r="L1409" s="10" t="s">
        <v>1299</v>
      </c>
      <c r="M1409" s="10" t="s">
        <v>1858</v>
      </c>
      <c r="N1409" s="10" t="s">
        <v>1859</v>
      </c>
      <c r="O1409" s="8" t="s">
        <v>321</v>
      </c>
      <c r="P1409" s="8">
        <v>164</v>
      </c>
      <c r="Q1409" s="8">
        <v>967</v>
      </c>
      <c r="R1409" s="8">
        <v>4042</v>
      </c>
      <c r="S1409" s="8" t="s">
        <v>331</v>
      </c>
      <c r="T1409" s="8"/>
      <c r="U1409" s="8"/>
      <c r="V1409" s="8"/>
      <c r="W1409" s="8"/>
      <c r="X1409" s="8"/>
      <c r="Y1409" s="8"/>
      <c r="Z1409" s="10" t="s">
        <v>1613</v>
      </c>
      <c r="AA1409" s="8" t="s">
        <v>331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1093</v>
      </c>
      <c r="E1410" s="8" t="s">
        <v>123</v>
      </c>
      <c r="F1410" s="8" t="s">
        <v>2564</v>
      </c>
      <c r="G1410" s="8" t="s">
        <v>1284</v>
      </c>
      <c r="H1410" s="8" t="s">
        <v>1166</v>
      </c>
      <c r="I1410" s="8" t="s">
        <v>2320</v>
      </c>
      <c r="J1410" s="8" t="s">
        <v>1140</v>
      </c>
      <c r="K1410" s="8" t="s">
        <v>1099</v>
      </c>
      <c r="L1410" s="10" t="s">
        <v>2321</v>
      </c>
      <c r="M1410" s="10" t="s">
        <v>2341</v>
      </c>
      <c r="N1410" s="10" t="s">
        <v>1413</v>
      </c>
      <c r="O1410" s="8" t="s">
        <v>321</v>
      </c>
      <c r="P1410" s="8"/>
      <c r="Q1410" s="8">
        <v>101</v>
      </c>
      <c r="R1410" s="8">
        <v>1564</v>
      </c>
      <c r="S1410" s="8" t="s">
        <v>331</v>
      </c>
      <c r="T1410" s="8"/>
      <c r="U1410" s="8"/>
      <c r="V1410" s="8"/>
      <c r="W1410" s="8"/>
      <c r="X1410" s="8"/>
      <c r="Y1410" s="8"/>
      <c r="Z1410" s="10" t="s">
        <v>1613</v>
      </c>
      <c r="AA1410" s="8" t="s">
        <v>331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1093</v>
      </c>
      <c r="E1411" s="8" t="s">
        <v>123</v>
      </c>
      <c r="F1411" s="8" t="s">
        <v>2564</v>
      </c>
      <c r="G1411" s="8" t="s">
        <v>1297</v>
      </c>
      <c r="H1411" s="8" t="s">
        <v>1317</v>
      </c>
      <c r="I1411" s="8" t="s">
        <v>1338</v>
      </c>
      <c r="J1411" s="8" t="s">
        <v>1169</v>
      </c>
      <c r="K1411" s="8" t="s">
        <v>1099</v>
      </c>
      <c r="L1411" s="10" t="s">
        <v>1186</v>
      </c>
      <c r="M1411" s="10" t="s">
        <v>1339</v>
      </c>
      <c r="N1411" s="10" t="s">
        <v>1340</v>
      </c>
      <c r="O1411" s="8" t="s">
        <v>321</v>
      </c>
      <c r="P1411" s="8"/>
      <c r="Q1411" s="8"/>
      <c r="R1411" s="8">
        <v>49652</v>
      </c>
      <c r="S1411" s="8" t="s">
        <v>331</v>
      </c>
      <c r="T1411" s="8"/>
      <c r="U1411" s="8"/>
      <c r="V1411" s="8"/>
      <c r="W1411" s="8"/>
      <c r="X1411" s="8"/>
      <c r="Y1411" s="8"/>
      <c r="Z1411" s="10" t="s">
        <v>1613</v>
      </c>
      <c r="AA1411" s="8" t="s">
        <v>331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1093</v>
      </c>
      <c r="E1412" s="8" t="s">
        <v>123</v>
      </c>
      <c r="F1412" s="8" t="s">
        <v>2564</v>
      </c>
      <c r="G1412" s="8" t="s">
        <v>1149</v>
      </c>
      <c r="H1412" s="8" t="s">
        <v>1297</v>
      </c>
      <c r="I1412" s="8" t="s">
        <v>1344</v>
      </c>
      <c r="J1412" s="8" t="s">
        <v>1169</v>
      </c>
      <c r="K1412" s="8" t="s">
        <v>1099</v>
      </c>
      <c r="L1412" s="10" t="s">
        <v>1186</v>
      </c>
      <c r="M1412" s="10" t="s">
        <v>1345</v>
      </c>
      <c r="N1412" s="10" t="s">
        <v>1346</v>
      </c>
      <c r="O1412" s="8" t="s">
        <v>321</v>
      </c>
      <c r="P1412" s="8"/>
      <c r="Q1412" s="8"/>
      <c r="R1412" s="8">
        <v>81064</v>
      </c>
      <c r="S1412" s="8" t="s">
        <v>331</v>
      </c>
      <c r="T1412" s="8"/>
      <c r="U1412" s="8"/>
      <c r="V1412" s="8"/>
      <c r="W1412" s="8"/>
      <c r="X1412" s="8"/>
      <c r="Y1412" s="8"/>
      <c r="Z1412" s="10" t="s">
        <v>1613</v>
      </c>
      <c r="AA1412" s="8" t="s">
        <v>331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1093</v>
      </c>
      <c r="E1413" s="8" t="s">
        <v>123</v>
      </c>
      <c r="F1413" s="8" t="s">
        <v>2564</v>
      </c>
      <c r="G1413" s="8" t="s">
        <v>1317</v>
      </c>
      <c r="H1413" s="8" t="s">
        <v>1273</v>
      </c>
      <c r="I1413" s="8" t="s">
        <v>2088</v>
      </c>
      <c r="J1413" s="8" t="s">
        <v>1193</v>
      </c>
      <c r="K1413" s="8" t="s">
        <v>1099</v>
      </c>
      <c r="L1413" s="10" t="s">
        <v>1186</v>
      </c>
      <c r="M1413" s="10" t="s">
        <v>1412</v>
      </c>
      <c r="N1413" s="10" t="s">
        <v>1413</v>
      </c>
      <c r="O1413" s="8" t="s">
        <v>321</v>
      </c>
      <c r="P1413" s="8"/>
      <c r="Q1413" s="8"/>
      <c r="R1413" s="8">
        <v>4733</v>
      </c>
      <c r="S1413" s="8" t="s">
        <v>331</v>
      </c>
      <c r="T1413" s="8"/>
      <c r="U1413" s="8"/>
      <c r="V1413" s="8"/>
      <c r="W1413" s="8"/>
      <c r="X1413" s="8"/>
      <c r="Y1413" s="8"/>
      <c r="Z1413" s="10" t="s">
        <v>1613</v>
      </c>
      <c r="AA1413" s="8" t="s">
        <v>331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1093</v>
      </c>
      <c r="E1414" s="8" t="s">
        <v>123</v>
      </c>
      <c r="F1414" s="8" t="s">
        <v>2562</v>
      </c>
      <c r="G1414" s="8" t="s">
        <v>1343</v>
      </c>
      <c r="H1414" s="8" t="s">
        <v>1302</v>
      </c>
      <c r="I1414" s="8" t="s">
        <v>2485</v>
      </c>
      <c r="J1414" s="8" t="s">
        <v>2470</v>
      </c>
      <c r="K1414" s="8" t="s">
        <v>1099</v>
      </c>
      <c r="L1414" s="10" t="s">
        <v>1378</v>
      </c>
      <c r="M1414" s="10" t="s">
        <v>1447</v>
      </c>
      <c r="N1414" s="10" t="s">
        <v>1448</v>
      </c>
      <c r="O1414" s="8" t="s">
        <v>1106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1613</v>
      </c>
      <c r="AA1414" s="8" t="s">
        <v>331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1093</v>
      </c>
      <c r="E1415" s="8" t="s">
        <v>128</v>
      </c>
      <c r="F1415" s="8" t="s">
        <v>2564</v>
      </c>
      <c r="G1415" s="8" t="s">
        <v>1284</v>
      </c>
      <c r="H1415" s="8" t="s">
        <v>1561</v>
      </c>
      <c r="I1415" s="8" t="s">
        <v>2302</v>
      </c>
      <c r="J1415" s="8" t="s">
        <v>2303</v>
      </c>
      <c r="K1415" s="8" t="s">
        <v>1099</v>
      </c>
      <c r="L1415" s="10" t="s">
        <v>1546</v>
      </c>
      <c r="M1415" s="10" t="s">
        <v>2304</v>
      </c>
      <c r="N1415" s="10"/>
      <c r="O1415" s="8" t="s">
        <v>1106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1102</v>
      </c>
      <c r="AA1415" s="8" t="s">
        <v>331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1093</v>
      </c>
      <c r="E1416" s="8" t="s">
        <v>128</v>
      </c>
      <c r="F1416" s="8" t="s">
        <v>2564</v>
      </c>
      <c r="G1416" s="8" t="s">
        <v>1207</v>
      </c>
      <c r="H1416" s="8" t="s">
        <v>1258</v>
      </c>
      <c r="I1416" s="8" t="s">
        <v>2479</v>
      </c>
      <c r="J1416" s="8" t="s">
        <v>1193</v>
      </c>
      <c r="K1416" s="8" t="s">
        <v>1099</v>
      </c>
      <c r="L1416" s="10" t="s">
        <v>1546</v>
      </c>
      <c r="M1416" s="10" t="s">
        <v>1547</v>
      </c>
      <c r="N1416" s="10" t="s">
        <v>128</v>
      </c>
      <c r="O1416" s="8" t="s">
        <v>1106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1102</v>
      </c>
      <c r="AA1416" s="8" t="s">
        <v>331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1093</v>
      </c>
      <c r="E1417" s="8" t="s">
        <v>123</v>
      </c>
      <c r="F1417" s="8" t="s">
        <v>2565</v>
      </c>
      <c r="G1417" s="8" t="s">
        <v>1273</v>
      </c>
      <c r="H1417" s="8" t="s">
        <v>1258</v>
      </c>
      <c r="I1417" s="8" t="s">
        <v>2075</v>
      </c>
      <c r="J1417" s="8" t="s">
        <v>1140</v>
      </c>
      <c r="K1417" s="8" t="s">
        <v>1099</v>
      </c>
      <c r="L1417" s="10" t="s">
        <v>1466</v>
      </c>
      <c r="M1417" s="10" t="s">
        <v>2076</v>
      </c>
      <c r="N1417" s="10" t="s">
        <v>1618</v>
      </c>
      <c r="O1417" s="8" t="s">
        <v>321</v>
      </c>
      <c r="P1417" s="8"/>
      <c r="Q1417" s="8">
        <v>1132</v>
      </c>
      <c r="R1417" s="8">
        <v>64599</v>
      </c>
      <c r="S1417" s="8"/>
      <c r="T1417" s="8"/>
      <c r="U1417" s="8" t="s">
        <v>331</v>
      </c>
      <c r="V1417" s="8"/>
      <c r="W1417" s="8"/>
      <c r="X1417" s="8"/>
      <c r="Y1417" s="8"/>
      <c r="Z1417" s="10" t="s">
        <v>1278</v>
      </c>
      <c r="AA1417" s="8" t="s">
        <v>331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1093</v>
      </c>
      <c r="E1418" s="8" t="s">
        <v>123</v>
      </c>
      <c r="F1418" s="8" t="s">
        <v>2565</v>
      </c>
      <c r="G1418" s="8" t="s">
        <v>1149</v>
      </c>
      <c r="H1418" s="8" t="s">
        <v>1297</v>
      </c>
      <c r="I1418" s="8" t="s">
        <v>1895</v>
      </c>
      <c r="J1418" s="8" t="s">
        <v>1217</v>
      </c>
      <c r="K1418" s="8" t="s">
        <v>1099</v>
      </c>
      <c r="L1418" s="10" t="s">
        <v>2398</v>
      </c>
      <c r="M1418" s="10" t="s">
        <v>1897</v>
      </c>
      <c r="N1418" s="10" t="s">
        <v>1413</v>
      </c>
      <c r="O1418" s="8" t="s">
        <v>321</v>
      </c>
      <c r="P1418" s="8"/>
      <c r="Q1418" s="8">
        <v>11378</v>
      </c>
      <c r="R1418" s="8">
        <v>19096</v>
      </c>
      <c r="S1418" s="8" t="s">
        <v>331</v>
      </c>
      <c r="T1418" s="8"/>
      <c r="U1418" s="8"/>
      <c r="V1418" s="8"/>
      <c r="W1418" s="8"/>
      <c r="X1418" s="8"/>
      <c r="Y1418" s="8"/>
      <c r="Z1418" s="10" t="s">
        <v>1613</v>
      </c>
      <c r="AA1418" s="8" t="s">
        <v>331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1093</v>
      </c>
      <c r="E1419" s="8" t="s">
        <v>123</v>
      </c>
      <c r="F1419" s="8" t="s">
        <v>2565</v>
      </c>
      <c r="G1419" s="8" t="s">
        <v>1317</v>
      </c>
      <c r="H1419" s="8" t="s">
        <v>1273</v>
      </c>
      <c r="I1419" s="8" t="s">
        <v>2553</v>
      </c>
      <c r="J1419" s="8" t="s">
        <v>2470</v>
      </c>
      <c r="K1419" s="8" t="s">
        <v>1099</v>
      </c>
      <c r="L1419" s="10" t="s">
        <v>1419</v>
      </c>
      <c r="M1419" s="10" t="s">
        <v>1420</v>
      </c>
      <c r="N1419" s="10" t="s">
        <v>216</v>
      </c>
      <c r="O1419" s="8" t="s">
        <v>321</v>
      </c>
      <c r="P1419" s="8"/>
      <c r="Q1419" s="8"/>
      <c r="R1419" s="8">
        <v>8206</v>
      </c>
      <c r="S1419" s="8"/>
      <c r="T1419" s="8"/>
      <c r="U1419" s="8" t="s">
        <v>331</v>
      </c>
      <c r="V1419" s="8"/>
      <c r="W1419" s="8"/>
      <c r="X1419" s="8"/>
      <c r="Y1419" s="8"/>
      <c r="Z1419" s="10" t="s">
        <v>1278</v>
      </c>
      <c r="AA1419" s="8" t="s">
        <v>331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1093</v>
      </c>
      <c r="E1420" s="8" t="s">
        <v>123</v>
      </c>
      <c r="F1420" s="8" t="s">
        <v>2565</v>
      </c>
      <c r="G1420" s="8" t="s">
        <v>1948</v>
      </c>
      <c r="H1420" s="8" t="s">
        <v>1227</v>
      </c>
      <c r="I1420" s="8" t="s">
        <v>2485</v>
      </c>
      <c r="J1420" s="8" t="s">
        <v>2470</v>
      </c>
      <c r="K1420" s="8" t="s">
        <v>1099</v>
      </c>
      <c r="L1420" s="10" t="s">
        <v>1378</v>
      </c>
      <c r="M1420" s="10" t="s">
        <v>1447</v>
      </c>
      <c r="N1420" s="10" t="s">
        <v>1448</v>
      </c>
      <c r="O1420" s="8" t="s">
        <v>321</v>
      </c>
      <c r="P1420" s="8"/>
      <c r="Q1420" s="8"/>
      <c r="R1420" s="8">
        <v>22407</v>
      </c>
      <c r="S1420" s="8"/>
      <c r="T1420" s="8"/>
      <c r="U1420" s="8" t="s">
        <v>331</v>
      </c>
      <c r="V1420" s="8"/>
      <c r="W1420" s="8"/>
      <c r="X1420" s="8"/>
      <c r="Y1420" s="8"/>
      <c r="Z1420" s="10" t="s">
        <v>1278</v>
      </c>
      <c r="AA1420" s="8" t="s">
        <v>331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1093</v>
      </c>
      <c r="E1421" s="8" t="s">
        <v>123</v>
      </c>
      <c r="F1421" s="8" t="s">
        <v>2565</v>
      </c>
      <c r="G1421" s="8" t="s">
        <v>1284</v>
      </c>
      <c r="H1421" s="8" t="s">
        <v>1948</v>
      </c>
      <c r="I1421" s="8" t="s">
        <v>2500</v>
      </c>
      <c r="J1421" s="8" t="s">
        <v>2470</v>
      </c>
      <c r="K1421" s="8" t="s">
        <v>1099</v>
      </c>
      <c r="L1421" s="10" t="s">
        <v>1378</v>
      </c>
      <c r="M1421" s="10" t="s">
        <v>1379</v>
      </c>
      <c r="N1421" s="10" t="s">
        <v>1380</v>
      </c>
      <c r="O1421" s="8" t="s">
        <v>321</v>
      </c>
      <c r="P1421" s="8"/>
      <c r="Q1421" s="8"/>
      <c r="R1421" s="8">
        <v>56002</v>
      </c>
      <c r="S1421" s="8"/>
      <c r="T1421" s="8"/>
      <c r="U1421" s="8" t="s">
        <v>331</v>
      </c>
      <c r="V1421" s="8"/>
      <c r="W1421" s="8"/>
      <c r="X1421" s="8"/>
      <c r="Y1421" s="8"/>
      <c r="Z1421" s="10" t="s">
        <v>1278</v>
      </c>
      <c r="AA1421" s="8" t="s">
        <v>331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1093</v>
      </c>
      <c r="E1422" s="8" t="s">
        <v>123</v>
      </c>
      <c r="F1422" s="8" t="s">
        <v>2565</v>
      </c>
      <c r="G1422" s="8" t="s">
        <v>1227</v>
      </c>
      <c r="H1422" s="8" t="s">
        <v>1120</v>
      </c>
      <c r="I1422" s="8" t="s">
        <v>2491</v>
      </c>
      <c r="J1422" s="8" t="s">
        <v>2470</v>
      </c>
      <c r="K1422" s="8" t="s">
        <v>1099</v>
      </c>
      <c r="L1422" s="10" t="s">
        <v>1378</v>
      </c>
      <c r="M1422" s="10" t="s">
        <v>1631</v>
      </c>
      <c r="N1422" s="10" t="s">
        <v>1632</v>
      </c>
      <c r="O1422" s="8" t="s">
        <v>321</v>
      </c>
      <c r="P1422" s="8"/>
      <c r="Q1422" s="8"/>
      <c r="R1422" s="8">
        <v>37849</v>
      </c>
      <c r="S1422" s="8"/>
      <c r="T1422" s="8"/>
      <c r="U1422" s="8" t="s">
        <v>331</v>
      </c>
      <c r="V1422" s="8"/>
      <c r="W1422" s="8"/>
      <c r="X1422" s="8"/>
      <c r="Y1422" s="8"/>
      <c r="Z1422" s="10" t="s">
        <v>1278</v>
      </c>
      <c r="AA1422" s="8" t="s">
        <v>331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1093</v>
      </c>
      <c r="E1423" s="8" t="s">
        <v>123</v>
      </c>
      <c r="F1423" s="8" t="s">
        <v>2565</v>
      </c>
      <c r="G1423" s="8" t="s">
        <v>1297</v>
      </c>
      <c r="H1423" s="8" t="s">
        <v>1317</v>
      </c>
      <c r="I1423" s="8" t="s">
        <v>2204</v>
      </c>
      <c r="J1423" s="8" t="s">
        <v>1479</v>
      </c>
      <c r="K1423" s="8" t="s">
        <v>1099</v>
      </c>
      <c r="L1423" s="10" t="s">
        <v>1466</v>
      </c>
      <c r="M1423" s="10" t="s">
        <v>1467</v>
      </c>
      <c r="N1423" s="10" t="s">
        <v>1468</v>
      </c>
      <c r="O1423" s="8" t="s">
        <v>321</v>
      </c>
      <c r="P1423" s="8"/>
      <c r="Q1423" s="8"/>
      <c r="R1423" s="8">
        <v>102273</v>
      </c>
      <c r="S1423" s="8"/>
      <c r="T1423" s="8"/>
      <c r="U1423" s="8" t="s">
        <v>331</v>
      </c>
      <c r="V1423" s="8"/>
      <c r="W1423" s="8"/>
      <c r="X1423" s="8"/>
      <c r="Y1423" s="8"/>
      <c r="Z1423" s="10" t="s">
        <v>1278</v>
      </c>
      <c r="AA1423" s="8" t="s">
        <v>331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1093</v>
      </c>
      <c r="E1424" s="8" t="s">
        <v>128</v>
      </c>
      <c r="F1424" s="8" t="s">
        <v>2566</v>
      </c>
      <c r="G1424" s="8" t="s">
        <v>1317</v>
      </c>
      <c r="H1424" s="8" t="s">
        <v>1819</v>
      </c>
      <c r="I1424" s="8" t="s">
        <v>1192</v>
      </c>
      <c r="J1424" s="8" t="s">
        <v>1193</v>
      </c>
      <c r="K1424" s="8" t="s">
        <v>1099</v>
      </c>
      <c r="L1424" s="10" t="s">
        <v>1194</v>
      </c>
      <c r="M1424" s="10" t="s">
        <v>1195</v>
      </c>
      <c r="N1424" s="10" t="s">
        <v>2325</v>
      </c>
      <c r="O1424" s="8" t="s">
        <v>321</v>
      </c>
      <c r="P1424" s="8"/>
      <c r="Q1424" s="8"/>
      <c r="R1424" s="8">
        <v>72912</v>
      </c>
      <c r="S1424" s="8" t="s">
        <v>331</v>
      </c>
      <c r="T1424" s="8"/>
      <c r="U1424" s="8"/>
      <c r="V1424" s="8"/>
      <c r="W1424" s="8"/>
      <c r="X1424" s="8"/>
      <c r="Y1424" s="8"/>
      <c r="Z1424" s="10" t="s">
        <v>1102</v>
      </c>
      <c r="AA1424" s="8" t="s">
        <v>331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1093</v>
      </c>
      <c r="E1425" s="8" t="s">
        <v>128</v>
      </c>
      <c r="F1425" s="8" t="s">
        <v>2566</v>
      </c>
      <c r="G1425" s="8" t="s">
        <v>1279</v>
      </c>
      <c r="H1425" s="8" t="s">
        <v>1682</v>
      </c>
      <c r="I1425" s="8" t="s">
        <v>1198</v>
      </c>
      <c r="J1425" s="8" t="s">
        <v>1193</v>
      </c>
      <c r="K1425" s="8" t="s">
        <v>1099</v>
      </c>
      <c r="L1425" s="10" t="s">
        <v>1199</v>
      </c>
      <c r="M1425" s="10" t="s">
        <v>1200</v>
      </c>
      <c r="N1425" s="10"/>
      <c r="O1425" s="8" t="s">
        <v>321</v>
      </c>
      <c r="P1425" s="8"/>
      <c r="Q1425" s="8"/>
      <c r="R1425" s="8">
        <v>30400</v>
      </c>
      <c r="S1425" s="8" t="s">
        <v>331</v>
      </c>
      <c r="T1425" s="8"/>
      <c r="U1425" s="8"/>
      <c r="V1425" s="8"/>
      <c r="W1425" s="8"/>
      <c r="X1425" s="8"/>
      <c r="Y1425" s="8"/>
      <c r="Z1425" s="10" t="s">
        <v>1102</v>
      </c>
      <c r="AA1425" s="8" t="s">
        <v>331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1093</v>
      </c>
      <c r="E1426" s="8" t="s">
        <v>123</v>
      </c>
      <c r="F1426" s="8" t="s">
        <v>2566</v>
      </c>
      <c r="G1426" s="8" t="s">
        <v>1297</v>
      </c>
      <c r="H1426" s="8" t="s">
        <v>1317</v>
      </c>
      <c r="I1426" s="8" t="s">
        <v>1606</v>
      </c>
      <c r="J1426" s="8" t="s">
        <v>1140</v>
      </c>
      <c r="K1426" s="8" t="s">
        <v>1099</v>
      </c>
      <c r="L1426" s="10" t="s">
        <v>1260</v>
      </c>
      <c r="M1426" s="10" t="s">
        <v>1261</v>
      </c>
      <c r="N1426" s="10" t="s">
        <v>1413</v>
      </c>
      <c r="O1426" s="8" t="s">
        <v>321</v>
      </c>
      <c r="P1426" s="8"/>
      <c r="Q1426" s="8">
        <v>1100</v>
      </c>
      <c r="R1426" s="8">
        <v>16500</v>
      </c>
      <c r="S1426" s="8"/>
      <c r="T1426" s="8"/>
      <c r="U1426" s="8" t="s">
        <v>331</v>
      </c>
      <c r="V1426" s="8"/>
      <c r="W1426" s="8"/>
      <c r="X1426" s="8"/>
      <c r="Y1426" s="8"/>
      <c r="Z1426" s="10" t="s">
        <v>1278</v>
      </c>
      <c r="AA1426" s="8" t="s">
        <v>331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1093</v>
      </c>
      <c r="E1427" s="8" t="s">
        <v>123</v>
      </c>
      <c r="F1427" s="8" t="s">
        <v>2566</v>
      </c>
      <c r="G1427" s="8" t="s">
        <v>1890</v>
      </c>
      <c r="H1427" s="8" t="s">
        <v>1284</v>
      </c>
      <c r="I1427" s="8" t="s">
        <v>1320</v>
      </c>
      <c r="J1427" s="8" t="s">
        <v>1169</v>
      </c>
      <c r="K1427" s="8" t="s">
        <v>1099</v>
      </c>
      <c r="L1427" s="10" t="s">
        <v>1314</v>
      </c>
      <c r="M1427" s="10" t="s">
        <v>1492</v>
      </c>
      <c r="N1427" s="10" t="s">
        <v>1493</v>
      </c>
      <c r="O1427" s="8" t="s">
        <v>1106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1613</v>
      </c>
      <c r="AA1427" s="8" t="s">
        <v>331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1093</v>
      </c>
      <c r="E1428" s="8" t="s">
        <v>123</v>
      </c>
      <c r="F1428" s="8" t="s">
        <v>2566</v>
      </c>
      <c r="G1428" s="8" t="s">
        <v>1166</v>
      </c>
      <c r="H1428" s="8" t="s">
        <v>1120</v>
      </c>
      <c r="I1428" s="8" t="s">
        <v>1349</v>
      </c>
      <c r="J1428" s="8" t="s">
        <v>1193</v>
      </c>
      <c r="K1428" s="8" t="s">
        <v>1099</v>
      </c>
      <c r="L1428" s="10" t="s">
        <v>1350</v>
      </c>
      <c r="M1428" s="10" t="s">
        <v>1351</v>
      </c>
      <c r="N1428" s="10" t="s">
        <v>1352</v>
      </c>
      <c r="O1428" s="8" t="s">
        <v>321</v>
      </c>
      <c r="P1428" s="8"/>
      <c r="Q1428" s="8"/>
      <c r="R1428" s="8">
        <v>164880</v>
      </c>
      <c r="S1428" s="8" t="s">
        <v>331</v>
      </c>
      <c r="T1428" s="8"/>
      <c r="U1428" s="8"/>
      <c r="V1428" s="8"/>
      <c r="W1428" s="8"/>
      <c r="X1428" s="8"/>
      <c r="Y1428" s="8"/>
      <c r="Z1428" s="10" t="s">
        <v>1613</v>
      </c>
      <c r="AA1428" s="8" t="s">
        <v>331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1093</v>
      </c>
      <c r="E1429" s="8" t="s">
        <v>123</v>
      </c>
      <c r="F1429" s="8" t="s">
        <v>2566</v>
      </c>
      <c r="G1429" s="8" t="s">
        <v>1120</v>
      </c>
      <c r="H1429" s="8" t="s">
        <v>1343</v>
      </c>
      <c r="I1429" s="8" t="s">
        <v>1356</v>
      </c>
      <c r="J1429" s="8" t="s">
        <v>1193</v>
      </c>
      <c r="K1429" s="8" t="s">
        <v>1099</v>
      </c>
      <c r="L1429" s="10" t="s">
        <v>1350</v>
      </c>
      <c r="M1429" s="10" t="s">
        <v>1357</v>
      </c>
      <c r="N1429" s="10" t="s">
        <v>1358</v>
      </c>
      <c r="O1429" s="8" t="s">
        <v>321</v>
      </c>
      <c r="P1429" s="8"/>
      <c r="Q1429" s="8"/>
      <c r="R1429" s="8">
        <v>152718</v>
      </c>
      <c r="S1429" s="8" t="s">
        <v>331</v>
      </c>
      <c r="T1429" s="8"/>
      <c r="U1429" s="8"/>
      <c r="V1429" s="8"/>
      <c r="W1429" s="8"/>
      <c r="X1429" s="8"/>
      <c r="Y1429" s="8"/>
      <c r="Z1429" s="10" t="s">
        <v>1613</v>
      </c>
      <c r="AA1429" s="8" t="s">
        <v>331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1093</v>
      </c>
      <c r="E1430" s="8" t="s">
        <v>123</v>
      </c>
      <c r="F1430" s="8" t="s">
        <v>2566</v>
      </c>
      <c r="G1430" s="8" t="s">
        <v>1317</v>
      </c>
      <c r="H1430" s="8" t="s">
        <v>1273</v>
      </c>
      <c r="I1430" s="8" t="s">
        <v>1363</v>
      </c>
      <c r="J1430" s="8" t="s">
        <v>1193</v>
      </c>
      <c r="K1430" s="8" t="s">
        <v>1099</v>
      </c>
      <c r="L1430" s="10" t="s">
        <v>1364</v>
      </c>
      <c r="M1430" s="10" t="s">
        <v>1365</v>
      </c>
      <c r="N1430" s="10"/>
      <c r="O1430" s="8" t="s">
        <v>321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331</v>
      </c>
      <c r="X1430" s="8"/>
      <c r="Y1430" s="8"/>
      <c r="Z1430" s="10" t="s">
        <v>1733</v>
      </c>
      <c r="AA1430" s="8" t="s">
        <v>331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1093</v>
      </c>
      <c r="E1431" s="8" t="s">
        <v>123</v>
      </c>
      <c r="F1431" s="8" t="s">
        <v>2566</v>
      </c>
      <c r="G1431" s="8" t="s">
        <v>1258</v>
      </c>
      <c r="H1431" s="8" t="s">
        <v>1837</v>
      </c>
      <c r="I1431" s="8" t="s">
        <v>2343</v>
      </c>
      <c r="J1431" s="8" t="s">
        <v>1193</v>
      </c>
      <c r="K1431" s="8" t="s">
        <v>1099</v>
      </c>
      <c r="L1431" s="10" t="s">
        <v>1314</v>
      </c>
      <c r="M1431" s="10" t="s">
        <v>1438</v>
      </c>
      <c r="N1431" s="10" t="s">
        <v>1439</v>
      </c>
      <c r="O1431" s="8" t="s">
        <v>321</v>
      </c>
      <c r="P1431" s="8"/>
      <c r="Q1431" s="8"/>
      <c r="R1431" s="8">
        <v>12521</v>
      </c>
      <c r="S1431" s="8" t="s">
        <v>331</v>
      </c>
      <c r="T1431" s="8"/>
      <c r="U1431" s="8"/>
      <c r="V1431" s="8"/>
      <c r="W1431" s="8"/>
      <c r="X1431" s="8"/>
      <c r="Y1431" s="8"/>
      <c r="Z1431" s="10" t="s">
        <v>1613</v>
      </c>
      <c r="AA1431" s="8" t="s">
        <v>331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1093</v>
      </c>
      <c r="E1432" s="8" t="s">
        <v>123</v>
      </c>
      <c r="F1432" s="8" t="s">
        <v>2566</v>
      </c>
      <c r="G1432" s="8" t="s">
        <v>1342</v>
      </c>
      <c r="H1432" s="8" t="s">
        <v>1994</v>
      </c>
      <c r="I1432" s="8" t="s">
        <v>2389</v>
      </c>
      <c r="J1432" s="8" t="s">
        <v>1193</v>
      </c>
      <c r="K1432" s="8" t="s">
        <v>1099</v>
      </c>
      <c r="L1432" s="10" t="s">
        <v>1314</v>
      </c>
      <c r="M1432" s="10" t="s">
        <v>1435</v>
      </c>
      <c r="N1432" s="10" t="s">
        <v>1436</v>
      </c>
      <c r="O1432" s="8" t="s">
        <v>321</v>
      </c>
      <c r="P1432" s="8"/>
      <c r="Q1432" s="8"/>
      <c r="R1432" s="8">
        <v>14306</v>
      </c>
      <c r="S1432" s="8" t="s">
        <v>331</v>
      </c>
      <c r="T1432" s="8"/>
      <c r="U1432" s="8"/>
      <c r="V1432" s="8"/>
      <c r="W1432" s="8"/>
      <c r="X1432" s="8"/>
      <c r="Y1432" s="8"/>
      <c r="Z1432" s="10" t="s">
        <v>1613</v>
      </c>
      <c r="AA1432" s="8" t="s">
        <v>331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1093</v>
      </c>
      <c r="E1433" s="8" t="s">
        <v>123</v>
      </c>
      <c r="F1433" s="8" t="s">
        <v>2566</v>
      </c>
      <c r="G1433" s="8" t="s">
        <v>1302</v>
      </c>
      <c r="H1433" s="8" t="s">
        <v>1765</v>
      </c>
      <c r="I1433" s="8" t="s">
        <v>2345</v>
      </c>
      <c r="J1433" s="8" t="s">
        <v>1193</v>
      </c>
      <c r="K1433" s="8" t="s">
        <v>1099</v>
      </c>
      <c r="L1433" s="10" t="s">
        <v>1314</v>
      </c>
      <c r="M1433" s="10" t="s">
        <v>1315</v>
      </c>
      <c r="N1433" s="10" t="s">
        <v>1316</v>
      </c>
      <c r="O1433" s="8" t="s">
        <v>321</v>
      </c>
      <c r="P1433" s="8"/>
      <c r="Q1433" s="8"/>
      <c r="R1433" s="8">
        <v>9161</v>
      </c>
      <c r="S1433" s="8" t="s">
        <v>331</v>
      </c>
      <c r="T1433" s="8"/>
      <c r="U1433" s="8"/>
      <c r="V1433" s="8"/>
      <c r="W1433" s="8"/>
      <c r="X1433" s="8"/>
      <c r="Y1433" s="8"/>
      <c r="Z1433" s="10" t="s">
        <v>1613</v>
      </c>
      <c r="AA1433" s="8" t="s">
        <v>331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1093</v>
      </c>
      <c r="E1434" s="8" t="s">
        <v>123</v>
      </c>
      <c r="F1434" s="8" t="s">
        <v>2566</v>
      </c>
      <c r="G1434" s="8" t="s">
        <v>1505</v>
      </c>
      <c r="H1434" s="8" t="s">
        <v>1342</v>
      </c>
      <c r="I1434" s="8" t="s">
        <v>2347</v>
      </c>
      <c r="J1434" s="8" t="s">
        <v>1193</v>
      </c>
      <c r="K1434" s="8" t="s">
        <v>1099</v>
      </c>
      <c r="L1434" s="10" t="s">
        <v>1314</v>
      </c>
      <c r="M1434" s="10" t="s">
        <v>1451</v>
      </c>
      <c r="N1434" s="10" t="s">
        <v>1410</v>
      </c>
      <c r="O1434" s="8" t="s">
        <v>321</v>
      </c>
      <c r="P1434" s="8"/>
      <c r="Q1434" s="8"/>
      <c r="R1434" s="8">
        <v>11592</v>
      </c>
      <c r="S1434" s="8" t="s">
        <v>331</v>
      </c>
      <c r="T1434" s="8"/>
      <c r="U1434" s="8"/>
      <c r="V1434" s="8"/>
      <c r="W1434" s="8"/>
      <c r="X1434" s="8"/>
      <c r="Y1434" s="8"/>
      <c r="Z1434" s="10" t="s">
        <v>1613</v>
      </c>
      <c r="AA1434" s="8" t="s">
        <v>331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1093</v>
      </c>
      <c r="E1435" s="8" t="s">
        <v>123</v>
      </c>
      <c r="F1435" s="8" t="s">
        <v>2566</v>
      </c>
      <c r="G1435" s="8" t="s">
        <v>1765</v>
      </c>
      <c r="H1435" s="8" t="s">
        <v>1505</v>
      </c>
      <c r="I1435" s="8" t="s">
        <v>2390</v>
      </c>
      <c r="J1435" s="8" t="s">
        <v>1193</v>
      </c>
      <c r="K1435" s="8" t="s">
        <v>1099</v>
      </c>
      <c r="L1435" s="10" t="s">
        <v>1314</v>
      </c>
      <c r="M1435" s="10" t="s">
        <v>1430</v>
      </c>
      <c r="N1435" s="10" t="s">
        <v>1295</v>
      </c>
      <c r="O1435" s="8" t="s">
        <v>321</v>
      </c>
      <c r="P1435" s="8"/>
      <c r="Q1435" s="8"/>
      <c r="R1435" s="8">
        <v>6992</v>
      </c>
      <c r="S1435" s="8" t="s">
        <v>331</v>
      </c>
      <c r="T1435" s="8"/>
      <c r="U1435" s="8"/>
      <c r="V1435" s="8"/>
      <c r="W1435" s="8"/>
      <c r="X1435" s="8"/>
      <c r="Y1435" s="8"/>
      <c r="Z1435" s="10" t="s">
        <v>1613</v>
      </c>
      <c r="AA1435" s="8" t="s">
        <v>331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1093</v>
      </c>
      <c r="E1436" s="8" t="s">
        <v>123</v>
      </c>
      <c r="F1436" s="8" t="s">
        <v>2566</v>
      </c>
      <c r="G1436" s="8" t="s">
        <v>1837</v>
      </c>
      <c r="H1436" s="8" t="s">
        <v>1890</v>
      </c>
      <c r="I1436" s="8" t="s">
        <v>1426</v>
      </c>
      <c r="J1436" s="8" t="s">
        <v>1214</v>
      </c>
      <c r="K1436" s="8" t="s">
        <v>1099</v>
      </c>
      <c r="L1436" s="10" t="s">
        <v>1314</v>
      </c>
      <c r="M1436" s="10" t="s">
        <v>1427</v>
      </c>
      <c r="N1436" s="10" t="s">
        <v>1428</v>
      </c>
      <c r="O1436" s="8" t="s">
        <v>321</v>
      </c>
      <c r="P1436" s="8"/>
      <c r="Q1436" s="8"/>
      <c r="R1436" s="8">
        <v>258</v>
      </c>
      <c r="S1436" s="8" t="s">
        <v>331</v>
      </c>
      <c r="T1436" s="8"/>
      <c r="U1436" s="8"/>
      <c r="V1436" s="8"/>
      <c r="W1436" s="8"/>
      <c r="X1436" s="8"/>
      <c r="Y1436" s="8"/>
      <c r="Z1436" s="10" t="s">
        <v>1613</v>
      </c>
      <c r="AA1436" s="8" t="s">
        <v>331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1093</v>
      </c>
      <c r="E1437" s="8" t="s">
        <v>123</v>
      </c>
      <c r="F1437" s="8" t="s">
        <v>2566</v>
      </c>
      <c r="G1437" s="8" t="s">
        <v>1994</v>
      </c>
      <c r="H1437" s="8" t="s">
        <v>2263</v>
      </c>
      <c r="I1437" s="8" t="s">
        <v>1437</v>
      </c>
      <c r="J1437" s="8" t="s">
        <v>1214</v>
      </c>
      <c r="K1437" s="8" t="s">
        <v>1099</v>
      </c>
      <c r="L1437" s="10" t="s">
        <v>1314</v>
      </c>
      <c r="M1437" s="10" t="s">
        <v>1321</v>
      </c>
      <c r="N1437" s="10" t="s">
        <v>1322</v>
      </c>
      <c r="O1437" s="8" t="s">
        <v>321</v>
      </c>
      <c r="P1437" s="8"/>
      <c r="Q1437" s="8"/>
      <c r="R1437" s="8">
        <v>2865</v>
      </c>
      <c r="S1437" s="8" t="s">
        <v>331</v>
      </c>
      <c r="T1437" s="8"/>
      <c r="U1437" s="8"/>
      <c r="V1437" s="8"/>
      <c r="W1437" s="8"/>
      <c r="X1437" s="8"/>
      <c r="Y1437" s="8"/>
      <c r="Z1437" s="10" t="s">
        <v>1613</v>
      </c>
      <c r="AA1437" s="8" t="s">
        <v>331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1093</v>
      </c>
      <c r="E1438" s="8" t="s">
        <v>123</v>
      </c>
      <c r="F1438" s="8" t="s">
        <v>2566</v>
      </c>
      <c r="G1438" s="8" t="s">
        <v>1284</v>
      </c>
      <c r="H1438" s="8" t="s">
        <v>1166</v>
      </c>
      <c r="I1438" s="8" t="s">
        <v>1452</v>
      </c>
      <c r="J1438" s="8" t="s">
        <v>1214</v>
      </c>
      <c r="K1438" s="8" t="s">
        <v>1099</v>
      </c>
      <c r="L1438" s="10" t="s">
        <v>1453</v>
      </c>
      <c r="M1438" s="10" t="s">
        <v>1454</v>
      </c>
      <c r="N1438" s="10"/>
      <c r="O1438" s="8" t="s">
        <v>321</v>
      </c>
      <c r="P1438" s="8"/>
      <c r="Q1438" s="8"/>
      <c r="R1438" s="8">
        <v>146700</v>
      </c>
      <c r="S1438" s="8" t="s">
        <v>331</v>
      </c>
      <c r="T1438" s="8"/>
      <c r="U1438" s="8"/>
      <c r="V1438" s="8"/>
      <c r="W1438" s="8"/>
      <c r="X1438" s="8"/>
      <c r="Y1438" s="8"/>
      <c r="Z1438" s="10" t="s">
        <v>1613</v>
      </c>
      <c r="AA1438" s="8" t="s">
        <v>331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1093</v>
      </c>
      <c r="E1439" s="8" t="s">
        <v>123</v>
      </c>
      <c r="F1439" s="8" t="s">
        <v>2566</v>
      </c>
      <c r="G1439" s="8" t="s">
        <v>1343</v>
      </c>
      <c r="H1439" s="8" t="s">
        <v>1302</v>
      </c>
      <c r="I1439" s="8" t="s">
        <v>2485</v>
      </c>
      <c r="J1439" s="8" t="s">
        <v>2470</v>
      </c>
      <c r="K1439" s="8" t="s">
        <v>1099</v>
      </c>
      <c r="L1439" s="10" t="s">
        <v>1378</v>
      </c>
      <c r="M1439" s="10" t="s">
        <v>1447</v>
      </c>
      <c r="N1439" s="10" t="s">
        <v>1448</v>
      </c>
      <c r="O1439" s="8" t="s">
        <v>321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331</v>
      </c>
      <c r="Z1439" s="10" t="s">
        <v>2567</v>
      </c>
      <c r="AA1439" s="8" t="s">
        <v>331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1093</v>
      </c>
      <c r="E1440" s="8" t="s">
        <v>123</v>
      </c>
      <c r="F1440" s="8" t="s">
        <v>2566</v>
      </c>
      <c r="G1440" s="8" t="s">
        <v>1120</v>
      </c>
      <c r="H1440" s="8" t="s">
        <v>1343</v>
      </c>
      <c r="I1440" s="8" t="s">
        <v>2500</v>
      </c>
      <c r="J1440" s="8" t="s">
        <v>2470</v>
      </c>
      <c r="K1440" s="8" t="s">
        <v>1099</v>
      </c>
      <c r="L1440" s="10" t="s">
        <v>1378</v>
      </c>
      <c r="M1440" s="10" t="s">
        <v>1379</v>
      </c>
      <c r="N1440" s="10" t="s">
        <v>1380</v>
      </c>
      <c r="O1440" s="8" t="s">
        <v>321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331</v>
      </c>
      <c r="Z1440" s="10" t="s">
        <v>2568</v>
      </c>
      <c r="AA1440" s="8" t="s">
        <v>331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1093</v>
      </c>
      <c r="E1441" s="8" t="s">
        <v>123</v>
      </c>
      <c r="F1441" s="8" t="s">
        <v>2566</v>
      </c>
      <c r="G1441" s="8" t="s">
        <v>1149</v>
      </c>
      <c r="H1441" s="8" t="s">
        <v>1297</v>
      </c>
      <c r="I1441" s="8" t="s">
        <v>2010</v>
      </c>
      <c r="J1441" s="8" t="s">
        <v>1459</v>
      </c>
      <c r="K1441" s="8" t="s">
        <v>1099</v>
      </c>
      <c r="L1441" s="10" t="s">
        <v>2011</v>
      </c>
      <c r="M1441" s="10" t="s">
        <v>2012</v>
      </c>
      <c r="N1441" s="10" t="s">
        <v>1340</v>
      </c>
      <c r="O1441" s="8" t="s">
        <v>1106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1613</v>
      </c>
      <c r="AA1441" s="8" t="s">
        <v>331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1093</v>
      </c>
      <c r="E1442" s="8" t="s">
        <v>128</v>
      </c>
      <c r="F1442" s="8" t="s">
        <v>2566</v>
      </c>
      <c r="G1442" s="8" t="s">
        <v>1317</v>
      </c>
      <c r="H1442" s="8" t="s">
        <v>1819</v>
      </c>
      <c r="I1442" s="8" t="s">
        <v>1192</v>
      </c>
      <c r="J1442" s="8" t="s">
        <v>1193</v>
      </c>
      <c r="K1442" s="8" t="s">
        <v>1099</v>
      </c>
      <c r="L1442" s="10" t="s">
        <v>1194</v>
      </c>
      <c r="M1442" s="10" t="s">
        <v>1195</v>
      </c>
      <c r="N1442" s="10" t="s">
        <v>2325</v>
      </c>
      <c r="O1442" s="8" t="s">
        <v>1106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1102</v>
      </c>
      <c r="AA1442" s="8" t="s">
        <v>331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1093</v>
      </c>
      <c r="E1443" s="8" t="s">
        <v>123</v>
      </c>
      <c r="F1443" s="8" t="s">
        <v>2566</v>
      </c>
      <c r="G1443" s="8" t="s">
        <v>1890</v>
      </c>
      <c r="H1443" s="8" t="s">
        <v>1284</v>
      </c>
      <c r="I1443" s="8" t="s">
        <v>1320</v>
      </c>
      <c r="J1443" s="8" t="s">
        <v>1169</v>
      </c>
      <c r="K1443" s="8" t="s">
        <v>1099</v>
      </c>
      <c r="L1443" s="10" t="s">
        <v>1314</v>
      </c>
      <c r="M1443" s="10" t="s">
        <v>1492</v>
      </c>
      <c r="N1443" s="10" t="s">
        <v>1493</v>
      </c>
      <c r="O1443" s="8" t="s">
        <v>321</v>
      </c>
      <c r="P1443" s="8"/>
      <c r="Q1443" s="8"/>
      <c r="R1443" s="8">
        <v>905</v>
      </c>
      <c r="S1443" s="8" t="s">
        <v>331</v>
      </c>
      <c r="T1443" s="8"/>
      <c r="U1443" s="8"/>
      <c r="V1443" s="8"/>
      <c r="W1443" s="8"/>
      <c r="X1443" s="8"/>
      <c r="Y1443" s="8"/>
      <c r="Z1443" s="10" t="s">
        <v>1613</v>
      </c>
      <c r="AA1443" s="8" t="s">
        <v>331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1093</v>
      </c>
      <c r="E1444" s="8" t="s">
        <v>123</v>
      </c>
      <c r="F1444" s="8" t="s">
        <v>2566</v>
      </c>
      <c r="G1444" s="8" t="s">
        <v>1347</v>
      </c>
      <c r="H1444" s="8" t="s">
        <v>1348</v>
      </c>
      <c r="I1444" s="8" t="s">
        <v>2221</v>
      </c>
      <c r="J1444" s="8" t="s">
        <v>1169</v>
      </c>
      <c r="K1444" s="8" t="s">
        <v>1099</v>
      </c>
      <c r="L1444" s="10" t="s">
        <v>2222</v>
      </c>
      <c r="M1444" s="10" t="s">
        <v>2223</v>
      </c>
      <c r="N1444" s="10" t="s">
        <v>139</v>
      </c>
      <c r="O1444" s="8" t="s">
        <v>321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331</v>
      </c>
      <c r="Z1444" s="10" t="s">
        <v>2569</v>
      </c>
      <c r="AA1444" s="8" t="s">
        <v>331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1093</v>
      </c>
      <c r="E1445" s="8" t="s">
        <v>123</v>
      </c>
      <c r="F1445" s="8" t="s">
        <v>2565</v>
      </c>
      <c r="G1445" s="8" t="s">
        <v>1149</v>
      </c>
      <c r="H1445" s="8" t="s">
        <v>1297</v>
      </c>
      <c r="I1445" s="8" t="s">
        <v>1895</v>
      </c>
      <c r="J1445" s="8" t="s">
        <v>1217</v>
      </c>
      <c r="K1445" s="8" t="s">
        <v>1099</v>
      </c>
      <c r="L1445" s="10" t="s">
        <v>2398</v>
      </c>
      <c r="M1445" s="10" t="s">
        <v>1897</v>
      </c>
      <c r="N1445" s="10" t="s">
        <v>1413</v>
      </c>
      <c r="O1445" s="8" t="s">
        <v>1106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1613</v>
      </c>
      <c r="AA1445" s="8" t="s">
        <v>331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1093</v>
      </c>
      <c r="E1446" s="8" t="s">
        <v>123</v>
      </c>
      <c r="F1446" s="8" t="s">
        <v>2566</v>
      </c>
      <c r="G1446" s="8" t="s">
        <v>1505</v>
      </c>
      <c r="H1446" s="8" t="s">
        <v>1342</v>
      </c>
      <c r="I1446" s="8" t="s">
        <v>2347</v>
      </c>
      <c r="J1446" s="8" t="s">
        <v>1193</v>
      </c>
      <c r="K1446" s="8" t="s">
        <v>1099</v>
      </c>
      <c r="L1446" s="10" t="s">
        <v>1314</v>
      </c>
      <c r="M1446" s="10" t="s">
        <v>1451</v>
      </c>
      <c r="N1446" s="10" t="s">
        <v>1410</v>
      </c>
      <c r="O1446" s="8" t="s">
        <v>1106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1613</v>
      </c>
      <c r="AA1446" s="8" t="s">
        <v>331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1093</v>
      </c>
      <c r="E1447" s="8" t="s">
        <v>123</v>
      </c>
      <c r="F1447" s="8" t="s">
        <v>2562</v>
      </c>
      <c r="G1447" s="8" t="s">
        <v>1266</v>
      </c>
      <c r="H1447" s="8" t="s">
        <v>1196</v>
      </c>
      <c r="I1447" s="8" t="s">
        <v>2204</v>
      </c>
      <c r="J1447" s="8" t="s">
        <v>1479</v>
      </c>
      <c r="K1447" s="8" t="s">
        <v>1099</v>
      </c>
      <c r="L1447" s="10" t="s">
        <v>1466</v>
      </c>
      <c r="M1447" s="10" t="s">
        <v>1467</v>
      </c>
      <c r="N1447" s="10" t="s">
        <v>1468</v>
      </c>
      <c r="O1447" s="8" t="s">
        <v>1106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1613</v>
      </c>
      <c r="AA1447" s="8" t="s">
        <v>331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1093</v>
      </c>
      <c r="E1448" s="8" t="s">
        <v>128</v>
      </c>
      <c r="F1448" s="8" t="s">
        <v>2570</v>
      </c>
      <c r="G1448" s="8" t="s">
        <v>2384</v>
      </c>
      <c r="H1448" s="8" t="s">
        <v>1415</v>
      </c>
      <c r="I1448" s="8" t="s">
        <v>2417</v>
      </c>
      <c r="J1448" s="8" t="s">
        <v>1140</v>
      </c>
      <c r="K1448" s="8" t="s">
        <v>1099</v>
      </c>
      <c r="L1448" s="10" t="s">
        <v>1123</v>
      </c>
      <c r="M1448" s="10" t="s">
        <v>1124</v>
      </c>
      <c r="N1448" s="10" t="s">
        <v>1125</v>
      </c>
      <c r="O1448" s="8" t="s">
        <v>321</v>
      </c>
      <c r="P1448" s="8"/>
      <c r="Q1448" s="8">
        <v>8308</v>
      </c>
      <c r="R1448" s="8">
        <v>5869</v>
      </c>
      <c r="S1448" s="8" t="s">
        <v>331</v>
      </c>
      <c r="T1448" s="8"/>
      <c r="U1448" s="8"/>
      <c r="V1448" s="8"/>
      <c r="W1448" s="8"/>
      <c r="X1448" s="8"/>
      <c r="Y1448" s="8"/>
      <c r="Z1448" s="10" t="s">
        <v>1102</v>
      </c>
      <c r="AA1448" s="8" t="s">
        <v>331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1093</v>
      </c>
      <c r="E1449" s="8" t="s">
        <v>128</v>
      </c>
      <c r="F1449" s="8" t="s">
        <v>2570</v>
      </c>
      <c r="G1449" s="8" t="s">
        <v>1120</v>
      </c>
      <c r="H1449" s="8" t="s">
        <v>1174</v>
      </c>
      <c r="I1449" s="8" t="s">
        <v>1175</v>
      </c>
      <c r="J1449" s="8" t="s">
        <v>1169</v>
      </c>
      <c r="K1449" s="8" t="s">
        <v>1099</v>
      </c>
      <c r="L1449" s="10" t="s">
        <v>1123</v>
      </c>
      <c r="M1449" s="10" t="s">
        <v>1124</v>
      </c>
      <c r="N1449" s="10" t="s">
        <v>1176</v>
      </c>
      <c r="O1449" s="8" t="s">
        <v>321</v>
      </c>
      <c r="P1449" s="8"/>
      <c r="Q1449" s="8"/>
      <c r="R1449" s="8">
        <v>5539</v>
      </c>
      <c r="S1449" s="8" t="s">
        <v>331</v>
      </c>
      <c r="T1449" s="8"/>
      <c r="U1449" s="8"/>
      <c r="V1449" s="8"/>
      <c r="W1449" s="8"/>
      <c r="X1449" s="8"/>
      <c r="Y1449" s="8"/>
      <c r="Z1449" s="10" t="s">
        <v>1102</v>
      </c>
      <c r="AA1449" s="8" t="s">
        <v>331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1093</v>
      </c>
      <c r="E1450" s="8" t="s">
        <v>128</v>
      </c>
      <c r="F1450" s="8" t="s">
        <v>2570</v>
      </c>
      <c r="G1450" s="8" t="s">
        <v>1174</v>
      </c>
      <c r="H1450" s="8" t="s">
        <v>2404</v>
      </c>
      <c r="I1450" s="8" t="s">
        <v>2419</v>
      </c>
      <c r="J1450" s="8" t="s">
        <v>1193</v>
      </c>
      <c r="K1450" s="8" t="s">
        <v>1099</v>
      </c>
      <c r="L1450" s="10" t="s">
        <v>1123</v>
      </c>
      <c r="M1450" s="10" t="s">
        <v>1124</v>
      </c>
      <c r="N1450" s="10" t="s">
        <v>1215</v>
      </c>
      <c r="O1450" s="8" t="s">
        <v>321</v>
      </c>
      <c r="P1450" s="8"/>
      <c r="Q1450" s="8"/>
      <c r="R1450" s="8">
        <v>15272</v>
      </c>
      <c r="S1450" s="8" t="s">
        <v>331</v>
      </c>
      <c r="T1450" s="8"/>
      <c r="U1450" s="8"/>
      <c r="V1450" s="8"/>
      <c r="W1450" s="8"/>
      <c r="X1450" s="8"/>
      <c r="Y1450" s="8"/>
      <c r="Z1450" s="10" t="s">
        <v>1102</v>
      </c>
      <c r="AA1450" s="8" t="s">
        <v>331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1093</v>
      </c>
      <c r="E1451" s="8" t="s">
        <v>123</v>
      </c>
      <c r="F1451" s="8" t="s">
        <v>2566</v>
      </c>
      <c r="G1451" s="8" t="s">
        <v>1273</v>
      </c>
      <c r="H1451" s="8" t="s">
        <v>1258</v>
      </c>
      <c r="I1451" s="8" t="s">
        <v>1281</v>
      </c>
      <c r="J1451" s="8" t="s">
        <v>1111</v>
      </c>
      <c r="K1451" s="8" t="s">
        <v>1099</v>
      </c>
      <c r="L1451" s="10" t="s">
        <v>1282</v>
      </c>
      <c r="M1451" s="10" t="s">
        <v>1283</v>
      </c>
      <c r="N1451" s="10"/>
      <c r="O1451" s="8" t="s">
        <v>1106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1613</v>
      </c>
      <c r="AA1451" s="8" t="s">
        <v>331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1093</v>
      </c>
      <c r="E1452" s="8" t="s">
        <v>123</v>
      </c>
      <c r="F1452" s="8" t="s">
        <v>2566</v>
      </c>
      <c r="G1452" s="8" t="s">
        <v>1196</v>
      </c>
      <c r="H1452" s="8" t="s">
        <v>1279</v>
      </c>
      <c r="I1452" s="8" t="s">
        <v>2424</v>
      </c>
      <c r="J1452" s="8" t="s">
        <v>1140</v>
      </c>
      <c r="K1452" s="8" t="s">
        <v>1099</v>
      </c>
      <c r="L1452" s="10" t="s">
        <v>1997</v>
      </c>
      <c r="M1452" s="10" t="s">
        <v>2425</v>
      </c>
      <c r="N1452" s="10" t="s">
        <v>2155</v>
      </c>
      <c r="O1452" s="8" t="s">
        <v>1106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1613</v>
      </c>
      <c r="AA1452" s="8" t="s">
        <v>331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1093</v>
      </c>
      <c r="E1453" s="8" t="s">
        <v>139</v>
      </c>
      <c r="F1453" s="8" t="s">
        <v>2570</v>
      </c>
      <c r="G1453" s="8" t="s">
        <v>1684</v>
      </c>
      <c r="H1453" s="8" t="s">
        <v>2571</v>
      </c>
      <c r="I1453" s="8" t="s">
        <v>2075</v>
      </c>
      <c r="J1453" s="8" t="s">
        <v>1140</v>
      </c>
      <c r="K1453" s="8" t="s">
        <v>1099</v>
      </c>
      <c r="L1453" s="10" t="s">
        <v>1466</v>
      </c>
      <c r="M1453" s="10" t="s">
        <v>2076</v>
      </c>
      <c r="N1453" s="10" t="s">
        <v>1618</v>
      </c>
      <c r="O1453" s="8" t="s">
        <v>362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2572</v>
      </c>
      <c r="AA1453" s="8" t="s">
        <v>331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1093</v>
      </c>
      <c r="E1454" s="8" t="s">
        <v>139</v>
      </c>
      <c r="F1454" s="8" t="s">
        <v>2570</v>
      </c>
      <c r="G1454" s="8" t="s">
        <v>1290</v>
      </c>
      <c r="H1454" s="8" t="s">
        <v>1501</v>
      </c>
      <c r="I1454" s="8" t="s">
        <v>2221</v>
      </c>
      <c r="J1454" s="8" t="s">
        <v>1169</v>
      </c>
      <c r="K1454" s="8" t="s">
        <v>1099</v>
      </c>
      <c r="L1454" s="10" t="s">
        <v>2222</v>
      </c>
      <c r="M1454" s="10" t="s">
        <v>2223</v>
      </c>
      <c r="N1454" s="10" t="s">
        <v>139</v>
      </c>
      <c r="O1454" s="8" t="s">
        <v>321</v>
      </c>
      <c r="P1454" s="8"/>
      <c r="Q1454" s="8"/>
      <c r="R1454" s="8">
        <v>151018</v>
      </c>
      <c r="S1454" s="8"/>
      <c r="T1454" s="8"/>
      <c r="U1454" s="8" t="s">
        <v>331</v>
      </c>
      <c r="V1454" s="8"/>
      <c r="W1454" s="8"/>
      <c r="X1454" s="8"/>
      <c r="Y1454" s="8"/>
      <c r="Z1454" s="10" t="s">
        <v>2573</v>
      </c>
      <c r="AA1454" s="8" t="s">
        <v>331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1093</v>
      </c>
      <c r="E1455" s="8" t="s">
        <v>139</v>
      </c>
      <c r="F1455" s="8" t="s">
        <v>2570</v>
      </c>
      <c r="G1455" s="8" t="s">
        <v>1297</v>
      </c>
      <c r="H1455" s="8" t="s">
        <v>2044</v>
      </c>
      <c r="I1455" s="8" t="s">
        <v>1344</v>
      </c>
      <c r="J1455" s="8" t="s">
        <v>1169</v>
      </c>
      <c r="K1455" s="8" t="s">
        <v>1099</v>
      </c>
      <c r="L1455" s="10" t="s">
        <v>1186</v>
      </c>
      <c r="M1455" s="10" t="s">
        <v>1345</v>
      </c>
      <c r="N1455" s="10" t="s">
        <v>1346</v>
      </c>
      <c r="O1455" s="8" t="s">
        <v>362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2574</v>
      </c>
      <c r="AA1455" s="8" t="s">
        <v>331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1093</v>
      </c>
      <c r="E1456" s="8" t="s">
        <v>123</v>
      </c>
      <c r="F1456" s="8" t="s">
        <v>2564</v>
      </c>
      <c r="G1456" s="8" t="s">
        <v>1266</v>
      </c>
      <c r="H1456" s="8" t="s">
        <v>1196</v>
      </c>
      <c r="I1456" s="8" t="s">
        <v>1600</v>
      </c>
      <c r="J1456" s="8" t="s">
        <v>1140</v>
      </c>
      <c r="K1456" s="8" t="s">
        <v>1099</v>
      </c>
      <c r="L1456" s="10" t="s">
        <v>1299</v>
      </c>
      <c r="M1456" s="10" t="s">
        <v>1601</v>
      </c>
      <c r="N1456" s="10" t="s">
        <v>1602</v>
      </c>
      <c r="O1456" s="8" t="s">
        <v>1106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1613</v>
      </c>
      <c r="AA1456" s="8" t="s">
        <v>331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1093</v>
      </c>
      <c r="E1457" s="8" t="s">
        <v>139</v>
      </c>
      <c r="F1457" s="8" t="s">
        <v>2575</v>
      </c>
      <c r="G1457" s="8" t="s">
        <v>1615</v>
      </c>
      <c r="H1457" s="8" t="s">
        <v>1699</v>
      </c>
      <c r="I1457" s="8" t="s">
        <v>2204</v>
      </c>
      <c r="J1457" s="8" t="s">
        <v>1479</v>
      </c>
      <c r="K1457" s="8" t="s">
        <v>1099</v>
      </c>
      <c r="L1457" s="10" t="s">
        <v>1466</v>
      </c>
      <c r="M1457" s="10" t="s">
        <v>1467</v>
      </c>
      <c r="N1457" s="10" t="s">
        <v>1468</v>
      </c>
      <c r="O1457" s="8" t="s">
        <v>362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2576</v>
      </c>
      <c r="AA1457" s="8" t="s">
        <v>331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1093</v>
      </c>
      <c r="E1458" s="8" t="s">
        <v>128</v>
      </c>
      <c r="F1458" s="8" t="s">
        <v>2570</v>
      </c>
      <c r="G1458" s="8" t="s">
        <v>1120</v>
      </c>
      <c r="H1458" s="8" t="s">
        <v>1174</v>
      </c>
      <c r="I1458" s="8" t="s">
        <v>1175</v>
      </c>
      <c r="J1458" s="8" t="s">
        <v>1169</v>
      </c>
      <c r="K1458" s="8" t="s">
        <v>1099</v>
      </c>
      <c r="L1458" s="10" t="s">
        <v>1123</v>
      </c>
      <c r="M1458" s="10" t="s">
        <v>1124</v>
      </c>
      <c r="N1458" s="10" t="s">
        <v>1176</v>
      </c>
      <c r="O1458" s="8" t="s">
        <v>1106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1102</v>
      </c>
      <c r="AA1458" s="8" t="s">
        <v>331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1093</v>
      </c>
      <c r="E1459" s="8" t="s">
        <v>128</v>
      </c>
      <c r="F1459" s="8" t="s">
        <v>2564</v>
      </c>
      <c r="G1459" s="8" t="s">
        <v>2577</v>
      </c>
      <c r="H1459" s="8" t="s">
        <v>2029</v>
      </c>
      <c r="I1459" s="8" t="s">
        <v>1935</v>
      </c>
      <c r="J1459" s="8" t="s">
        <v>1169</v>
      </c>
      <c r="K1459" s="8" t="s">
        <v>1099</v>
      </c>
      <c r="L1459" s="10" t="s">
        <v>1546</v>
      </c>
      <c r="M1459" s="10" t="s">
        <v>2216</v>
      </c>
      <c r="N1459" s="10"/>
      <c r="O1459" s="8" t="s">
        <v>1106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1102</v>
      </c>
      <c r="AA1459" s="8" t="s">
        <v>331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1093</v>
      </c>
      <c r="E1460" s="8" t="s">
        <v>123</v>
      </c>
      <c r="F1460" s="8" t="s">
        <v>2578</v>
      </c>
      <c r="G1460" s="8" t="s">
        <v>1343</v>
      </c>
      <c r="H1460" s="8" t="s">
        <v>1302</v>
      </c>
      <c r="I1460" s="8" t="s">
        <v>1267</v>
      </c>
      <c r="J1460" s="8" t="s">
        <v>1111</v>
      </c>
      <c r="K1460" s="8" t="s">
        <v>1099</v>
      </c>
      <c r="L1460" s="10" t="s">
        <v>1268</v>
      </c>
      <c r="M1460" s="10" t="s">
        <v>1269</v>
      </c>
      <c r="N1460" s="10" t="s">
        <v>1584</v>
      </c>
      <c r="O1460" s="8" t="s">
        <v>321</v>
      </c>
      <c r="P1460" s="8"/>
      <c r="Q1460" s="8">
        <v>11986</v>
      </c>
      <c r="R1460" s="8">
        <v>86007</v>
      </c>
      <c r="S1460" s="8" t="s">
        <v>331</v>
      </c>
      <c r="T1460" s="8"/>
      <c r="U1460" s="8"/>
      <c r="V1460" s="8"/>
      <c r="W1460" s="8"/>
      <c r="X1460" s="8"/>
      <c r="Y1460" s="8"/>
      <c r="Z1460" s="10" t="s">
        <v>1613</v>
      </c>
      <c r="AA1460" s="8" t="s">
        <v>331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1093</v>
      </c>
      <c r="E1461" s="8" t="s">
        <v>123</v>
      </c>
      <c r="F1461" s="8" t="s">
        <v>2578</v>
      </c>
      <c r="G1461" s="8" t="s">
        <v>1120</v>
      </c>
      <c r="H1461" s="8" t="s">
        <v>1343</v>
      </c>
      <c r="I1461" s="8" t="s">
        <v>1286</v>
      </c>
      <c r="J1461" s="8" t="s">
        <v>1111</v>
      </c>
      <c r="K1461" s="8" t="s">
        <v>1099</v>
      </c>
      <c r="L1461" s="10" t="s">
        <v>1287</v>
      </c>
      <c r="M1461" s="10" t="s">
        <v>1288</v>
      </c>
      <c r="N1461" s="10" t="s">
        <v>1289</v>
      </c>
      <c r="O1461" s="8" t="s">
        <v>321</v>
      </c>
      <c r="P1461" s="8"/>
      <c r="Q1461" s="8">
        <v>18032</v>
      </c>
      <c r="R1461" s="8">
        <v>154040</v>
      </c>
      <c r="S1461" s="8" t="s">
        <v>331</v>
      </c>
      <c r="T1461" s="8"/>
      <c r="U1461" s="8"/>
      <c r="V1461" s="8"/>
      <c r="W1461" s="8"/>
      <c r="X1461" s="8"/>
      <c r="Y1461" s="8"/>
      <c r="Z1461" s="10" t="s">
        <v>1613</v>
      </c>
      <c r="AA1461" s="8" t="s">
        <v>331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1093</v>
      </c>
      <c r="E1462" s="8" t="s">
        <v>123</v>
      </c>
      <c r="F1462" s="8" t="s">
        <v>2564</v>
      </c>
      <c r="G1462" s="8" t="s">
        <v>1196</v>
      </c>
      <c r="H1462" s="8" t="s">
        <v>1279</v>
      </c>
      <c r="I1462" s="8" t="s">
        <v>1298</v>
      </c>
      <c r="J1462" s="8" t="s">
        <v>1140</v>
      </c>
      <c r="K1462" s="8" t="s">
        <v>1099</v>
      </c>
      <c r="L1462" s="10" t="s">
        <v>1299</v>
      </c>
      <c r="M1462" s="10" t="s">
        <v>1300</v>
      </c>
      <c r="N1462" s="10" t="s">
        <v>1301</v>
      </c>
      <c r="O1462" s="8" t="s">
        <v>1106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1613</v>
      </c>
      <c r="AA1462" s="8" t="s">
        <v>331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1093</v>
      </c>
      <c r="E1463" s="8" t="s">
        <v>123</v>
      </c>
      <c r="F1463" s="8" t="s">
        <v>2578</v>
      </c>
      <c r="G1463" s="8" t="s">
        <v>1166</v>
      </c>
      <c r="H1463" s="8" t="s">
        <v>1120</v>
      </c>
      <c r="I1463" s="8" t="s">
        <v>2424</v>
      </c>
      <c r="J1463" s="8" t="s">
        <v>1140</v>
      </c>
      <c r="K1463" s="8" t="s">
        <v>1099</v>
      </c>
      <c r="L1463" s="10" t="s">
        <v>1997</v>
      </c>
      <c r="M1463" s="10" t="s">
        <v>2425</v>
      </c>
      <c r="N1463" s="10" t="s">
        <v>2155</v>
      </c>
      <c r="O1463" s="8" t="s">
        <v>321</v>
      </c>
      <c r="P1463" s="8"/>
      <c r="Q1463" s="8">
        <v>6326</v>
      </c>
      <c r="R1463" s="8">
        <v>2575</v>
      </c>
      <c r="S1463" s="8"/>
      <c r="T1463" s="8"/>
      <c r="U1463" s="8" t="s">
        <v>331</v>
      </c>
      <c r="V1463" s="8"/>
      <c r="W1463" s="8"/>
      <c r="X1463" s="8"/>
      <c r="Y1463" s="8"/>
      <c r="Z1463" s="10" t="s">
        <v>1278</v>
      </c>
      <c r="AA1463" s="8" t="s">
        <v>331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1093</v>
      </c>
      <c r="E1464" s="8" t="s">
        <v>123</v>
      </c>
      <c r="F1464" s="8" t="s">
        <v>2578</v>
      </c>
      <c r="G1464" s="8" t="s">
        <v>1284</v>
      </c>
      <c r="H1464" s="8" t="s">
        <v>1166</v>
      </c>
      <c r="I1464" s="8" t="s">
        <v>2187</v>
      </c>
      <c r="J1464" s="8" t="s">
        <v>1204</v>
      </c>
      <c r="K1464" s="8" t="s">
        <v>1099</v>
      </c>
      <c r="L1464" s="10" t="s">
        <v>1170</v>
      </c>
      <c r="M1464" s="10" t="s">
        <v>2579</v>
      </c>
      <c r="N1464" s="10" t="s">
        <v>1396</v>
      </c>
      <c r="O1464" s="8" t="s">
        <v>362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1278</v>
      </c>
      <c r="AA1464" s="8" t="s">
        <v>331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1093</v>
      </c>
      <c r="E1465" s="8" t="s">
        <v>123</v>
      </c>
      <c r="F1465" s="8" t="s">
        <v>2566</v>
      </c>
      <c r="G1465" s="8" t="s">
        <v>1837</v>
      </c>
      <c r="H1465" s="8" t="s">
        <v>1890</v>
      </c>
      <c r="I1465" s="8" t="s">
        <v>1426</v>
      </c>
      <c r="J1465" s="8" t="s">
        <v>1214</v>
      </c>
      <c r="K1465" s="8" t="s">
        <v>1099</v>
      </c>
      <c r="L1465" s="10" t="s">
        <v>1314</v>
      </c>
      <c r="M1465" s="10" t="s">
        <v>1427</v>
      </c>
      <c r="N1465" s="10" t="s">
        <v>1428</v>
      </c>
      <c r="O1465" s="8" t="s">
        <v>1106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1613</v>
      </c>
      <c r="AA1465" s="8" t="s">
        <v>331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1093</v>
      </c>
      <c r="E1466" s="8" t="s">
        <v>123</v>
      </c>
      <c r="F1466" s="8" t="s">
        <v>2578</v>
      </c>
      <c r="G1466" s="8" t="s">
        <v>1302</v>
      </c>
      <c r="H1466" s="8" t="s">
        <v>1512</v>
      </c>
      <c r="I1466" s="8" t="s">
        <v>1895</v>
      </c>
      <c r="J1466" s="8" t="s">
        <v>1217</v>
      </c>
      <c r="K1466" s="8" t="s">
        <v>1099</v>
      </c>
      <c r="L1466" s="10" t="s">
        <v>2398</v>
      </c>
      <c r="M1466" s="10" t="s">
        <v>1897</v>
      </c>
      <c r="N1466" s="10" t="s">
        <v>1413</v>
      </c>
      <c r="O1466" s="8" t="s">
        <v>362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2580</v>
      </c>
      <c r="AA1466" s="8" t="s">
        <v>331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1093</v>
      </c>
      <c r="E1467" s="8" t="s">
        <v>123</v>
      </c>
      <c r="F1467" s="8" t="s">
        <v>2564</v>
      </c>
      <c r="G1467" s="8" t="s">
        <v>1273</v>
      </c>
      <c r="H1467" s="8" t="s">
        <v>1258</v>
      </c>
      <c r="I1467" s="8" t="s">
        <v>2553</v>
      </c>
      <c r="J1467" s="8" t="s">
        <v>2470</v>
      </c>
      <c r="K1467" s="8" t="s">
        <v>1099</v>
      </c>
      <c r="L1467" s="10" t="s">
        <v>1419</v>
      </c>
      <c r="M1467" s="10" t="s">
        <v>1420</v>
      </c>
      <c r="N1467" s="10" t="s">
        <v>216</v>
      </c>
      <c r="O1467" s="8" t="s">
        <v>1106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1613</v>
      </c>
      <c r="AA1467" s="8" t="s">
        <v>331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1093</v>
      </c>
      <c r="E1468" s="8" t="s">
        <v>128</v>
      </c>
      <c r="F1468" s="8" t="s">
        <v>2581</v>
      </c>
      <c r="G1468" s="8" t="s">
        <v>1706</v>
      </c>
      <c r="H1468" s="8" t="s">
        <v>1120</v>
      </c>
      <c r="I1468" s="8" t="s">
        <v>1110</v>
      </c>
      <c r="J1468" s="8" t="s">
        <v>1111</v>
      </c>
      <c r="K1468" s="8" t="s">
        <v>1099</v>
      </c>
      <c r="L1468" s="10" t="s">
        <v>1112</v>
      </c>
      <c r="M1468" s="10" t="s">
        <v>1113</v>
      </c>
      <c r="N1468" s="10" t="s">
        <v>128</v>
      </c>
      <c r="O1468" s="8" t="s">
        <v>1106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1106</v>
      </c>
      <c r="AA1468" s="8" t="s">
        <v>331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1093</v>
      </c>
      <c r="E1469" s="8" t="s">
        <v>128</v>
      </c>
      <c r="F1469" s="8" t="s">
        <v>2581</v>
      </c>
      <c r="G1469" s="8" t="s">
        <v>1571</v>
      </c>
      <c r="H1469" s="8" t="s">
        <v>1694</v>
      </c>
      <c r="I1469" s="8" t="s">
        <v>1116</v>
      </c>
      <c r="J1469" s="8" t="s">
        <v>1111</v>
      </c>
      <c r="K1469" s="8" t="s">
        <v>1099</v>
      </c>
      <c r="L1469" s="10" t="s">
        <v>1117</v>
      </c>
      <c r="M1469" s="10" t="s">
        <v>1118</v>
      </c>
      <c r="N1469" s="10" t="s">
        <v>1802</v>
      </c>
      <c r="O1469" s="8" t="s">
        <v>1106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1106</v>
      </c>
      <c r="AA1469" s="8" t="s">
        <v>331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1093</v>
      </c>
      <c r="E1470" s="8" t="s">
        <v>128</v>
      </c>
      <c r="F1470" s="8" t="s">
        <v>2581</v>
      </c>
      <c r="G1470" s="8" t="s">
        <v>1343</v>
      </c>
      <c r="H1470" s="8" t="s">
        <v>1571</v>
      </c>
      <c r="I1470" s="8" t="s">
        <v>1128</v>
      </c>
      <c r="J1470" s="8" t="s">
        <v>1111</v>
      </c>
      <c r="K1470" s="8" t="s">
        <v>1099</v>
      </c>
      <c r="L1470" s="10" t="s">
        <v>1129</v>
      </c>
      <c r="M1470" s="10" t="s">
        <v>1130</v>
      </c>
      <c r="N1470" s="10" t="s">
        <v>1131</v>
      </c>
      <c r="O1470" s="8" t="s">
        <v>1106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1106</v>
      </c>
      <c r="AA1470" s="8" t="s">
        <v>331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1093</v>
      </c>
      <c r="E1471" s="8" t="s">
        <v>128</v>
      </c>
      <c r="F1471" s="8" t="s">
        <v>2581</v>
      </c>
      <c r="G1471" s="8" t="s">
        <v>1372</v>
      </c>
      <c r="H1471" s="8" t="s">
        <v>1245</v>
      </c>
      <c r="I1471" s="8" t="s">
        <v>1134</v>
      </c>
      <c r="J1471" s="8" t="s">
        <v>1111</v>
      </c>
      <c r="K1471" s="8" t="s">
        <v>1099</v>
      </c>
      <c r="L1471" s="10" t="s">
        <v>1135</v>
      </c>
      <c r="M1471" s="10" t="s">
        <v>1136</v>
      </c>
      <c r="N1471" s="10"/>
      <c r="O1471" s="8" t="s">
        <v>1106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1106</v>
      </c>
      <c r="AA1471" s="8" t="s">
        <v>331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1093</v>
      </c>
      <c r="E1472" s="8" t="s">
        <v>128</v>
      </c>
      <c r="F1472" s="8" t="s">
        <v>2581</v>
      </c>
      <c r="G1472" s="8" t="s">
        <v>1166</v>
      </c>
      <c r="H1472" s="8" t="s">
        <v>1227</v>
      </c>
      <c r="I1472" s="8" t="s">
        <v>1139</v>
      </c>
      <c r="J1472" s="8" t="s">
        <v>1140</v>
      </c>
      <c r="K1472" s="8" t="s">
        <v>1099</v>
      </c>
      <c r="L1472" s="10" t="s">
        <v>1141</v>
      </c>
      <c r="M1472" s="10" t="s">
        <v>1142</v>
      </c>
      <c r="N1472" s="10" t="s">
        <v>1143</v>
      </c>
      <c r="O1472" s="8" t="s">
        <v>1106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1106</v>
      </c>
      <c r="AA1472" s="8" t="s">
        <v>331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1093</v>
      </c>
      <c r="E1473" s="8" t="s">
        <v>128</v>
      </c>
      <c r="F1473" s="8" t="s">
        <v>2581</v>
      </c>
      <c r="G1473" s="8" t="s">
        <v>1120</v>
      </c>
      <c r="H1473" s="8" t="s">
        <v>1372</v>
      </c>
      <c r="I1473" s="8" t="s">
        <v>1145</v>
      </c>
      <c r="J1473" s="8" t="s">
        <v>1140</v>
      </c>
      <c r="K1473" s="8" t="s">
        <v>1099</v>
      </c>
      <c r="L1473" s="10" t="s">
        <v>1146</v>
      </c>
      <c r="M1473" s="10" t="s">
        <v>1147</v>
      </c>
      <c r="N1473" s="10" t="s">
        <v>1131</v>
      </c>
      <c r="O1473" s="8" t="s">
        <v>1106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1106</v>
      </c>
      <c r="AA1473" s="8" t="s">
        <v>331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1093</v>
      </c>
      <c r="E1474" s="8" t="s">
        <v>128</v>
      </c>
      <c r="F1474" s="8" t="s">
        <v>2581</v>
      </c>
      <c r="G1474" s="8" t="s">
        <v>1227</v>
      </c>
      <c r="H1474" s="8" t="s">
        <v>1706</v>
      </c>
      <c r="I1474" s="8" t="s">
        <v>1150</v>
      </c>
      <c r="J1474" s="8" t="s">
        <v>1140</v>
      </c>
      <c r="K1474" s="8" t="s">
        <v>1099</v>
      </c>
      <c r="L1474" s="10" t="s">
        <v>1151</v>
      </c>
      <c r="M1474" s="10" t="s">
        <v>1152</v>
      </c>
      <c r="N1474" s="10" t="s">
        <v>1153</v>
      </c>
      <c r="O1474" s="8" t="s">
        <v>1106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1106</v>
      </c>
      <c r="AA1474" s="8" t="s">
        <v>331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1093</v>
      </c>
      <c r="E1475" s="8" t="s">
        <v>128</v>
      </c>
      <c r="F1475" s="8" t="s">
        <v>2581</v>
      </c>
      <c r="G1475" s="8" t="s">
        <v>1948</v>
      </c>
      <c r="H1475" s="8" t="s">
        <v>1166</v>
      </c>
      <c r="I1475" s="8" t="s">
        <v>1162</v>
      </c>
      <c r="J1475" s="8" t="s">
        <v>1140</v>
      </c>
      <c r="K1475" s="8" t="s">
        <v>1099</v>
      </c>
      <c r="L1475" s="10" t="s">
        <v>1163</v>
      </c>
      <c r="M1475" s="10" t="s">
        <v>1164</v>
      </c>
      <c r="N1475" s="10" t="s">
        <v>1131</v>
      </c>
      <c r="O1475" s="8" t="s">
        <v>1106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1106</v>
      </c>
      <c r="AA1475" s="8" t="s">
        <v>331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1093</v>
      </c>
      <c r="E1476" s="8" t="s">
        <v>128</v>
      </c>
      <c r="F1476" s="8" t="s">
        <v>2581</v>
      </c>
      <c r="G1476" s="8" t="s">
        <v>2549</v>
      </c>
      <c r="H1476" s="8" t="s">
        <v>1948</v>
      </c>
      <c r="I1476" s="8" t="s">
        <v>2391</v>
      </c>
      <c r="J1476" s="8" t="s">
        <v>1140</v>
      </c>
      <c r="K1476" s="8" t="s">
        <v>1099</v>
      </c>
      <c r="L1476" s="10" t="s">
        <v>2392</v>
      </c>
      <c r="M1476" s="10" t="s">
        <v>2393</v>
      </c>
      <c r="N1476" s="10" t="s">
        <v>2394</v>
      </c>
      <c r="O1476" s="8" t="s">
        <v>1106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1106</v>
      </c>
      <c r="AA1476" s="8" t="s">
        <v>331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1093</v>
      </c>
      <c r="E1477" s="8" t="s">
        <v>128</v>
      </c>
      <c r="F1477" s="8" t="s">
        <v>2564</v>
      </c>
      <c r="G1477" s="8" t="s">
        <v>2582</v>
      </c>
      <c r="H1477" s="8" t="s">
        <v>2571</v>
      </c>
      <c r="I1477" s="8" t="s">
        <v>1825</v>
      </c>
      <c r="J1477" s="8" t="s">
        <v>1169</v>
      </c>
      <c r="K1477" s="8" t="s">
        <v>1099</v>
      </c>
      <c r="L1477" s="10" t="s">
        <v>1546</v>
      </c>
      <c r="M1477" s="10" t="s">
        <v>1826</v>
      </c>
      <c r="N1477" s="10" t="s">
        <v>128</v>
      </c>
      <c r="O1477" s="8" t="s">
        <v>1106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1102</v>
      </c>
      <c r="AA1477" s="8" t="s">
        <v>331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1093</v>
      </c>
      <c r="E1478" s="8" t="s">
        <v>128</v>
      </c>
      <c r="F1478" s="8" t="s">
        <v>2581</v>
      </c>
      <c r="G1478" s="8" t="s">
        <v>1245</v>
      </c>
      <c r="H1478" s="8" t="s">
        <v>1343</v>
      </c>
      <c r="I1478" s="8" t="s">
        <v>1223</v>
      </c>
      <c r="J1478" s="8" t="s">
        <v>1217</v>
      </c>
      <c r="K1478" s="8" t="s">
        <v>1099</v>
      </c>
      <c r="L1478" s="10" t="s">
        <v>2438</v>
      </c>
      <c r="M1478" s="10" t="s">
        <v>1225</v>
      </c>
      <c r="N1478" s="10" t="s">
        <v>1226</v>
      </c>
      <c r="O1478" s="8" t="s">
        <v>1106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1106</v>
      </c>
      <c r="AA1478" s="8" t="s">
        <v>331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1093</v>
      </c>
      <c r="E1479" s="8" t="s">
        <v>128</v>
      </c>
      <c r="F1479" s="8" t="s">
        <v>2581</v>
      </c>
      <c r="G1479" s="8" t="s">
        <v>1284</v>
      </c>
      <c r="H1479" s="8" t="s">
        <v>2549</v>
      </c>
      <c r="I1479" s="8" t="s">
        <v>2144</v>
      </c>
      <c r="J1479" s="8" t="s">
        <v>1217</v>
      </c>
      <c r="K1479" s="8" t="s">
        <v>1099</v>
      </c>
      <c r="L1479" s="10" t="s">
        <v>1205</v>
      </c>
      <c r="M1479" s="10" t="s">
        <v>1206</v>
      </c>
      <c r="N1479" s="10"/>
      <c r="O1479" s="8" t="s">
        <v>1106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1106</v>
      </c>
      <c r="AA1479" s="8" t="s">
        <v>331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1093</v>
      </c>
      <c r="E1480" s="8" t="s">
        <v>128</v>
      </c>
      <c r="F1480" s="8" t="s">
        <v>2581</v>
      </c>
      <c r="G1480" s="8" t="s">
        <v>1694</v>
      </c>
      <c r="H1480" s="8" t="s">
        <v>1302</v>
      </c>
      <c r="I1480" s="8" t="s">
        <v>2147</v>
      </c>
      <c r="J1480" s="8" t="s">
        <v>1244</v>
      </c>
      <c r="K1480" s="8" t="s">
        <v>1099</v>
      </c>
      <c r="L1480" s="10" t="s">
        <v>1230</v>
      </c>
      <c r="M1480" s="10" t="s">
        <v>1231</v>
      </c>
      <c r="N1480" s="10"/>
      <c r="O1480" s="8" t="s">
        <v>1106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1106</v>
      </c>
      <c r="AA1480" s="8" t="s">
        <v>331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1093</v>
      </c>
      <c r="E1481" s="8" t="s">
        <v>123</v>
      </c>
      <c r="F1481" s="8" t="s">
        <v>2581</v>
      </c>
      <c r="G1481" s="8" t="s">
        <v>1279</v>
      </c>
      <c r="H1481" s="8" t="s">
        <v>1149</v>
      </c>
      <c r="I1481" s="8" t="s">
        <v>1274</v>
      </c>
      <c r="J1481" s="8" t="s">
        <v>1111</v>
      </c>
      <c r="K1481" s="8" t="s">
        <v>1099</v>
      </c>
      <c r="L1481" s="10" t="s">
        <v>1275</v>
      </c>
      <c r="M1481" s="10" t="s">
        <v>1276</v>
      </c>
      <c r="N1481" s="10" t="s">
        <v>1277</v>
      </c>
      <c r="O1481" s="8" t="s">
        <v>321</v>
      </c>
      <c r="P1481" s="8"/>
      <c r="Q1481" s="8">
        <v>23533</v>
      </c>
      <c r="R1481" s="8">
        <v>90329</v>
      </c>
      <c r="S1481" s="8" t="s">
        <v>331</v>
      </c>
      <c r="T1481" s="8"/>
      <c r="U1481" s="8"/>
      <c r="V1481" s="8"/>
      <c r="W1481" s="8"/>
      <c r="X1481" s="8"/>
      <c r="Y1481" s="8"/>
      <c r="Z1481" s="10" t="s">
        <v>1613</v>
      </c>
      <c r="AA1481" s="8" t="s">
        <v>331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1093</v>
      </c>
      <c r="E1482" s="8" t="s">
        <v>123</v>
      </c>
      <c r="F1482" s="8" t="s">
        <v>2583</v>
      </c>
      <c r="G1482" s="8" t="s">
        <v>1347</v>
      </c>
      <c r="H1482" s="8" t="s">
        <v>1348</v>
      </c>
      <c r="I1482" s="8" t="s">
        <v>1606</v>
      </c>
      <c r="J1482" s="8" t="s">
        <v>1140</v>
      </c>
      <c r="K1482" s="8" t="s">
        <v>1099</v>
      </c>
      <c r="L1482" s="10" t="s">
        <v>1260</v>
      </c>
      <c r="M1482" s="10" t="s">
        <v>1261</v>
      </c>
      <c r="N1482" s="10" t="s">
        <v>1413</v>
      </c>
      <c r="O1482" s="8" t="s">
        <v>321</v>
      </c>
      <c r="P1482" s="8"/>
      <c r="Q1482" s="8">
        <v>1100</v>
      </c>
      <c r="R1482" s="8">
        <v>16500</v>
      </c>
      <c r="S1482" s="8"/>
      <c r="T1482" s="8"/>
      <c r="U1482" s="8" t="s">
        <v>331</v>
      </c>
      <c r="V1482" s="8"/>
      <c r="W1482" s="8"/>
      <c r="X1482" s="8"/>
      <c r="Y1482" s="8"/>
      <c r="Z1482" s="10" t="s">
        <v>1278</v>
      </c>
      <c r="AA1482" s="8" t="s">
        <v>331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1093</v>
      </c>
      <c r="E1483" s="8" t="s">
        <v>123</v>
      </c>
      <c r="F1483" s="8" t="s">
        <v>2581</v>
      </c>
      <c r="G1483" s="8" t="s">
        <v>1196</v>
      </c>
      <c r="H1483" s="8" t="s">
        <v>1279</v>
      </c>
      <c r="I1483" s="8" t="s">
        <v>2519</v>
      </c>
      <c r="J1483" s="8" t="s">
        <v>1140</v>
      </c>
      <c r="K1483" s="8" t="s">
        <v>1099</v>
      </c>
      <c r="L1483" s="10" t="s">
        <v>1456</v>
      </c>
      <c r="M1483" s="10" t="s">
        <v>1457</v>
      </c>
      <c r="N1483" s="10"/>
      <c r="O1483" s="8" t="s">
        <v>321</v>
      </c>
      <c r="P1483" s="8"/>
      <c r="Q1483" s="8">
        <v>125</v>
      </c>
      <c r="R1483" s="8">
        <v>4325</v>
      </c>
      <c r="S1483" s="8" t="s">
        <v>331</v>
      </c>
      <c r="T1483" s="8"/>
      <c r="U1483" s="8"/>
      <c r="V1483" s="8"/>
      <c r="W1483" s="8"/>
      <c r="X1483" s="8"/>
      <c r="Y1483" s="8"/>
      <c r="Z1483" s="10" t="s">
        <v>1613</v>
      </c>
      <c r="AA1483" s="8" t="s">
        <v>331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1093</v>
      </c>
      <c r="E1484" s="8" t="s">
        <v>123</v>
      </c>
      <c r="F1484" s="8" t="s">
        <v>2581</v>
      </c>
      <c r="G1484" s="8" t="s">
        <v>1302</v>
      </c>
      <c r="H1484" s="8" t="s">
        <v>1765</v>
      </c>
      <c r="I1484" s="8" t="s">
        <v>1329</v>
      </c>
      <c r="J1484" s="8" t="s">
        <v>1169</v>
      </c>
      <c r="K1484" s="8" t="s">
        <v>1099</v>
      </c>
      <c r="L1484" s="10" t="s">
        <v>2466</v>
      </c>
      <c r="M1484" s="10" t="s">
        <v>1331</v>
      </c>
      <c r="N1484" s="10" t="s">
        <v>2467</v>
      </c>
      <c r="O1484" s="8" t="s">
        <v>321</v>
      </c>
      <c r="P1484" s="8"/>
      <c r="Q1484" s="8"/>
      <c r="R1484" s="8">
        <v>113400</v>
      </c>
      <c r="S1484" s="8"/>
      <c r="T1484" s="8"/>
      <c r="U1484" s="8" t="s">
        <v>331</v>
      </c>
      <c r="V1484" s="8"/>
      <c r="W1484" s="8"/>
      <c r="X1484" s="8"/>
      <c r="Y1484" s="8"/>
      <c r="Z1484" s="10" t="s">
        <v>1278</v>
      </c>
      <c r="AA1484" s="8" t="s">
        <v>331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1093</v>
      </c>
      <c r="E1485" s="8" t="s">
        <v>123</v>
      </c>
      <c r="F1485" s="8" t="s">
        <v>2581</v>
      </c>
      <c r="G1485" s="8" t="s">
        <v>1297</v>
      </c>
      <c r="H1485" s="8" t="s">
        <v>1317</v>
      </c>
      <c r="I1485" s="8" t="s">
        <v>2491</v>
      </c>
      <c r="J1485" s="8" t="s">
        <v>2470</v>
      </c>
      <c r="K1485" s="8" t="s">
        <v>1099</v>
      </c>
      <c r="L1485" s="10" t="s">
        <v>1378</v>
      </c>
      <c r="M1485" s="10" t="s">
        <v>1631</v>
      </c>
      <c r="N1485" s="10" t="s">
        <v>1632</v>
      </c>
      <c r="O1485" s="8" t="s">
        <v>362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1278</v>
      </c>
      <c r="AA1485" s="8" t="s">
        <v>331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1093</v>
      </c>
      <c r="E1486" s="8" t="s">
        <v>128</v>
      </c>
      <c r="F1486" s="8" t="s">
        <v>2584</v>
      </c>
      <c r="G1486" s="8" t="s">
        <v>2585</v>
      </c>
      <c r="H1486" s="8" t="s">
        <v>1914</v>
      </c>
      <c r="I1486" s="8" t="s">
        <v>1116</v>
      </c>
      <c r="J1486" s="8" t="s">
        <v>1111</v>
      </c>
      <c r="K1486" s="8" t="s">
        <v>1099</v>
      </c>
      <c r="L1486" s="10" t="s">
        <v>1117</v>
      </c>
      <c r="M1486" s="10" t="s">
        <v>1118</v>
      </c>
      <c r="N1486" s="10" t="s">
        <v>1802</v>
      </c>
      <c r="O1486" s="8" t="s">
        <v>321</v>
      </c>
      <c r="P1486" s="8"/>
      <c r="Q1486" s="8">
        <v>2246</v>
      </c>
      <c r="R1486" s="8">
        <v>17816</v>
      </c>
      <c r="S1486" s="8" t="s">
        <v>331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331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1093</v>
      </c>
      <c r="E1487" s="8" t="s">
        <v>128</v>
      </c>
      <c r="F1487" s="8" t="s">
        <v>2584</v>
      </c>
      <c r="G1487" s="8" t="s">
        <v>1385</v>
      </c>
      <c r="H1487" s="8" t="s">
        <v>2324</v>
      </c>
      <c r="I1487" s="8" t="s">
        <v>1156</v>
      </c>
      <c r="J1487" s="8" t="s">
        <v>1140</v>
      </c>
      <c r="K1487" s="8" t="s">
        <v>1099</v>
      </c>
      <c r="L1487" s="10" t="s">
        <v>1157</v>
      </c>
      <c r="M1487" s="10" t="s">
        <v>1158</v>
      </c>
      <c r="N1487" s="10"/>
      <c r="O1487" s="8" t="s">
        <v>321</v>
      </c>
      <c r="P1487" s="8"/>
      <c r="Q1487" s="8">
        <v>2292</v>
      </c>
      <c r="R1487" s="8">
        <v>2480</v>
      </c>
      <c r="S1487" s="8" t="s">
        <v>331</v>
      </c>
      <c r="T1487" s="8"/>
      <c r="U1487" s="8"/>
      <c r="V1487" s="8"/>
      <c r="W1487" s="8"/>
      <c r="X1487" s="8"/>
      <c r="Y1487" s="8"/>
      <c r="Z1487" s="10" t="s">
        <v>1102</v>
      </c>
      <c r="AA1487" s="8" t="s">
        <v>331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1093</v>
      </c>
      <c r="E1488" s="8" t="s">
        <v>128</v>
      </c>
      <c r="F1488" s="8" t="s">
        <v>2584</v>
      </c>
      <c r="G1488" s="8" t="s">
        <v>1273</v>
      </c>
      <c r="H1488" s="8" t="s">
        <v>2586</v>
      </c>
      <c r="I1488" s="8" t="s">
        <v>2287</v>
      </c>
      <c r="J1488" s="8" t="s">
        <v>1140</v>
      </c>
      <c r="K1488" s="8" t="s">
        <v>1099</v>
      </c>
      <c r="L1488" s="10" t="s">
        <v>2288</v>
      </c>
      <c r="M1488" s="10" t="s">
        <v>1101</v>
      </c>
      <c r="N1488" s="10"/>
      <c r="O1488" s="8" t="s">
        <v>321</v>
      </c>
      <c r="P1488" s="8"/>
      <c r="Q1488" s="8">
        <v>623</v>
      </c>
      <c r="R1488" s="8">
        <v>6276</v>
      </c>
      <c r="S1488" s="8" t="s">
        <v>331</v>
      </c>
      <c r="T1488" s="8"/>
      <c r="U1488" s="8"/>
      <c r="V1488" s="8"/>
      <c r="W1488" s="8"/>
      <c r="X1488" s="8"/>
      <c r="Y1488" s="8"/>
      <c r="Z1488" s="10" t="s">
        <v>1102</v>
      </c>
      <c r="AA1488" s="8" t="s">
        <v>331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1093</v>
      </c>
      <c r="E1489" s="8" t="s">
        <v>128</v>
      </c>
      <c r="F1489" s="8" t="s">
        <v>2584</v>
      </c>
      <c r="G1489" s="8" t="s">
        <v>2587</v>
      </c>
      <c r="H1489" s="8" t="s">
        <v>2588</v>
      </c>
      <c r="I1489" s="8" t="s">
        <v>2530</v>
      </c>
      <c r="J1489" s="8" t="s">
        <v>1140</v>
      </c>
      <c r="K1489" s="8" t="s">
        <v>1099</v>
      </c>
      <c r="L1489" s="10" t="s">
        <v>1180</v>
      </c>
      <c r="M1489" s="10" t="s">
        <v>1181</v>
      </c>
      <c r="N1489" s="10"/>
      <c r="O1489" s="8" t="s">
        <v>321</v>
      </c>
      <c r="P1489" s="8"/>
      <c r="Q1489" s="8">
        <v>19</v>
      </c>
      <c r="R1489" s="8">
        <v>1136</v>
      </c>
      <c r="S1489" s="8" t="s">
        <v>331</v>
      </c>
      <c r="T1489" s="8"/>
      <c r="U1489" s="8"/>
      <c r="V1489" s="8"/>
      <c r="W1489" s="8"/>
      <c r="X1489" s="8"/>
      <c r="Y1489" s="8"/>
      <c r="Z1489" s="10" t="s">
        <v>1102</v>
      </c>
      <c r="AA1489" s="8" t="s">
        <v>331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1093</v>
      </c>
      <c r="E1490" s="8" t="s">
        <v>128</v>
      </c>
      <c r="F1490" s="8" t="s">
        <v>2584</v>
      </c>
      <c r="G1490" s="8" t="s">
        <v>1582</v>
      </c>
      <c r="H1490" s="8" t="s">
        <v>1583</v>
      </c>
      <c r="I1490" s="8" t="s">
        <v>1216</v>
      </c>
      <c r="J1490" s="8" t="s">
        <v>1217</v>
      </c>
      <c r="K1490" s="8" t="s">
        <v>1099</v>
      </c>
      <c r="L1490" s="10" t="s">
        <v>1218</v>
      </c>
      <c r="M1490" s="10" t="s">
        <v>1219</v>
      </c>
      <c r="N1490" s="10" t="s">
        <v>1220</v>
      </c>
      <c r="O1490" s="8" t="s">
        <v>321</v>
      </c>
      <c r="P1490" s="8"/>
      <c r="Q1490" s="8">
        <v>42460</v>
      </c>
      <c r="R1490" s="8">
        <v>41933</v>
      </c>
      <c r="S1490" s="8" t="s">
        <v>331</v>
      </c>
      <c r="T1490" s="8"/>
      <c r="U1490" s="8"/>
      <c r="V1490" s="8"/>
      <c r="W1490" s="8"/>
      <c r="X1490" s="8"/>
      <c r="Y1490" s="8"/>
      <c r="Z1490" s="10" t="s">
        <v>1102</v>
      </c>
      <c r="AA1490" s="8" t="s">
        <v>331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1093</v>
      </c>
      <c r="E1491" s="8" t="s">
        <v>128</v>
      </c>
      <c r="F1491" s="8" t="s">
        <v>2589</v>
      </c>
      <c r="G1491" s="8" t="s">
        <v>1302</v>
      </c>
      <c r="H1491" s="8" t="s">
        <v>2590</v>
      </c>
      <c r="I1491" s="8" t="s">
        <v>1243</v>
      </c>
      <c r="J1491" s="8" t="s">
        <v>1244</v>
      </c>
      <c r="K1491" s="8" t="s">
        <v>1099</v>
      </c>
      <c r="L1491" s="10" t="s">
        <v>1236</v>
      </c>
      <c r="M1491" s="10" t="s">
        <v>1237</v>
      </c>
      <c r="N1491" s="10" t="s">
        <v>1238</v>
      </c>
      <c r="O1491" s="8" t="s">
        <v>321</v>
      </c>
      <c r="P1491" s="8"/>
      <c r="Q1491" s="8">
        <v>775</v>
      </c>
      <c r="R1491" s="8">
        <v>31887</v>
      </c>
      <c r="S1491" s="8" t="s">
        <v>331</v>
      </c>
      <c r="T1491" s="8"/>
      <c r="U1491" s="8"/>
      <c r="V1491" s="8"/>
      <c r="W1491" s="8"/>
      <c r="X1491" s="8"/>
      <c r="Y1491" s="8"/>
      <c r="Z1491" s="10" t="s">
        <v>1102</v>
      </c>
      <c r="AA1491" s="8" t="s">
        <v>331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1093</v>
      </c>
      <c r="E1492" s="8" t="s">
        <v>128</v>
      </c>
      <c r="F1492" s="8" t="s">
        <v>2589</v>
      </c>
      <c r="G1492" s="8" t="s">
        <v>1969</v>
      </c>
      <c r="H1492" s="8" t="s">
        <v>1891</v>
      </c>
      <c r="I1492" s="8" t="s">
        <v>2147</v>
      </c>
      <c r="J1492" s="8" t="s">
        <v>1244</v>
      </c>
      <c r="K1492" s="8" t="s">
        <v>1099</v>
      </c>
      <c r="L1492" s="10" t="s">
        <v>1230</v>
      </c>
      <c r="M1492" s="10" t="s">
        <v>1231</v>
      </c>
      <c r="N1492" s="10"/>
      <c r="O1492" s="8" t="s">
        <v>1106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1106</v>
      </c>
      <c r="AA1492" s="8" t="s">
        <v>331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1093</v>
      </c>
      <c r="E1493" s="8" t="s">
        <v>128</v>
      </c>
      <c r="F1493" s="8" t="s">
        <v>2584</v>
      </c>
      <c r="G1493" s="8" t="s">
        <v>1949</v>
      </c>
      <c r="H1493" s="8" t="s">
        <v>1706</v>
      </c>
      <c r="I1493" s="8" t="s">
        <v>1724</v>
      </c>
      <c r="J1493" s="8" t="s">
        <v>1725</v>
      </c>
      <c r="K1493" s="8" t="s">
        <v>1099</v>
      </c>
      <c r="L1493" s="10" t="s">
        <v>1249</v>
      </c>
      <c r="M1493" s="10" t="s">
        <v>1250</v>
      </c>
      <c r="N1493" s="10"/>
      <c r="O1493" s="8" t="s">
        <v>321</v>
      </c>
      <c r="P1493" s="8"/>
      <c r="Q1493" s="8"/>
      <c r="R1493" s="8">
        <v>65750</v>
      </c>
      <c r="S1493" s="8" t="s">
        <v>331</v>
      </c>
      <c r="T1493" s="8"/>
      <c r="U1493" s="8"/>
      <c r="V1493" s="8"/>
      <c r="W1493" s="8"/>
      <c r="X1493" s="8"/>
      <c r="Y1493" s="8"/>
      <c r="Z1493" s="10" t="s">
        <v>1102</v>
      </c>
      <c r="AA1493" s="8" t="s">
        <v>331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1093</v>
      </c>
      <c r="E1494" s="8" t="s">
        <v>128</v>
      </c>
      <c r="F1494" s="8" t="s">
        <v>2589</v>
      </c>
      <c r="G1494" s="8" t="s">
        <v>1120</v>
      </c>
      <c r="H1494" s="8" t="s">
        <v>1343</v>
      </c>
      <c r="I1494" s="8" t="s">
        <v>1251</v>
      </c>
      <c r="J1494" s="8" t="s">
        <v>1252</v>
      </c>
      <c r="K1494" s="8" t="s">
        <v>1099</v>
      </c>
      <c r="L1494" s="10" t="s">
        <v>1236</v>
      </c>
      <c r="M1494" s="10" t="s">
        <v>1237</v>
      </c>
      <c r="N1494" s="10" t="s">
        <v>1253</v>
      </c>
      <c r="O1494" s="8" t="s">
        <v>321</v>
      </c>
      <c r="P1494" s="8"/>
      <c r="Q1494" s="8"/>
      <c r="R1494" s="8">
        <v>152589</v>
      </c>
      <c r="S1494" s="8" t="s">
        <v>331</v>
      </c>
      <c r="T1494" s="8"/>
      <c r="U1494" s="8"/>
      <c r="V1494" s="8"/>
      <c r="W1494" s="8"/>
      <c r="X1494" s="8"/>
      <c r="Y1494" s="8"/>
      <c r="Z1494" s="10" t="s">
        <v>1102</v>
      </c>
      <c r="AA1494" s="8" t="s">
        <v>331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1093</v>
      </c>
      <c r="E1495" s="8" t="s">
        <v>128</v>
      </c>
      <c r="F1495" s="8" t="s">
        <v>2589</v>
      </c>
      <c r="G1495" s="8" t="s">
        <v>1343</v>
      </c>
      <c r="H1495" s="8" t="s">
        <v>1302</v>
      </c>
      <c r="I1495" s="8" t="s">
        <v>1256</v>
      </c>
      <c r="J1495" s="8" t="s">
        <v>1252</v>
      </c>
      <c r="K1495" s="8" t="s">
        <v>1099</v>
      </c>
      <c r="L1495" s="10" t="s">
        <v>1236</v>
      </c>
      <c r="M1495" s="10" t="s">
        <v>1237</v>
      </c>
      <c r="N1495" s="10" t="s">
        <v>1257</v>
      </c>
      <c r="O1495" s="8" t="s">
        <v>321</v>
      </c>
      <c r="P1495" s="8"/>
      <c r="Q1495" s="8"/>
      <c r="R1495" s="8">
        <v>62448</v>
      </c>
      <c r="S1495" s="8" t="s">
        <v>331</v>
      </c>
      <c r="T1495" s="8"/>
      <c r="U1495" s="8"/>
      <c r="V1495" s="8"/>
      <c r="W1495" s="8"/>
      <c r="X1495" s="8"/>
      <c r="Y1495" s="8"/>
      <c r="Z1495" s="10" t="s">
        <v>1102</v>
      </c>
      <c r="AA1495" s="8" t="s">
        <v>331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1093</v>
      </c>
      <c r="E1496" s="8" t="s">
        <v>123</v>
      </c>
      <c r="F1496" s="8" t="s">
        <v>2591</v>
      </c>
      <c r="G1496" s="8" t="s">
        <v>1120</v>
      </c>
      <c r="H1496" s="8" t="s">
        <v>1343</v>
      </c>
      <c r="I1496" s="8" t="s">
        <v>1592</v>
      </c>
      <c r="J1496" s="8" t="s">
        <v>1111</v>
      </c>
      <c r="K1496" s="8" t="s">
        <v>1099</v>
      </c>
      <c r="L1496" s="10" t="s">
        <v>1293</v>
      </c>
      <c r="M1496" s="10" t="s">
        <v>1593</v>
      </c>
      <c r="N1496" s="10" t="s">
        <v>1594</v>
      </c>
      <c r="O1496" s="8" t="s">
        <v>1106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1613</v>
      </c>
      <c r="AA1496" s="8" t="s">
        <v>331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1093</v>
      </c>
      <c r="E1497" s="8" t="s">
        <v>123</v>
      </c>
      <c r="F1497" s="8" t="s">
        <v>2592</v>
      </c>
      <c r="G1497" s="8" t="s">
        <v>1196</v>
      </c>
      <c r="H1497" s="8" t="s">
        <v>1149</v>
      </c>
      <c r="I1497" s="8" t="s">
        <v>1298</v>
      </c>
      <c r="J1497" s="8" t="s">
        <v>1140</v>
      </c>
      <c r="K1497" s="8" t="s">
        <v>1099</v>
      </c>
      <c r="L1497" s="10" t="s">
        <v>1299</v>
      </c>
      <c r="M1497" s="10" t="s">
        <v>1300</v>
      </c>
      <c r="N1497" s="10" t="s">
        <v>1301</v>
      </c>
      <c r="O1497" s="8" t="s">
        <v>362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2593</v>
      </c>
      <c r="AA1497" s="8" t="s">
        <v>331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1093</v>
      </c>
      <c r="E1498" s="8" t="s">
        <v>123</v>
      </c>
      <c r="F1498" s="8" t="s">
        <v>2589</v>
      </c>
      <c r="G1498" s="8" t="s">
        <v>1196</v>
      </c>
      <c r="H1498" s="8" t="s">
        <v>1149</v>
      </c>
      <c r="I1498" s="8" t="s">
        <v>2075</v>
      </c>
      <c r="J1498" s="8" t="s">
        <v>1140</v>
      </c>
      <c r="K1498" s="8" t="s">
        <v>1099</v>
      </c>
      <c r="L1498" s="10" t="s">
        <v>1466</v>
      </c>
      <c r="M1498" s="10" t="s">
        <v>2076</v>
      </c>
      <c r="N1498" s="10" t="s">
        <v>1618</v>
      </c>
      <c r="O1498" s="8" t="s">
        <v>362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2594</v>
      </c>
      <c r="AA1498" s="8" t="s">
        <v>331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1093</v>
      </c>
      <c r="E1499" s="8" t="s">
        <v>123</v>
      </c>
      <c r="F1499" s="8" t="s">
        <v>2589</v>
      </c>
      <c r="G1499" s="8" t="s">
        <v>1258</v>
      </c>
      <c r="H1499" s="8" t="s">
        <v>1684</v>
      </c>
      <c r="I1499" s="8" t="s">
        <v>1324</v>
      </c>
      <c r="J1499" s="8" t="s">
        <v>1169</v>
      </c>
      <c r="K1499" s="8" t="s">
        <v>1099</v>
      </c>
      <c r="L1499" s="10" t="s">
        <v>1325</v>
      </c>
      <c r="M1499" s="10" t="s">
        <v>1326</v>
      </c>
      <c r="N1499" s="10"/>
      <c r="O1499" s="8" t="s">
        <v>321</v>
      </c>
      <c r="P1499" s="8"/>
      <c r="Q1499" s="8"/>
      <c r="R1499" s="8">
        <v>344434</v>
      </c>
      <c r="S1499" s="8" t="s">
        <v>331</v>
      </c>
      <c r="T1499" s="8"/>
      <c r="U1499" s="8"/>
      <c r="V1499" s="8"/>
      <c r="W1499" s="8"/>
      <c r="X1499" s="8"/>
      <c r="Y1499" s="8"/>
      <c r="Z1499" s="10" t="s">
        <v>1613</v>
      </c>
      <c r="AA1499" s="8" t="s">
        <v>331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1093</v>
      </c>
      <c r="E1500" s="8" t="s">
        <v>123</v>
      </c>
      <c r="F1500" s="8" t="s">
        <v>2595</v>
      </c>
      <c r="G1500" s="8" t="s">
        <v>1196</v>
      </c>
      <c r="H1500" s="8" t="s">
        <v>1279</v>
      </c>
      <c r="I1500" s="8" t="s">
        <v>1329</v>
      </c>
      <c r="J1500" s="8" t="s">
        <v>1169</v>
      </c>
      <c r="K1500" s="8" t="s">
        <v>1099</v>
      </c>
      <c r="L1500" s="10" t="s">
        <v>2466</v>
      </c>
      <c r="M1500" s="10" t="s">
        <v>1331</v>
      </c>
      <c r="N1500" s="10" t="s">
        <v>2467</v>
      </c>
      <c r="O1500" s="8" t="s">
        <v>321</v>
      </c>
      <c r="P1500" s="8"/>
      <c r="Q1500" s="8"/>
      <c r="R1500" s="8">
        <v>117600</v>
      </c>
      <c r="S1500" s="8" t="s">
        <v>331</v>
      </c>
      <c r="T1500" s="8"/>
      <c r="U1500" s="8"/>
      <c r="V1500" s="8"/>
      <c r="W1500" s="8"/>
      <c r="X1500" s="8"/>
      <c r="Y1500" s="8"/>
      <c r="Z1500" s="10" t="s">
        <v>1613</v>
      </c>
      <c r="AA1500" s="8" t="s">
        <v>331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1093</v>
      </c>
      <c r="E1501" s="8" t="s">
        <v>123</v>
      </c>
      <c r="F1501" s="8" t="s">
        <v>2584</v>
      </c>
      <c r="G1501" s="8" t="s">
        <v>1196</v>
      </c>
      <c r="H1501" s="8" t="s">
        <v>1149</v>
      </c>
      <c r="I1501" s="8" t="s">
        <v>1344</v>
      </c>
      <c r="J1501" s="8" t="s">
        <v>1169</v>
      </c>
      <c r="K1501" s="8" t="s">
        <v>1099</v>
      </c>
      <c r="L1501" s="10" t="s">
        <v>1186</v>
      </c>
      <c r="M1501" s="10" t="s">
        <v>1345</v>
      </c>
      <c r="N1501" s="10" t="s">
        <v>1346</v>
      </c>
      <c r="O1501" s="8" t="s">
        <v>362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2596</v>
      </c>
      <c r="AA1501" s="8" t="s">
        <v>331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1093</v>
      </c>
      <c r="E1502" s="8" t="s">
        <v>123</v>
      </c>
      <c r="F1502" s="8" t="s">
        <v>2597</v>
      </c>
      <c r="G1502" s="8" t="s">
        <v>1342</v>
      </c>
      <c r="H1502" s="8" t="s">
        <v>1348</v>
      </c>
      <c r="I1502" s="8" t="s">
        <v>2343</v>
      </c>
      <c r="J1502" s="8" t="s">
        <v>1193</v>
      </c>
      <c r="K1502" s="8" t="s">
        <v>1099</v>
      </c>
      <c r="L1502" s="10" t="s">
        <v>1314</v>
      </c>
      <c r="M1502" s="10" t="s">
        <v>1438</v>
      </c>
      <c r="N1502" s="10" t="s">
        <v>1439</v>
      </c>
      <c r="O1502" s="8" t="s">
        <v>362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2598</v>
      </c>
      <c r="AA1502" s="8" t="s">
        <v>331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1093</v>
      </c>
      <c r="E1503" s="8" t="s">
        <v>123</v>
      </c>
      <c r="F1503" s="8" t="s">
        <v>2566</v>
      </c>
      <c r="G1503" s="8" t="s">
        <v>1765</v>
      </c>
      <c r="H1503" s="8" t="s">
        <v>1505</v>
      </c>
      <c r="I1503" s="8" t="s">
        <v>2390</v>
      </c>
      <c r="J1503" s="8" t="s">
        <v>1193</v>
      </c>
      <c r="K1503" s="8" t="s">
        <v>1099</v>
      </c>
      <c r="L1503" s="10" t="s">
        <v>1314</v>
      </c>
      <c r="M1503" s="10" t="s">
        <v>1430</v>
      </c>
      <c r="N1503" s="10" t="s">
        <v>1295</v>
      </c>
      <c r="O1503" s="8" t="s">
        <v>1106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1613</v>
      </c>
      <c r="AA1503" s="8" t="s">
        <v>331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1093</v>
      </c>
      <c r="E1504" s="8" t="s">
        <v>123</v>
      </c>
      <c r="F1504" s="8" t="s">
        <v>2589</v>
      </c>
      <c r="G1504" s="8" t="s">
        <v>1273</v>
      </c>
      <c r="H1504" s="8" t="s">
        <v>1258</v>
      </c>
      <c r="I1504" s="8" t="s">
        <v>1386</v>
      </c>
      <c r="J1504" s="8" t="s">
        <v>1387</v>
      </c>
      <c r="K1504" s="8" t="s">
        <v>1099</v>
      </c>
      <c r="L1504" s="10" t="s">
        <v>1388</v>
      </c>
      <c r="M1504" s="10" t="s">
        <v>1326</v>
      </c>
      <c r="N1504" s="10" t="s">
        <v>1358</v>
      </c>
      <c r="O1504" s="8" t="s">
        <v>321</v>
      </c>
      <c r="P1504" s="8"/>
      <c r="Q1504" s="8"/>
      <c r="R1504" s="8">
        <v>76644</v>
      </c>
      <c r="S1504" s="8" t="s">
        <v>331</v>
      </c>
      <c r="T1504" s="8"/>
      <c r="U1504" s="8"/>
      <c r="V1504" s="8"/>
      <c r="W1504" s="8"/>
      <c r="X1504" s="8"/>
      <c r="Y1504" s="8"/>
      <c r="Z1504" s="10" t="s">
        <v>1613</v>
      </c>
      <c r="AA1504" s="8" t="s">
        <v>331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1093</v>
      </c>
      <c r="E1505" s="8" t="s">
        <v>123</v>
      </c>
      <c r="F1505" s="8" t="s">
        <v>2584</v>
      </c>
      <c r="G1505" s="8" t="s">
        <v>1297</v>
      </c>
      <c r="H1505" s="8" t="s">
        <v>1273</v>
      </c>
      <c r="I1505" s="8" t="s">
        <v>1895</v>
      </c>
      <c r="J1505" s="8" t="s">
        <v>1217</v>
      </c>
      <c r="K1505" s="8" t="s">
        <v>1099</v>
      </c>
      <c r="L1505" s="10" t="s">
        <v>2398</v>
      </c>
      <c r="M1505" s="10" t="s">
        <v>1897</v>
      </c>
      <c r="N1505" s="10" t="s">
        <v>1413</v>
      </c>
      <c r="O1505" s="8" t="s">
        <v>362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2599</v>
      </c>
      <c r="AA1505" s="8" t="s">
        <v>331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1093</v>
      </c>
      <c r="E1506" s="8" t="s">
        <v>123</v>
      </c>
      <c r="F1506" s="8" t="s">
        <v>2591</v>
      </c>
      <c r="G1506" s="8" t="s">
        <v>1302</v>
      </c>
      <c r="H1506" s="8" t="s">
        <v>1348</v>
      </c>
      <c r="I1506" s="8" t="s">
        <v>1895</v>
      </c>
      <c r="J1506" s="8" t="s">
        <v>1217</v>
      </c>
      <c r="K1506" s="8" t="s">
        <v>1099</v>
      </c>
      <c r="L1506" s="10" t="s">
        <v>2398</v>
      </c>
      <c r="M1506" s="10" t="s">
        <v>1897</v>
      </c>
      <c r="N1506" s="10" t="s">
        <v>1413</v>
      </c>
      <c r="O1506" s="8" t="s">
        <v>362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2600</v>
      </c>
      <c r="AA1506" s="8" t="s">
        <v>331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1093</v>
      </c>
      <c r="E1507" s="8" t="s">
        <v>123</v>
      </c>
      <c r="F1507" s="8" t="s">
        <v>2597</v>
      </c>
      <c r="G1507" s="8" t="s">
        <v>1196</v>
      </c>
      <c r="H1507" s="8" t="s">
        <v>1149</v>
      </c>
      <c r="I1507" s="8" t="s">
        <v>1895</v>
      </c>
      <c r="J1507" s="8" t="s">
        <v>1217</v>
      </c>
      <c r="K1507" s="8" t="s">
        <v>1099</v>
      </c>
      <c r="L1507" s="10" t="s">
        <v>2398</v>
      </c>
      <c r="M1507" s="10" t="s">
        <v>1897</v>
      </c>
      <c r="N1507" s="10" t="s">
        <v>1413</v>
      </c>
      <c r="O1507" s="8" t="s">
        <v>362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2601</v>
      </c>
      <c r="AA1507" s="8" t="s">
        <v>331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1093</v>
      </c>
      <c r="E1508" s="8" t="s">
        <v>123</v>
      </c>
      <c r="F1508" s="8" t="s">
        <v>2595</v>
      </c>
      <c r="G1508" s="8" t="s">
        <v>1303</v>
      </c>
      <c r="H1508" s="8" t="s">
        <v>2275</v>
      </c>
      <c r="I1508" s="8" t="s">
        <v>1895</v>
      </c>
      <c r="J1508" s="8" t="s">
        <v>1217</v>
      </c>
      <c r="K1508" s="8" t="s">
        <v>1099</v>
      </c>
      <c r="L1508" s="10" t="s">
        <v>2398</v>
      </c>
      <c r="M1508" s="10" t="s">
        <v>1897</v>
      </c>
      <c r="N1508" s="10" t="s">
        <v>1413</v>
      </c>
      <c r="O1508" s="8" t="s">
        <v>362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2602</v>
      </c>
      <c r="AA1508" s="8" t="s">
        <v>331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1093</v>
      </c>
      <c r="E1509" s="8" t="s">
        <v>123</v>
      </c>
      <c r="F1509" s="8" t="s">
        <v>2589</v>
      </c>
      <c r="G1509" s="8" t="s">
        <v>1302</v>
      </c>
      <c r="H1509" s="8" t="s">
        <v>1167</v>
      </c>
      <c r="I1509" s="8" t="s">
        <v>1484</v>
      </c>
      <c r="J1509" s="8" t="s">
        <v>1479</v>
      </c>
      <c r="K1509" s="8" t="s">
        <v>1099</v>
      </c>
      <c r="L1509" s="10" t="s">
        <v>1170</v>
      </c>
      <c r="M1509" s="10" t="s">
        <v>1463</v>
      </c>
      <c r="N1509" s="10" t="s">
        <v>1485</v>
      </c>
      <c r="O1509" s="8" t="s">
        <v>321</v>
      </c>
      <c r="P1509" s="8"/>
      <c r="Q1509" s="8"/>
      <c r="R1509" s="8">
        <v>16765</v>
      </c>
      <c r="S1509" s="8"/>
      <c r="T1509" s="8"/>
      <c r="U1509" s="8" t="s">
        <v>331</v>
      </c>
      <c r="V1509" s="8"/>
      <c r="W1509" s="8"/>
      <c r="X1509" s="8"/>
      <c r="Y1509" s="8"/>
      <c r="Z1509" s="10" t="s">
        <v>1278</v>
      </c>
      <c r="AA1509" s="8" t="s">
        <v>331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1093</v>
      </c>
      <c r="E1510" s="8" t="s">
        <v>123</v>
      </c>
      <c r="F1510" s="8" t="s">
        <v>2589</v>
      </c>
      <c r="G1510" s="8" t="s">
        <v>1571</v>
      </c>
      <c r="H1510" s="8" t="s">
        <v>1694</v>
      </c>
      <c r="I1510" s="8" t="s">
        <v>1487</v>
      </c>
      <c r="J1510" s="8" t="s">
        <v>1479</v>
      </c>
      <c r="K1510" s="8" t="s">
        <v>1099</v>
      </c>
      <c r="L1510" s="10" t="s">
        <v>1170</v>
      </c>
      <c r="M1510" s="10" t="s">
        <v>1463</v>
      </c>
      <c r="N1510" s="10" t="s">
        <v>1488</v>
      </c>
      <c r="O1510" s="8" t="s">
        <v>321</v>
      </c>
      <c r="P1510" s="8"/>
      <c r="Q1510" s="8"/>
      <c r="R1510" s="8">
        <v>183841</v>
      </c>
      <c r="S1510" s="8"/>
      <c r="T1510" s="8"/>
      <c r="U1510" s="8" t="s">
        <v>331</v>
      </c>
      <c r="V1510" s="8"/>
      <c r="W1510" s="8"/>
      <c r="X1510" s="8"/>
      <c r="Y1510" s="8"/>
      <c r="Z1510" s="10" t="s">
        <v>1278</v>
      </c>
      <c r="AA1510" s="8" t="s">
        <v>331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1093</v>
      </c>
      <c r="E1511" s="8" t="s">
        <v>123</v>
      </c>
      <c r="F1511" s="8" t="s">
        <v>2589</v>
      </c>
      <c r="G1511" s="8" t="s">
        <v>1317</v>
      </c>
      <c r="H1511" s="8" t="s">
        <v>1273</v>
      </c>
      <c r="I1511" s="8" t="s">
        <v>1489</v>
      </c>
      <c r="J1511" s="8" t="s">
        <v>1479</v>
      </c>
      <c r="K1511" s="8" t="s">
        <v>1099</v>
      </c>
      <c r="L1511" s="10" t="s">
        <v>1388</v>
      </c>
      <c r="M1511" s="10" t="s">
        <v>1326</v>
      </c>
      <c r="N1511" s="10" t="s">
        <v>1358</v>
      </c>
      <c r="O1511" s="8" t="s">
        <v>321</v>
      </c>
      <c r="P1511" s="8"/>
      <c r="Q1511" s="8"/>
      <c r="R1511" s="8">
        <v>125054</v>
      </c>
      <c r="S1511" s="8" t="s">
        <v>331</v>
      </c>
      <c r="T1511" s="8"/>
      <c r="U1511" s="8"/>
      <c r="V1511" s="8"/>
      <c r="W1511" s="8"/>
      <c r="X1511" s="8"/>
      <c r="Y1511" s="8"/>
      <c r="Z1511" s="10" t="s">
        <v>1613</v>
      </c>
      <c r="AA1511" s="8" t="s">
        <v>331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1093</v>
      </c>
      <c r="E1512" s="8" t="s">
        <v>123</v>
      </c>
      <c r="F1512" s="8" t="s">
        <v>2603</v>
      </c>
      <c r="G1512" s="8" t="s">
        <v>1266</v>
      </c>
      <c r="H1512" s="8" t="s">
        <v>1196</v>
      </c>
      <c r="I1512" s="8" t="s">
        <v>1489</v>
      </c>
      <c r="J1512" s="8" t="s">
        <v>1479</v>
      </c>
      <c r="K1512" s="8" t="s">
        <v>1099</v>
      </c>
      <c r="L1512" s="10" t="s">
        <v>1388</v>
      </c>
      <c r="M1512" s="10" t="s">
        <v>1326</v>
      </c>
      <c r="N1512" s="10" t="s">
        <v>1358</v>
      </c>
      <c r="O1512" s="8" t="s">
        <v>321</v>
      </c>
      <c r="P1512" s="8"/>
      <c r="Q1512" s="8"/>
      <c r="R1512" s="8">
        <v>125054</v>
      </c>
      <c r="S1512" s="8"/>
      <c r="T1512" s="8"/>
      <c r="U1512" s="8" t="s">
        <v>331</v>
      </c>
      <c r="V1512" s="8"/>
      <c r="W1512" s="8"/>
      <c r="X1512" s="8"/>
      <c r="Y1512" s="8"/>
      <c r="Z1512" s="10" t="s">
        <v>1278</v>
      </c>
      <c r="AA1512" s="8" t="s">
        <v>331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1093</v>
      </c>
      <c r="E1513" s="8" t="s">
        <v>123</v>
      </c>
      <c r="F1513" s="8" t="s">
        <v>2589</v>
      </c>
      <c r="G1513" s="8" t="s">
        <v>1343</v>
      </c>
      <c r="H1513" s="8" t="s">
        <v>1571</v>
      </c>
      <c r="I1513" s="8" t="s">
        <v>2604</v>
      </c>
      <c r="J1513" s="8" t="s">
        <v>1479</v>
      </c>
      <c r="K1513" s="8" t="s">
        <v>1099</v>
      </c>
      <c r="L1513" s="10" t="s">
        <v>1170</v>
      </c>
      <c r="M1513" s="10" t="s">
        <v>1659</v>
      </c>
      <c r="N1513" s="10" t="s">
        <v>1660</v>
      </c>
      <c r="O1513" s="8" t="s">
        <v>321</v>
      </c>
      <c r="P1513" s="8"/>
      <c r="Q1513" s="8"/>
      <c r="R1513" s="8">
        <v>9692</v>
      </c>
      <c r="S1513" s="8"/>
      <c r="T1513" s="8"/>
      <c r="U1513" s="8" t="s">
        <v>331</v>
      </c>
      <c r="V1513" s="8"/>
      <c r="W1513" s="8"/>
      <c r="X1513" s="8"/>
      <c r="Y1513" s="8"/>
      <c r="Z1513" s="10" t="s">
        <v>1278</v>
      </c>
      <c r="AA1513" s="8" t="s">
        <v>331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1093</v>
      </c>
      <c r="E1514" s="8" t="s">
        <v>123</v>
      </c>
      <c r="F1514" s="8" t="s">
        <v>2589</v>
      </c>
      <c r="G1514" s="8" t="s">
        <v>1694</v>
      </c>
      <c r="H1514" s="8" t="s">
        <v>1302</v>
      </c>
      <c r="I1514" s="8" t="s">
        <v>2524</v>
      </c>
      <c r="J1514" s="8" t="s">
        <v>1479</v>
      </c>
      <c r="K1514" s="8" t="s">
        <v>1099</v>
      </c>
      <c r="L1514" s="10" t="s">
        <v>1170</v>
      </c>
      <c r="M1514" s="10" t="s">
        <v>1463</v>
      </c>
      <c r="N1514" s="10" t="s">
        <v>1670</v>
      </c>
      <c r="O1514" s="8" t="s">
        <v>321</v>
      </c>
      <c r="P1514" s="8"/>
      <c r="Q1514" s="8"/>
      <c r="R1514" s="8">
        <v>9566</v>
      </c>
      <c r="S1514" s="8"/>
      <c r="T1514" s="8"/>
      <c r="U1514" s="8" t="s">
        <v>331</v>
      </c>
      <c r="V1514" s="8"/>
      <c r="W1514" s="8"/>
      <c r="X1514" s="8"/>
      <c r="Y1514" s="8"/>
      <c r="Z1514" s="10" t="s">
        <v>1278</v>
      </c>
      <c r="AA1514" s="8" t="s">
        <v>331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1093</v>
      </c>
      <c r="E1515" s="8" t="s">
        <v>123</v>
      </c>
      <c r="F1515" s="8" t="s">
        <v>2605</v>
      </c>
      <c r="G1515" s="8" t="s">
        <v>1303</v>
      </c>
      <c r="H1515" s="8" t="s">
        <v>1512</v>
      </c>
      <c r="I1515" s="8" t="s">
        <v>2606</v>
      </c>
      <c r="J1515" s="8" t="s">
        <v>2607</v>
      </c>
      <c r="K1515" s="8" t="s">
        <v>1496</v>
      </c>
      <c r="L1515" s="10" t="s">
        <v>1497</v>
      </c>
      <c r="M1515" s="10" t="s">
        <v>2608</v>
      </c>
      <c r="N1515" s="10" t="s">
        <v>1499</v>
      </c>
      <c r="O1515" s="8" t="s">
        <v>362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2609</v>
      </c>
      <c r="AA1515" s="8" t="s">
        <v>331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1093</v>
      </c>
      <c r="E1516" s="8" t="s">
        <v>139</v>
      </c>
      <c r="F1516" s="8" t="s">
        <v>2592</v>
      </c>
      <c r="G1516" s="8" t="s">
        <v>1477</v>
      </c>
      <c r="H1516" s="8" t="s">
        <v>2610</v>
      </c>
      <c r="I1516" s="8" t="s">
        <v>1502</v>
      </c>
      <c r="J1516" s="8" t="s">
        <v>1217</v>
      </c>
      <c r="K1516" s="8" t="s">
        <v>1099</v>
      </c>
      <c r="L1516" s="10" t="s">
        <v>1503</v>
      </c>
      <c r="M1516" s="10" t="s">
        <v>1504</v>
      </c>
      <c r="N1516" s="10" t="s">
        <v>1346</v>
      </c>
      <c r="O1516" s="8" t="s">
        <v>1106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331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1093</v>
      </c>
      <c r="E1517" s="8" t="s">
        <v>139</v>
      </c>
      <c r="F1517" s="8" t="s">
        <v>2592</v>
      </c>
      <c r="G1517" s="8" t="s">
        <v>2198</v>
      </c>
      <c r="H1517" s="8" t="s">
        <v>2611</v>
      </c>
      <c r="I1517" s="8" t="s">
        <v>1509</v>
      </c>
      <c r="J1517" s="8" t="s">
        <v>1217</v>
      </c>
      <c r="K1517" s="8" t="s">
        <v>1099</v>
      </c>
      <c r="L1517" s="10" t="s">
        <v>1503</v>
      </c>
      <c r="M1517" s="10" t="s">
        <v>1504</v>
      </c>
      <c r="N1517" s="10" t="s">
        <v>1346</v>
      </c>
      <c r="O1517" s="8" t="s">
        <v>1106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331</v>
      </c>
      <c r="AB1517" s="8">
        <v>1</v>
      </c>
    </row>
  </sheetData>
  <autoFilter ref="A1:AB2" xr:uid="{00000000-0009-0000-0000-000005000000}"/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283</v>
      </c>
      <c r="B1" s="86" t="s">
        <v>284</v>
      </c>
      <c r="C1" s="86" t="s">
        <v>285</v>
      </c>
      <c r="D1" s="86" t="s">
        <v>286</v>
      </c>
      <c r="E1" s="86" t="s">
        <v>287</v>
      </c>
      <c r="F1" s="86" t="s">
        <v>288</v>
      </c>
      <c r="G1" s="86" t="s">
        <v>289</v>
      </c>
      <c r="H1" s="86" t="s">
        <v>290</v>
      </c>
      <c r="I1" s="86" t="s">
        <v>291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7" t="s">
        <v>2612</v>
      </c>
      <c r="AE1" s="7" t="s">
        <v>312</v>
      </c>
      <c r="AF1" s="7" t="s">
        <v>313</v>
      </c>
      <c r="AG1" s="7" t="s">
        <v>314</v>
      </c>
      <c r="AH1" s="7" t="s">
        <v>315</v>
      </c>
      <c r="AI1" s="7" t="s">
        <v>316</v>
      </c>
      <c r="AJ1" s="7" t="s">
        <v>317</v>
      </c>
      <c r="AK1" s="7" t="s">
        <v>318</v>
      </c>
      <c r="AL1" s="7" t="s">
        <v>319</v>
      </c>
    </row>
    <row r="2" spans="1:42" ht="21.6" customHeight="1">
      <c r="A2" s="8">
        <v>87</v>
      </c>
      <c r="B2" s="8" t="s">
        <v>321</v>
      </c>
      <c r="C2" s="8">
        <v>2025011806</v>
      </c>
      <c r="D2" s="8"/>
      <c r="E2" s="8"/>
      <c r="F2" s="8">
        <v>4983</v>
      </c>
      <c r="G2" s="8" t="s">
        <v>590</v>
      </c>
      <c r="H2" s="8" t="s">
        <v>395</v>
      </c>
      <c r="I2" s="8"/>
      <c r="J2" s="8"/>
      <c r="K2" s="8"/>
      <c r="L2" s="8"/>
      <c r="M2" s="9"/>
      <c r="N2" s="8"/>
      <c r="O2" s="9"/>
      <c r="P2" s="10"/>
      <c r="Q2" s="8" t="s">
        <v>591</v>
      </c>
      <c r="R2" s="8" t="s">
        <v>325</v>
      </c>
      <c r="S2" s="8" t="s">
        <v>139</v>
      </c>
      <c r="T2" s="8">
        <v>1</v>
      </c>
      <c r="U2" s="8" t="s">
        <v>326</v>
      </c>
      <c r="V2" s="8" t="s">
        <v>2613</v>
      </c>
      <c r="W2" s="8" t="s">
        <v>2614</v>
      </c>
      <c r="X2" s="103">
        <v>45670.677083333343</v>
      </c>
      <c r="Y2" s="8"/>
      <c r="Z2" s="8">
        <v>0.7</v>
      </c>
      <c r="AA2" s="8"/>
      <c r="AB2" s="8" t="s">
        <v>329</v>
      </c>
      <c r="AC2" s="81" t="s">
        <v>340</v>
      </c>
      <c r="AD2" s="140" t="s">
        <v>105</v>
      </c>
      <c r="AE2" s="8"/>
      <c r="AF2" s="8"/>
      <c r="AG2" s="8"/>
      <c r="AH2" s="8"/>
      <c r="AI2" s="8"/>
      <c r="AJ2" s="8"/>
      <c r="AK2" s="8" t="s">
        <v>331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321</v>
      </c>
      <c r="C3" s="11">
        <v>2025031532</v>
      </c>
      <c r="D3" s="11"/>
      <c r="E3" s="11"/>
      <c r="F3" s="11">
        <v>2221</v>
      </c>
      <c r="G3" s="11" t="s">
        <v>642</v>
      </c>
      <c r="H3" s="11" t="s">
        <v>395</v>
      </c>
      <c r="I3" s="11"/>
      <c r="J3" s="11"/>
      <c r="K3" s="11"/>
      <c r="L3" s="11"/>
      <c r="M3" s="12"/>
      <c r="N3" s="11"/>
      <c r="O3" s="12"/>
      <c r="P3" s="13"/>
      <c r="Q3" s="11" t="s">
        <v>643</v>
      </c>
      <c r="R3" s="11" t="s">
        <v>325</v>
      </c>
      <c r="S3" s="11" t="s">
        <v>139</v>
      </c>
      <c r="T3" s="11">
        <v>1</v>
      </c>
      <c r="U3" s="11" t="s">
        <v>326</v>
      </c>
      <c r="V3" s="11" t="s">
        <v>2615</v>
      </c>
      <c r="W3" s="11" t="s">
        <v>2616</v>
      </c>
      <c r="X3" s="138">
        <v>45728.498611111107</v>
      </c>
      <c r="Y3" s="11"/>
      <c r="Z3" s="11">
        <v>0.3</v>
      </c>
      <c r="AA3" s="11"/>
      <c r="AB3" s="11" t="s">
        <v>329</v>
      </c>
      <c r="AC3" s="13" t="s">
        <v>105</v>
      </c>
      <c r="AD3" s="168" t="s">
        <v>2617</v>
      </c>
      <c r="AE3" s="11"/>
      <c r="AF3" s="11"/>
      <c r="AG3" s="11"/>
      <c r="AH3" s="11"/>
      <c r="AI3" s="11"/>
      <c r="AJ3" s="11"/>
      <c r="AK3" s="11" t="s">
        <v>331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321</v>
      </c>
      <c r="C4" s="8">
        <v>2025041163</v>
      </c>
      <c r="D4" s="8"/>
      <c r="E4" s="8"/>
      <c r="F4" s="8">
        <v>3772</v>
      </c>
      <c r="G4" s="8" t="s">
        <v>539</v>
      </c>
      <c r="H4" s="8" t="s">
        <v>357</v>
      </c>
      <c r="I4" s="8"/>
      <c r="J4" s="8"/>
      <c r="K4" s="8"/>
      <c r="L4" s="8"/>
      <c r="M4" s="9"/>
      <c r="N4" s="8"/>
      <c r="O4" s="9"/>
      <c r="P4" s="10"/>
      <c r="Q4" s="8" t="s">
        <v>540</v>
      </c>
      <c r="R4" s="8" t="s">
        <v>325</v>
      </c>
      <c r="S4" s="8" t="s">
        <v>128</v>
      </c>
      <c r="T4" s="8">
        <v>1</v>
      </c>
      <c r="U4" s="8" t="s">
        <v>326</v>
      </c>
      <c r="V4" s="8" t="s">
        <v>2618</v>
      </c>
      <c r="W4" s="8" t="s">
        <v>2619</v>
      </c>
      <c r="X4" s="103">
        <v>45756.634027777778</v>
      </c>
      <c r="Y4" s="8"/>
      <c r="Z4" s="8">
        <v>0.3</v>
      </c>
      <c r="AA4" s="8"/>
      <c r="AB4" s="8" t="s">
        <v>329</v>
      </c>
      <c r="AC4" s="10"/>
      <c r="AD4" s="166" t="s">
        <v>2617</v>
      </c>
      <c r="AE4" s="8"/>
      <c r="AF4" s="8"/>
      <c r="AG4" s="8"/>
      <c r="AH4" s="8"/>
      <c r="AI4" s="8"/>
      <c r="AJ4" s="8"/>
      <c r="AK4" s="8" t="s">
        <v>331</v>
      </c>
      <c r="AL4" s="83" t="e">
        <f>DATEVALUE(TEXT(I4, "yyyy/mm/dd"))</f>
        <v>#VALUE!</v>
      </c>
      <c r="AM4" s="167" t="s">
        <v>2620</v>
      </c>
      <c r="AN4" s="442">
        <v>2025041163</v>
      </c>
      <c r="AO4" s="443"/>
      <c r="AP4" s="444"/>
    </row>
    <row r="5" spans="1:42" ht="21.6" customHeight="1">
      <c r="A5" s="8">
        <v>49</v>
      </c>
      <c r="B5" s="8" t="s">
        <v>362</v>
      </c>
      <c r="C5" s="8">
        <v>2025051401</v>
      </c>
      <c r="D5" s="8" t="s">
        <v>2621</v>
      </c>
      <c r="E5" s="8" t="s">
        <v>364</v>
      </c>
      <c r="F5" s="8">
        <v>5316</v>
      </c>
      <c r="G5" s="8" t="s">
        <v>254</v>
      </c>
      <c r="H5" s="8" t="s">
        <v>357</v>
      </c>
      <c r="I5" s="8" t="s">
        <v>2622</v>
      </c>
      <c r="J5" s="8" t="s">
        <v>444</v>
      </c>
      <c r="K5" s="8" t="s">
        <v>199</v>
      </c>
      <c r="L5" s="8" t="s">
        <v>2623</v>
      </c>
      <c r="M5" s="9" t="s">
        <v>2624</v>
      </c>
      <c r="N5" s="8">
        <v>3404</v>
      </c>
      <c r="O5" s="9" t="s">
        <v>2625</v>
      </c>
      <c r="P5" s="10" t="s">
        <v>2626</v>
      </c>
      <c r="Q5" s="8" t="s">
        <v>2627</v>
      </c>
      <c r="R5" s="8" t="s">
        <v>325</v>
      </c>
      <c r="S5" s="8" t="s">
        <v>128</v>
      </c>
      <c r="T5" s="8">
        <v>1</v>
      </c>
      <c r="U5" s="8" t="s">
        <v>326</v>
      </c>
      <c r="V5" s="8" t="s">
        <v>2628</v>
      </c>
      <c r="W5" s="8" t="s">
        <v>2629</v>
      </c>
      <c r="X5" s="103">
        <v>45786.517361111109</v>
      </c>
      <c r="Y5" s="8" t="s">
        <v>2630</v>
      </c>
      <c r="Z5" s="8">
        <v>0.5</v>
      </c>
      <c r="AA5" s="8"/>
      <c r="AB5" s="8" t="s">
        <v>329</v>
      </c>
      <c r="AC5" s="10" t="s">
        <v>2631</v>
      </c>
      <c r="AD5" s="81" t="s">
        <v>2632</v>
      </c>
      <c r="AE5" s="8"/>
      <c r="AF5" s="8"/>
      <c r="AG5" s="8"/>
      <c r="AH5" s="8"/>
      <c r="AI5" s="8"/>
      <c r="AJ5" s="8"/>
      <c r="AK5" s="8" t="s">
        <v>331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331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331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331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331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331</v>
      </c>
      <c r="AF10" s="11"/>
      <c r="AG10" s="11"/>
      <c r="AH10" s="11"/>
      <c r="AI10" s="11"/>
      <c r="AJ10" s="11"/>
      <c r="AK10" s="11" t="s">
        <v>331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2633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D9" sqref="D9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2640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13.73%</v>
      </c>
      <c r="K4" s="190">
        <f>IF(H4&lt;&gt;"",COUNTIF(H:H,"V"),"")</f>
        <v>14</v>
      </c>
      <c r="L4" s="190">
        <f>IF(H4&lt;&gt;"",I4-K4,"")</f>
        <v>88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46022</v>
      </c>
      <c r="N5" s="365" t="s">
        <v>128</v>
      </c>
      <c r="R5" s="207"/>
      <c r="S5" s="207"/>
      <c r="T5" s="171" t="s">
        <v>2641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2642</v>
      </c>
      <c r="L6" s="314" t="s">
        <v>2643</v>
      </c>
      <c r="M6" s="171" t="s">
        <v>2644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2375</v>
      </c>
      <c r="B7" s="131" t="str">
        <f>VLOOKUP(A7,門市主檔!A:B,2,FALSE)</f>
        <v>桃縣桃貿店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45902</v>
      </c>
      <c r="L7" s="131" t="str">
        <f>VLOOKUP(A7,'0919門市清單主檔'!B:V,21,FALSE)</f>
        <v>龜山區</v>
      </c>
      <c r="M7" t="str">
        <f>VLOOKUP(A7,門市主檔!A:B,2,FALSE)</f>
        <v>桃縣桃貿店</v>
      </c>
      <c r="Q7" s="130" t="s">
        <v>2645</v>
      </c>
      <c r="R7" s="135" t="s">
        <v>2646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2645</v>
      </c>
      <c r="R8" s="135" t="s">
        <v>2646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2645</v>
      </c>
      <c r="R9" s="135" t="s">
        <v>2646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2645</v>
      </c>
      <c r="R10" s="135" t="s">
        <v>2646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2645</v>
      </c>
      <c r="R11" s="130"/>
    </row>
    <row r="12" spans="1:31" ht="19.5" customHeight="1">
      <c r="A12" s="131">
        <v>3017</v>
      </c>
      <c r="B12" s="131" t="str">
        <f>VLOOKUP(A12,門市主檔!A:B,2,FALSE)</f>
        <v>龜山大同店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45895</v>
      </c>
      <c r="L12" s="131" t="str">
        <f>VLOOKUP(A12,'0919門市清單主檔'!B:V,21,FALSE)</f>
        <v>龜山區</v>
      </c>
      <c r="M12" t="str">
        <f>VLOOKUP(A12,門市主檔!A:B,2,FALSE)</f>
        <v>龜山大同店</v>
      </c>
      <c r="Q12" s="130" t="s">
        <v>2645</v>
      </c>
      <c r="R12" s="135" t="s">
        <v>2646</v>
      </c>
    </row>
    <row r="13" spans="1:31" ht="19.5" customHeight="1">
      <c r="A13" s="131">
        <v>3692</v>
      </c>
      <c r="B13" s="131" t="str">
        <f>VLOOKUP(A13,門市主檔!A:B,2,FALSE)</f>
        <v>龜山頂湖店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45882</v>
      </c>
      <c r="L13" s="131" t="str">
        <f>VLOOKUP(A13,'0919門市清單主檔'!B:V,21,FALSE)</f>
        <v>龜山區</v>
      </c>
      <c r="M13" t="str">
        <f>VLOOKUP(A13,門市主檔!A:B,2,FALSE)</f>
        <v>龜山頂湖店</v>
      </c>
      <c r="Q13" s="130"/>
      <c r="R13" s="135" t="s">
        <v>2646</v>
      </c>
    </row>
    <row r="14" spans="1:31" ht="19.5" customHeight="1">
      <c r="A14" s="131">
        <v>3749</v>
      </c>
      <c r="B14" s="131" t="str">
        <f>VLOOKUP(A14,門市主檔!A:B,2,FALSE)</f>
        <v>龜山長庚科大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45842</v>
      </c>
      <c r="L14" s="131" t="str">
        <f>VLOOKUP(A14,'0919門市清單主檔'!B:V,21,FALSE)</f>
        <v>龜山區</v>
      </c>
      <c r="M14" t="str">
        <f>VLOOKUP(A14,門市主檔!A:B,2,FALSE)</f>
        <v>龜山長庚科大</v>
      </c>
      <c r="Q14" s="130"/>
      <c r="R14" s="135" t="s">
        <v>2646</v>
      </c>
    </row>
    <row r="15" spans="1:31" ht="19.5" customHeight="1">
      <c r="A15" s="131">
        <v>4035</v>
      </c>
      <c r="B15" s="131" t="str">
        <f>VLOOKUP(A15,門市主檔!A:B,2,FALSE)</f>
        <v>龜山南上店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45884</v>
      </c>
      <c r="L15" s="131" t="str">
        <f>VLOOKUP(A15,'0919門市清單主檔'!B:V,21,FALSE)</f>
        <v>龜山區</v>
      </c>
      <c r="M15" t="str">
        <f>VLOOKUP(A15,門市主檔!A:B,2,FALSE)</f>
        <v>龜山南上店</v>
      </c>
      <c r="Q15" s="130"/>
      <c r="R15" s="135" t="s">
        <v>2646</v>
      </c>
    </row>
    <row r="16" spans="1:31" ht="19.5" customHeight="1">
      <c r="A16" s="131">
        <v>4197</v>
      </c>
      <c r="B16" s="131" t="str">
        <f>VLOOKUP(A16,門市主檔!A:B,2,FALSE)</f>
        <v>龜山崇優店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45840</v>
      </c>
      <c r="L16" s="131" t="str">
        <f>VLOOKUP(A16,'0919門市清單主檔'!B:V,21,FALSE)</f>
        <v>龜山區</v>
      </c>
      <c r="M16" t="str">
        <f>VLOOKUP(A16,門市主檔!A:B,2,FALSE)</f>
        <v>龜山崇優店</v>
      </c>
      <c r="Q16" s="130"/>
      <c r="R16" s="135" t="s">
        <v>2646</v>
      </c>
    </row>
    <row r="17" spans="1:18" ht="19.5" customHeight="1">
      <c r="A17" s="131">
        <v>4503</v>
      </c>
      <c r="B17" s="131" t="str">
        <f>VLOOKUP(A17,門市主檔!A:B,2,FALSE)</f>
        <v>龜山復恆店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龜山區</v>
      </c>
      <c r="M17" t="str">
        <f>VLOOKUP(A17,門市主檔!A:B,2,FALSE)</f>
        <v>龜山復恆店</v>
      </c>
      <c r="Q17" s="130" t="s">
        <v>2645</v>
      </c>
      <c r="R17" s="135" t="s">
        <v>2646</v>
      </c>
    </row>
    <row r="18" spans="1:18" ht="19.5" customHeight="1">
      <c r="A18" s="131">
        <v>4629</v>
      </c>
      <c r="B18" s="131" t="str">
        <f>VLOOKUP(A18,門市主檔!A:B,2,FALSE)</f>
        <v>龜山警大店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蘆竹區</v>
      </c>
      <c r="M18" t="str">
        <f>VLOOKUP(A18,門市主檔!A:B,2,FALSE)</f>
        <v>龜山警大店</v>
      </c>
      <c r="Q18" s="130"/>
      <c r="R18" s="135" t="s">
        <v>2646</v>
      </c>
    </row>
    <row r="19" spans="1:18" ht="19.5" customHeight="1">
      <c r="A19" s="131">
        <v>4690</v>
      </c>
      <c r="B19" s="131" t="str">
        <f>VLOOKUP(A19,門市主檔!A:B,2,FALSE)</f>
        <v>龜山同福店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45854</v>
      </c>
      <c r="L19" s="131" t="str">
        <f>VLOOKUP(A19,'0919門市清單主檔'!B:V,21,FALSE)</f>
        <v>蘆竹區</v>
      </c>
      <c r="M19" t="str">
        <f>VLOOKUP(A19,門市主檔!A:B,2,FALSE)</f>
        <v>龜山同福店</v>
      </c>
      <c r="Q19" s="130" t="s">
        <v>2645</v>
      </c>
      <c r="R19" s="135" t="s">
        <v>2646</v>
      </c>
    </row>
    <row r="20" spans="1:18" ht="19.5" customHeight="1">
      <c r="A20" s="131">
        <v>4825</v>
      </c>
      <c r="B20" s="131" t="str">
        <f>VLOOKUP(A20,門市主檔!A:B,2,FALSE)</f>
        <v>龜山兔子坑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45924</v>
      </c>
      <c r="L20" s="131" t="str">
        <f>VLOOKUP(A20,'0919門市清單主檔'!B:V,21,FALSE)</f>
        <v>蘆竹區</v>
      </c>
      <c r="M20" t="str">
        <f>VLOOKUP(A20,門市主檔!A:B,2,FALSE)</f>
        <v>龜山兔子坑</v>
      </c>
      <c r="Q20" s="130" t="s">
        <v>2645</v>
      </c>
      <c r="R20" s="135" t="s">
        <v>2646</v>
      </c>
    </row>
    <row r="21" spans="1:18" ht="19.5" customHeight="1">
      <c r="A21" s="131">
        <v>4902</v>
      </c>
      <c r="B21" s="131" t="str">
        <f>VLOOKUP(A21,門市主檔!A:B,2,FALSE)</f>
        <v>龜山玄武店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45912</v>
      </c>
      <c r="L21" s="131" t="str">
        <f>VLOOKUP(A21,'0919門市清單主檔'!B:V,21,FALSE)</f>
        <v>蘆竹區</v>
      </c>
      <c r="M21" t="str">
        <f>VLOOKUP(A21,門市主檔!A:B,2,FALSE)</f>
        <v>龜山玄武店</v>
      </c>
      <c r="Q21" s="130" t="s">
        <v>2645</v>
      </c>
      <c r="R21" s="135" t="s">
        <v>2646</v>
      </c>
    </row>
    <row r="22" spans="1:18" ht="19.5" customHeight="1">
      <c r="A22" s="131">
        <v>4933</v>
      </c>
      <c r="B22" s="131" t="str">
        <f>VLOOKUP(A22,門市主檔!A:B,2,FALSE)</f>
        <v>龜山連莊店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45901</v>
      </c>
      <c r="L22" s="131" t="str">
        <f>VLOOKUP(A22,'0919門市清單主檔'!B:V,21,FALSE)</f>
        <v>蘆竹區</v>
      </c>
      <c r="M22" t="str">
        <f>VLOOKUP(A22,門市主檔!A:B,2,FALSE)</f>
        <v>龜山連莊店</v>
      </c>
      <c r="Q22" s="130"/>
      <c r="R22" s="135" t="s">
        <v>2646</v>
      </c>
    </row>
    <row r="23" spans="1:18" ht="19.5" customHeight="1">
      <c r="A23" s="131">
        <v>4981</v>
      </c>
      <c r="B23" s="131" t="str">
        <f>VLOOKUP(A23,門市主檔!A:B,2,FALSE)</f>
        <v>龜山樂學店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-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45895</v>
      </c>
      <c r="L23" s="131" t="str">
        <f>VLOOKUP(A23,'0919門市清單主檔'!B:V,21,FALSE)</f>
        <v>蘆竹區</v>
      </c>
      <c r="M23" t="str">
        <f>VLOOKUP(A23,門市主檔!A:B,2,FALSE)</f>
        <v>龜山樂學店</v>
      </c>
      <c r="Q23" s="130" t="s">
        <v>2645</v>
      </c>
      <c r="R23" s="135" t="s">
        <v>2646</v>
      </c>
    </row>
    <row r="24" spans="1:18" ht="19.5" customHeight="1">
      <c r="A24" s="131">
        <v>5016</v>
      </c>
      <c r="B24" s="131" t="str">
        <f>VLOOKUP(A24,門市主檔!A:B,2,FALSE)</f>
        <v>龜山樂善店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45891</v>
      </c>
      <c r="L24" s="131" t="str">
        <f>VLOOKUP(A24,'0919門市清單主檔'!B:V,21,FALSE)</f>
        <v>蘆竹區</v>
      </c>
      <c r="M24" t="str">
        <f>VLOOKUP(A24,門市主檔!A:B,2,FALSE)</f>
        <v>龜山樂善店</v>
      </c>
      <c r="Q24" s="130" t="s">
        <v>2645</v>
      </c>
      <c r="R24" s="135" t="s">
        <v>2646</v>
      </c>
    </row>
    <row r="25" spans="1:18" ht="19.5" customHeight="1">
      <c r="A25" s="131">
        <v>5031</v>
      </c>
      <c r="B25" s="131" t="str">
        <f>VLOOKUP(A25,門市主檔!A:B,2,FALSE)</f>
        <v>龜山文化七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45887</v>
      </c>
      <c r="L25" s="131" t="str">
        <f>VLOOKUP(A25,'0919門市清單主檔'!B:V,21,FALSE)</f>
        <v>蘆竹區</v>
      </c>
      <c r="M25" t="str">
        <f>VLOOKUP(A25,門市主檔!A:B,2,FALSE)</f>
        <v>龜山文化七</v>
      </c>
      <c r="Q25" s="130" t="s">
        <v>2645</v>
      </c>
      <c r="R25" s="135" t="s">
        <v>2646</v>
      </c>
    </row>
    <row r="26" spans="1:18" ht="19.5" customHeight="1">
      <c r="A26" s="131">
        <v>5075</v>
      </c>
      <c r="B26" s="131" t="str">
        <f>VLOOKUP(A26,門市主檔!A:B,2,FALSE)</f>
        <v>龜山復興店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45884</v>
      </c>
      <c r="L26" s="131" t="str">
        <f>VLOOKUP(A26,'0919門市清單主檔'!B:V,21,FALSE)</f>
        <v>蘆竹區</v>
      </c>
      <c r="M26" t="str">
        <f>VLOOKUP(A26,門市主檔!A:B,2,FALSE)</f>
        <v>龜山復興店</v>
      </c>
      <c r="Q26" s="130"/>
      <c r="R26" s="135" t="s">
        <v>2646</v>
      </c>
    </row>
    <row r="27" spans="1:18" ht="19.5" customHeight="1">
      <c r="A27" s="131">
        <v>5162</v>
      </c>
      <c r="B27" s="131" t="str">
        <f>VLOOKUP(A27,門市主檔!A:B,2,FALSE)</f>
        <v>龜山茶專店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龜山茶專店</v>
      </c>
      <c r="Q27" s="130" t="s">
        <v>2645</v>
      </c>
      <c r="R27" s="135" t="s">
        <v>2646</v>
      </c>
    </row>
    <row r="28" spans="1:18" ht="19.5" customHeight="1">
      <c r="A28" s="131">
        <v>5178</v>
      </c>
      <c r="B28" s="131" t="str">
        <f>VLOOKUP(A28,門市主檔!A:B,2,FALSE)</f>
        <v>龜山茶專二店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45882</v>
      </c>
      <c r="L28" s="131" t="str">
        <f>VLOOKUP(A28,'0919門市清單主檔'!B:V,21,FALSE)</f>
        <v>蘆竹區</v>
      </c>
      <c r="M28" t="str">
        <f>VLOOKUP(A28,門市主檔!A:B,2,FALSE)</f>
        <v>龜山茶專二店</v>
      </c>
      <c r="Q28" s="130"/>
      <c r="R28" s="135" t="s">
        <v>2646</v>
      </c>
    </row>
    <row r="29" spans="1:18" ht="19.5" customHeight="1">
      <c r="A29" s="131">
        <v>5248</v>
      </c>
      <c r="B29" s="131" t="str">
        <f>VLOOKUP(A29,門市主檔!A:B,2,FALSE)</f>
        <v>龜山慧敏店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龜山慧敏店</v>
      </c>
      <c r="Q29" s="130" t="s">
        <v>2645</v>
      </c>
      <c r="R29" s="135" t="s">
        <v>2646</v>
      </c>
    </row>
    <row r="30" spans="1:18" ht="19.5" customHeight="1">
      <c r="A30" s="131">
        <v>5251</v>
      </c>
      <c r="B30" s="131" t="str">
        <f>VLOOKUP(A30,門市主檔!A:B,2,FALSE)</f>
        <v>龜山明德樓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45881</v>
      </c>
      <c r="L30" s="131" t="str">
        <f>VLOOKUP(A30,'0919門市清單主檔'!B:V,21,FALSE)</f>
        <v>蘆竹區</v>
      </c>
      <c r="M30" t="str">
        <f>VLOOKUP(A30,門市主檔!A:B,2,FALSE)</f>
        <v>龜山明德樓</v>
      </c>
      <c r="Q30" s="130" t="s">
        <v>2645</v>
      </c>
      <c r="R30" s="135" t="s">
        <v>2646</v>
      </c>
    </row>
    <row r="31" spans="1:18" ht="19.5" customHeight="1">
      <c r="A31" s="131">
        <v>5402</v>
      </c>
      <c r="B31" s="131" t="str">
        <f>VLOOKUP(A31,門市主檔!A:B,2,FALSE)</f>
        <v>龜山A8站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45854</v>
      </c>
      <c r="L31" s="131" t="str">
        <f>VLOOKUP(A31,'0919門市清單主檔'!B:V,21,FALSE)</f>
        <v>蘆竹區</v>
      </c>
      <c r="M31" t="str">
        <f>VLOOKUP(A31,門市主檔!A:B,2,FALSE)</f>
        <v>龜山A8站</v>
      </c>
      <c r="Q31" s="130" t="s">
        <v>2645</v>
      </c>
      <c r="R31" s="135" t="s">
        <v>2646</v>
      </c>
    </row>
    <row r="32" spans="1:18" ht="19.5" customHeight="1">
      <c r="A32" s="131">
        <v>5465</v>
      </c>
      <c r="B32" s="131" t="str">
        <f>VLOOKUP(A32,門市主檔!A:B,2,FALSE)</f>
        <v>龜山庚勤樓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龜山庚勤樓</v>
      </c>
      <c r="Q32" s="130" t="s">
        <v>2645</v>
      </c>
      <c r="R32" s="135" t="s">
        <v>2646</v>
      </c>
    </row>
    <row r="33" spans="1:18" ht="19.5" customHeight="1">
      <c r="A33" s="131" t="s">
        <v>82</v>
      </c>
      <c r="B33" s="131" t="str">
        <f>VLOOKUP(A33,門市主檔!A:B,2,FALSE)</f>
        <v>田倉復興店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45852</v>
      </c>
      <c r="L33" s="131" t="str">
        <f>VLOOKUP(A33,'0919門市清單主檔'!B:V,21,FALSE)</f>
        <v>蘆竹區</v>
      </c>
      <c r="M33" t="str">
        <f>VLOOKUP(A33,門市主檔!A:B,2,FALSE)</f>
        <v>田倉復興店</v>
      </c>
      <c r="Q33" s="130" t="s">
        <v>2645</v>
      </c>
      <c r="R33" s="135" t="s">
        <v>2646</v>
      </c>
    </row>
    <row r="34" spans="1:18" ht="19.5" customHeight="1">
      <c r="A34" s="131" t="s">
        <v>83</v>
      </c>
      <c r="B34" s="131" t="str">
        <f>VLOOKUP(A34,門市主檔!A:B,2,FALSE)</f>
        <v>田倉文興店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田倉文興店</v>
      </c>
      <c r="Q34" s="130" t="s">
        <v>2645</v>
      </c>
      <c r="R34" s="135" t="s">
        <v>2646</v>
      </c>
    </row>
    <row r="35" spans="1:18" ht="19.5" customHeight="1">
      <c r="A35" s="131">
        <v>2201</v>
      </c>
      <c r="B35" s="131" t="str">
        <f>VLOOKUP(A35,門市主檔!A:B,2,FALSE)</f>
        <v>桃縣內溪店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龜山區</v>
      </c>
      <c r="M35" t="str">
        <f>VLOOKUP(A35,門市主檔!A:B,2,FALSE)</f>
        <v>桃縣內溪店</v>
      </c>
      <c r="Q35" s="130"/>
      <c r="R35" s="135" t="s">
        <v>2646</v>
      </c>
    </row>
    <row r="36" spans="1:18" ht="21.6" customHeight="1">
      <c r="A36" s="131">
        <v>2255</v>
      </c>
      <c r="B36" s="131" t="str">
        <f>VLOOKUP(A36,門市主檔!A:B,2,FALSE)</f>
        <v>蘆竹六福店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蘆竹六福店</v>
      </c>
      <c r="Q36" s="130" t="s">
        <v>2645</v>
      </c>
      <c r="R36" s="135" t="s">
        <v>2646</v>
      </c>
    </row>
    <row r="37" spans="1:18" ht="21.6" customHeight="1">
      <c r="A37" s="131">
        <v>2315</v>
      </c>
      <c r="B37" s="131" t="str">
        <f>VLOOKUP(A37,門市主檔!A:B,2,FALSE)</f>
        <v>蘆竹坑口店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45880</v>
      </c>
      <c r="L37" s="131" t="str">
        <f>VLOOKUP(A37,'0919門市清單主檔'!B:V,21,FALSE)</f>
        <v>龜山區</v>
      </c>
      <c r="M37" t="str">
        <f>VLOOKUP(A37,門市主檔!A:B,2,FALSE)</f>
        <v>蘆竹坑口店</v>
      </c>
      <c r="Q37" s="130"/>
      <c r="R37" s="135" t="s">
        <v>2646</v>
      </c>
    </row>
    <row r="38" spans="1:18" ht="21.6" customHeight="1">
      <c r="A38" s="131">
        <v>2322</v>
      </c>
      <c r="B38" s="131" t="str">
        <f>VLOOKUP(A38,門市主檔!A:B,2,FALSE)</f>
        <v>蘆竹大華店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龜山區</v>
      </c>
      <c r="M38" t="str">
        <f>VLOOKUP(A38,門市主檔!A:B,2,FALSE)</f>
        <v>蘆竹大華店</v>
      </c>
      <c r="Q38" s="130" t="s">
        <v>2645</v>
      </c>
      <c r="R38" s="135" t="s">
        <v>2646</v>
      </c>
    </row>
    <row r="39" spans="1:18" ht="21.6" customHeight="1">
      <c r="A39" s="131">
        <v>2401</v>
      </c>
      <c r="B39" s="131" t="str">
        <f>VLOOKUP(A39,門市主檔!A:B,2,FALSE)</f>
        <v>蘆竹南工店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45866</v>
      </c>
      <c r="L39" s="131" t="str">
        <f>VLOOKUP(A39,'0919門市清單主檔'!B:V,21,FALSE)</f>
        <v>龜山區</v>
      </c>
      <c r="M39" t="str">
        <f>VLOOKUP(A39,門市主檔!A:B,2,FALSE)</f>
        <v>蘆竹南工店</v>
      </c>
      <c r="Q39" s="130" t="s">
        <v>2645</v>
      </c>
      <c r="R39" s="135" t="s">
        <v>2646</v>
      </c>
    </row>
    <row r="40" spans="1:18" ht="21.6" customHeight="1">
      <c r="A40" s="131">
        <v>2482</v>
      </c>
      <c r="B40" s="131" t="str">
        <f>VLOOKUP(A40,門市主檔!A:B,2,FALSE)</f>
        <v>蘆竹光明店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45841</v>
      </c>
      <c r="L40" s="131" t="str">
        <f>VLOOKUP(A40,'0919門市清單主檔'!B:V,21,FALSE)</f>
        <v>龜山區</v>
      </c>
      <c r="M40" t="str">
        <f>VLOOKUP(A40,門市主檔!A:B,2,FALSE)</f>
        <v>蘆竹光明店</v>
      </c>
      <c r="Q40" s="130" t="s">
        <v>2645</v>
      </c>
      <c r="R40" s="135" t="s">
        <v>2646</v>
      </c>
    </row>
    <row r="41" spans="1:18" ht="21.6" customHeight="1">
      <c r="A41" s="131">
        <v>2501</v>
      </c>
      <c r="B41" s="131" t="str">
        <f>VLOOKUP(A41,門市主檔!A:B,2,FALSE)</f>
        <v>蘆竹南山店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蘆竹南山店</v>
      </c>
      <c r="Q41" s="130" t="s">
        <v>2645</v>
      </c>
      <c r="R41" s="135" t="s">
        <v>2646</v>
      </c>
    </row>
    <row r="42" spans="1:18" ht="21.6" customHeight="1">
      <c r="A42" s="131">
        <v>2540</v>
      </c>
      <c r="B42" s="131" t="str">
        <f>VLOOKUP(A42,門市主檔!A:B,2,FALSE)</f>
        <v>蘆竹坑子口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蘆竹坑子口</v>
      </c>
      <c r="Q42" s="130" t="s">
        <v>2645</v>
      </c>
      <c r="R42" s="135" t="s">
        <v>2646</v>
      </c>
    </row>
    <row r="43" spans="1:18" ht="21.6" customHeight="1">
      <c r="A43" s="131">
        <v>2566</v>
      </c>
      <c r="B43" s="131" t="str">
        <f>VLOOKUP(A43,門市主檔!A:B,2,FALSE)</f>
        <v>桃縣桃旺店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-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45861</v>
      </c>
      <c r="L43" s="131" t="str">
        <f>VLOOKUP(A43,'0919門市清單主檔'!B:V,21,FALSE)</f>
        <v>龜山區</v>
      </c>
      <c r="M43" t="str">
        <f>VLOOKUP(A43,門市主檔!A:B,2,FALSE)</f>
        <v>桃縣桃旺店</v>
      </c>
      <c r="Q43" s="130"/>
      <c r="R43" s="135" t="s">
        <v>2646</v>
      </c>
    </row>
    <row r="44" spans="1:18" ht="21.6" customHeight="1">
      <c r="A44" s="131">
        <v>2620</v>
      </c>
      <c r="B44" s="131" t="str">
        <f>VLOOKUP(A44,門市主檔!A:B,2,FALSE)</f>
        <v>桃縣桃科店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45842</v>
      </c>
      <c r="L44" s="131" t="str">
        <f>VLOOKUP(A44,'0919門市清單主檔'!B:V,21,FALSE)</f>
        <v>龜山區</v>
      </c>
      <c r="M44" t="str">
        <f>VLOOKUP(A44,門市主檔!A:B,2,FALSE)</f>
        <v>桃縣桃科店</v>
      </c>
      <c r="Q44" s="130" t="s">
        <v>2645</v>
      </c>
      <c r="R44" s="135" t="s">
        <v>2646</v>
      </c>
    </row>
    <row r="45" spans="1:18" ht="21.6" customHeight="1">
      <c r="A45" s="131">
        <v>2622</v>
      </c>
      <c r="B45" s="131" t="str">
        <f>VLOOKUP(A45,門市主檔!A:B,2,FALSE)</f>
        <v>蘆竹君悅店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-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45902</v>
      </c>
      <c r="L45" s="131" t="str">
        <f>VLOOKUP(A45,'0919門市清單主檔'!B:V,21,FALSE)</f>
        <v>龜山區</v>
      </c>
      <c r="M45" t="str">
        <f>VLOOKUP(A45,門市主檔!A:B,2,FALSE)</f>
        <v>蘆竹君悅店</v>
      </c>
      <c r="Q45" s="130" t="s">
        <v>2645</v>
      </c>
      <c r="R45" s="130"/>
    </row>
    <row r="46" spans="1:18" ht="21.6" customHeight="1">
      <c r="A46" s="131">
        <v>2988</v>
      </c>
      <c r="B46" s="131" t="str">
        <f>VLOOKUP(A46,門市主檔!A:B,2,FALSE)</f>
        <v>蘆竹蘆興店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45846</v>
      </c>
      <c r="L46" s="131" t="str">
        <f>VLOOKUP(A46,'0919門市清單主檔'!B:V,21,FALSE)</f>
        <v>龜山區</v>
      </c>
      <c r="M46" t="str">
        <f>VLOOKUP(A46,門市主檔!A:B,2,FALSE)</f>
        <v>蘆竹蘆興店</v>
      </c>
      <c r="Q46" s="130" t="s">
        <v>2645</v>
      </c>
      <c r="R46" s="130"/>
    </row>
    <row r="47" spans="1:18" ht="21.6" customHeight="1">
      <c r="A47" s="131">
        <v>3045</v>
      </c>
      <c r="B47" s="131" t="str">
        <f>VLOOKUP(A47,門市主檔!A:B,2,FALSE)</f>
        <v>桃縣桃楚店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45923</v>
      </c>
      <c r="L47" s="131" t="str">
        <f>VLOOKUP(A47,'0919門市清單主檔'!B:V,21,FALSE)</f>
        <v>龜山區</v>
      </c>
      <c r="M47" t="str">
        <f>VLOOKUP(A47,門市主檔!A:B,2,FALSE)</f>
        <v>桃縣桃楚店</v>
      </c>
      <c r="Q47" s="130" t="s">
        <v>2645</v>
      </c>
      <c r="R47" s="130"/>
    </row>
    <row r="48" spans="1:18" ht="21.6" customHeight="1">
      <c r="A48" s="131">
        <v>3556</v>
      </c>
      <c r="B48" s="131" t="str">
        <f>VLOOKUP(A48,門市主檔!A:B,2,FALSE)</f>
        <v>桃縣蘆華店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45860</v>
      </c>
      <c r="L48" s="131" t="str">
        <f>VLOOKUP(A48,'0919門市清單主檔'!B:V,21,FALSE)</f>
        <v>龜山區</v>
      </c>
      <c r="M48" t="str">
        <f>VLOOKUP(A48,門市主檔!A:B,2,FALSE)</f>
        <v>桃縣蘆華店</v>
      </c>
      <c r="Q48" s="130" t="s">
        <v>2645</v>
      </c>
      <c r="R48" s="135" t="s">
        <v>2646</v>
      </c>
    </row>
    <row r="49" spans="1:18" ht="21.6" customHeight="1">
      <c r="A49" s="131">
        <v>3880</v>
      </c>
      <c r="B49" s="131" t="str">
        <f>VLOOKUP(A49,門市主檔!A:B,2,FALSE)</f>
        <v>桃縣富竹店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桃縣富竹店</v>
      </c>
      <c r="Q49" s="130" t="s">
        <v>2645</v>
      </c>
      <c r="R49" s="135" t="s">
        <v>2646</v>
      </c>
    </row>
    <row r="50" spans="1:18" ht="21.6" customHeight="1">
      <c r="A50" s="131">
        <v>3881</v>
      </c>
      <c r="B50" s="131" t="str">
        <f>VLOOKUP(A50,門市主檔!A:B,2,FALSE)</f>
        <v>蘆竹蘆東店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蘆竹蘆東店</v>
      </c>
      <c r="Q50" s="130"/>
      <c r="R50" s="135" t="s">
        <v>2646</v>
      </c>
    </row>
    <row r="51" spans="1:18" ht="21.6" customHeight="1">
      <c r="A51" s="131">
        <v>4272</v>
      </c>
      <c r="B51" s="131" t="str">
        <f>VLOOKUP(A51,門市主檔!A:B,2,FALSE)</f>
        <v>蘆竹南福店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45854</v>
      </c>
      <c r="L51" s="131" t="str">
        <f>VLOOKUP(A51,'0919門市清單主檔'!B:V,21,FALSE)</f>
        <v>龜山區</v>
      </c>
      <c r="M51" t="str">
        <f>VLOOKUP(A51,門市主檔!A:B,2,FALSE)</f>
        <v>蘆竹南福店</v>
      </c>
      <c r="Q51" s="130"/>
      <c r="R51" s="135" t="s">
        <v>2646</v>
      </c>
    </row>
    <row r="52" spans="1:18" ht="21.6" customHeight="1">
      <c r="A52" s="131">
        <v>4289</v>
      </c>
      <c r="B52" s="131" t="str">
        <f>VLOOKUP(A52,門市主檔!A:B,2,FALSE)</f>
        <v>蘆竹六股埤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45840</v>
      </c>
      <c r="L52" s="131" t="str">
        <f>VLOOKUP(A52,'0919門市清單主檔'!B:V,21,FALSE)</f>
        <v>龜山區</v>
      </c>
      <c r="M52" t="str">
        <f>VLOOKUP(A52,門市主檔!A:B,2,FALSE)</f>
        <v>蘆竹六股埤</v>
      </c>
      <c r="Q52" s="130" t="s">
        <v>2645</v>
      </c>
      <c r="R52" s="135" t="s">
        <v>2646</v>
      </c>
    </row>
    <row r="53" spans="1:18" ht="21.6" customHeight="1">
      <c r="A53" s="131">
        <v>4342</v>
      </c>
      <c r="B53" s="131" t="str">
        <f>VLOOKUP(A53,門市主檔!A:B,2,FALSE)</f>
        <v>蘆竹南崁店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蘆竹南崁店</v>
      </c>
      <c r="Q53" s="130" t="s">
        <v>2645</v>
      </c>
      <c r="R53" s="135" t="s">
        <v>2646</v>
      </c>
    </row>
    <row r="54" spans="1:18" ht="21.6" customHeight="1">
      <c r="A54" s="131">
        <v>4456</v>
      </c>
      <c r="B54" s="131" t="str">
        <f>VLOOKUP(A54,門市主檔!A:B,2,FALSE)</f>
        <v>蘆竹華麗店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-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蘆竹華麗店</v>
      </c>
      <c r="Q54" s="130" t="s">
        <v>2645</v>
      </c>
      <c r="R54" s="135" t="s">
        <v>2646</v>
      </c>
    </row>
    <row r="55" spans="1:18" ht="21.6" customHeight="1">
      <c r="A55" s="131">
        <v>4572</v>
      </c>
      <c r="B55" s="131" t="str">
        <f>VLOOKUP(A55,門市主檔!A:B,2,FALSE)</f>
        <v>蘆竹海湖店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龜山區</v>
      </c>
      <c r="M55" t="str">
        <f>VLOOKUP(A55,門市主檔!A:B,2,FALSE)</f>
        <v>蘆竹海湖店</v>
      </c>
      <c r="Q55" s="130" t="s">
        <v>2645</v>
      </c>
      <c r="R55" s="135" t="s">
        <v>2646</v>
      </c>
    </row>
    <row r="56" spans="1:18" ht="21.6" customHeight="1">
      <c r="A56" s="131">
        <v>4601</v>
      </c>
      <c r="B56" s="131" t="str">
        <f>VLOOKUP(A56,門市主檔!A:B,2,FALSE)</f>
        <v>蘆竹領航店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45866</v>
      </c>
      <c r="L56" s="131" t="str">
        <f>VLOOKUP(A56,'0919門市清單主檔'!B:V,21,FALSE)</f>
        <v>龜山區</v>
      </c>
      <c r="M56" t="str">
        <f>VLOOKUP(A56,門市主檔!A:B,2,FALSE)</f>
        <v>蘆竹領航店</v>
      </c>
      <c r="Q56" s="130"/>
      <c r="R56" s="135" t="s">
        <v>2646</v>
      </c>
    </row>
    <row r="57" spans="1:18" ht="21.6" customHeight="1">
      <c r="A57" s="131">
        <v>4673</v>
      </c>
      <c r="B57" s="131" t="str">
        <f>VLOOKUP(A57,門市主檔!A:B,2,FALSE)</f>
        <v>蘆竹海山店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45887</v>
      </c>
      <c r="L57" s="131" t="str">
        <f>VLOOKUP(A57,'0919門市清單主檔'!B:V,21,FALSE)</f>
        <v>蘆竹區</v>
      </c>
      <c r="M57" t="str">
        <f>VLOOKUP(A57,門市主檔!A:B,2,FALSE)</f>
        <v>蘆竹海山店</v>
      </c>
      <c r="Q57" s="130" t="s">
        <v>2645</v>
      </c>
      <c r="R57" s="135" t="s">
        <v>2646</v>
      </c>
    </row>
    <row r="58" spans="1:18" ht="21.6" customHeight="1">
      <c r="A58" s="131">
        <v>4852</v>
      </c>
      <c r="B58" s="131" t="str">
        <f>VLOOKUP(A58,門市主檔!A:B,2,FALSE)</f>
        <v>蘆竹福祿店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45867</v>
      </c>
      <c r="L58" s="131" t="str">
        <f>VLOOKUP(A58,'0919門市清單主檔'!B:V,21,FALSE)</f>
        <v>蘆竹區</v>
      </c>
      <c r="M58" t="str">
        <f>VLOOKUP(A58,門市主檔!A:B,2,FALSE)</f>
        <v>蘆竹福祿店</v>
      </c>
      <c r="Q58" s="130" t="s">
        <v>2645</v>
      </c>
      <c r="R58" s="135" t="s">
        <v>2646</v>
      </c>
    </row>
    <row r="59" spans="1:18" ht="21.6" customHeight="1">
      <c r="A59" s="131">
        <v>5110</v>
      </c>
      <c r="B59" s="131" t="str">
        <f>VLOOKUP(A59,門市主檔!A:B,2,FALSE)</f>
        <v>蘆竹龍安店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蘆竹龍安店</v>
      </c>
      <c r="Q59" s="130"/>
      <c r="R59" s="135" t="s">
        <v>2646</v>
      </c>
    </row>
    <row r="60" spans="1:18" ht="21.6" customHeight="1">
      <c r="A60" s="131">
        <v>5357</v>
      </c>
      <c r="B60" s="131" t="str">
        <f>VLOOKUP(A60,門市主檔!A:B,2,FALSE)</f>
        <v>蘆竹南山北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蘆竹南山北</v>
      </c>
      <c r="Q60" s="130"/>
      <c r="R60" s="135" t="s">
        <v>2646</v>
      </c>
    </row>
    <row r="61" spans="1:18" ht="21.6" customHeight="1">
      <c r="A61" s="131">
        <v>5368</v>
      </c>
      <c r="B61" s="131" t="str">
        <f>VLOOKUP(A61,門市主檔!A:B,2,FALSE)</f>
        <v>蘆竹山鼻店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-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45895</v>
      </c>
      <c r="L61" s="131" t="str">
        <f>VLOOKUP(A61,'0919門市清單主檔'!B:V,21,FALSE)</f>
        <v>蘆竹區</v>
      </c>
      <c r="M61" t="str">
        <f>VLOOKUP(A61,門市主檔!A:B,2,FALSE)</f>
        <v>蘆竹山鼻店</v>
      </c>
      <c r="Q61" s="130" t="s">
        <v>2645</v>
      </c>
      <c r="R61" s="135" t="s">
        <v>2646</v>
      </c>
    </row>
    <row r="62" spans="1:18" ht="21.6" customHeight="1">
      <c r="A62" s="131" t="s">
        <v>84</v>
      </c>
      <c r="B62" s="131" t="str">
        <f>VLOOKUP(A62,門市主檔!A:B,2,FALSE)</f>
        <v>蘆竹南華店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45890</v>
      </c>
      <c r="L62" s="131" t="str">
        <f>VLOOKUP(A62,'0919門市清單主檔'!B:V,21,FALSE)</f>
        <v>蘆竹區</v>
      </c>
      <c r="M62" t="str">
        <f>VLOOKUP(A62,門市主檔!A:B,2,FALSE)</f>
        <v>蘆竹南華店</v>
      </c>
      <c r="Q62" s="130" t="s">
        <v>2645</v>
      </c>
      <c r="R62" s="135" t="s">
        <v>2646</v>
      </c>
    </row>
    <row r="63" spans="1:18" ht="21.6" customHeight="1">
      <c r="A63" s="131" t="s">
        <v>86</v>
      </c>
      <c r="B63" s="131" t="str">
        <f>VLOOKUP(A63,門市主檔!A:B,2,FALSE)</f>
        <v>蘆竹揚耀店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-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45848</v>
      </c>
      <c r="L63" s="131" t="str">
        <f>VLOOKUP(A63,'0919門市清單主檔'!B:V,21,FALSE)</f>
        <v>蘆竹區</v>
      </c>
      <c r="M63" t="str">
        <f>VLOOKUP(A63,門市主檔!A:B,2,FALSE)</f>
        <v>蘆竹揚耀店</v>
      </c>
      <c r="Q63" s="130"/>
      <c r="R63" s="135" t="s">
        <v>2646</v>
      </c>
    </row>
    <row r="64" spans="1:18" ht="21.6" customHeight="1">
      <c r="A64" s="131" t="s">
        <v>87</v>
      </c>
      <c r="B64" s="131" t="str">
        <f>VLOOKUP(A64,門市主檔!A:B,2,FALSE)</f>
        <v>匯躍蘆竹店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匯躍蘆竹店</v>
      </c>
      <c r="Q64" s="130"/>
      <c r="R64" s="135" t="s">
        <v>2646</v>
      </c>
    </row>
    <row r="65" spans="1:18" ht="21.6" customHeight="1">
      <c r="A65" s="131">
        <v>2306</v>
      </c>
      <c r="B65" s="131" t="str">
        <f>VLOOKUP(A65,門市主檔!A:B,2,FALSE)</f>
        <v>八里凱旋門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八里區</v>
      </c>
      <c r="M65" t="str">
        <f>VLOOKUP(A65,門市主檔!A:B,2,FALSE)</f>
        <v>八里凱旋門</v>
      </c>
      <c r="Q65" s="130" t="s">
        <v>2645</v>
      </c>
      <c r="R65" s="130"/>
    </row>
    <row r="66" spans="1:18" ht="21.6" customHeight="1">
      <c r="A66" s="131">
        <v>2442</v>
      </c>
      <c r="B66" s="131" t="str">
        <f>VLOOKUP(A66,門市主檔!A:B,2,FALSE)</f>
        <v>北縣商港店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45909</v>
      </c>
      <c r="L66" s="131" t="str">
        <f>VLOOKUP(A66,'0919門市清單主檔'!B:V,21,FALSE)</f>
        <v>八里區</v>
      </c>
      <c r="M66" t="str">
        <f>VLOOKUP(A66,門市主檔!A:B,2,FALSE)</f>
        <v>北縣商港店</v>
      </c>
      <c r="Q66" s="130"/>
      <c r="R66" s="135" t="s">
        <v>2646</v>
      </c>
    </row>
    <row r="67" spans="1:18" ht="21.6" customHeight="1">
      <c r="A67" s="131">
        <v>4259</v>
      </c>
      <c r="B67" s="131" t="str">
        <f>VLOOKUP(A67,門市主檔!A:B,2,FALSE)</f>
        <v>八里水灣店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45903</v>
      </c>
      <c r="L67" s="131" t="str">
        <f>VLOOKUP(A67,'0919門市清單主檔'!B:V,21,FALSE)</f>
        <v>八里區</v>
      </c>
      <c r="M67" t="str">
        <f>VLOOKUP(A67,門市主檔!A:B,2,FALSE)</f>
        <v>八里水灣店</v>
      </c>
      <c r="Q67" s="130"/>
      <c r="R67" s="135" t="s">
        <v>2646</v>
      </c>
    </row>
    <row r="68" spans="1:18" ht="21.6" customHeight="1">
      <c r="A68" s="131">
        <v>4528</v>
      </c>
      <c r="B68" s="131" t="str">
        <f>VLOOKUP(A68,門市主檔!A:B,2,FALSE)</f>
        <v>八里鐵塔店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未完工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八里鐵塔店</v>
      </c>
      <c r="Q68" s="130"/>
      <c r="R68" s="135" t="s">
        <v>2646</v>
      </c>
    </row>
    <row r="69" spans="1:18" ht="21.6" customHeight="1">
      <c r="A69" s="131">
        <v>4764</v>
      </c>
      <c r="B69" s="131" t="str">
        <f>VLOOKUP(A69,門市主檔!A:B,2,FALSE)</f>
        <v>八里大船店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未完工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八里大船店</v>
      </c>
      <c r="Q69" s="130"/>
      <c r="R69" s="135" t="s">
        <v>2646</v>
      </c>
    </row>
    <row r="70" spans="1:18" ht="21.6" customHeight="1">
      <c r="A70" s="131">
        <v>5074</v>
      </c>
      <c r="B70" s="131" t="str">
        <f>VLOOKUP(A70,門市主檔!A:B,2,FALSE)</f>
        <v>八里福德新村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未完工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45901</v>
      </c>
      <c r="L70" s="131" t="str">
        <f>VLOOKUP(A70,'0919門市清單主檔'!B:V,21,FALSE)</f>
        <v>八里區</v>
      </c>
      <c r="M70" t="str">
        <f>VLOOKUP(A70,門市主檔!A:B,2,FALSE)</f>
        <v>八里福德新村</v>
      </c>
      <c r="Q70" s="130" t="s">
        <v>2645</v>
      </c>
      <c r="R70" s="135" t="s">
        <v>2646</v>
      </c>
    </row>
    <row r="71" spans="1:18" ht="21.6" customHeight="1">
      <c r="A71" s="131">
        <v>3458</v>
      </c>
      <c r="B71" s="131" t="str">
        <f>VLOOKUP(A71,門市主檔!A:B,2,FALSE)</f>
        <v>八里龍米店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未完工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45881</v>
      </c>
      <c r="L71" s="131" t="str">
        <f>VLOOKUP(A71,'0919門市清單主檔'!B:V,21,FALSE)</f>
        <v>八里區</v>
      </c>
      <c r="M71" t="str">
        <f>VLOOKUP(A71,門市主檔!A:B,2,FALSE)</f>
        <v>八里龍米店</v>
      </c>
      <c r="Q71" s="130" t="s">
        <v>2645</v>
      </c>
      <c r="R71" s="135" t="s">
        <v>2646</v>
      </c>
    </row>
    <row r="72" spans="1:18" ht="21.6" customHeight="1">
      <c r="A72" s="131">
        <v>4243</v>
      </c>
      <c r="B72" s="131" t="str">
        <f>VLOOKUP(A72,門市主檔!A:B,2,FALSE)</f>
        <v>八里聖心店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45877</v>
      </c>
      <c r="L72" s="131" t="str">
        <f>VLOOKUP(A72,'0919門市清單主檔'!B:V,21,FALSE)</f>
        <v>八里區</v>
      </c>
      <c r="M72" t="str">
        <f>VLOOKUP(A72,門市主檔!A:B,2,FALSE)</f>
        <v>八里聖心店</v>
      </c>
      <c r="Q72" s="130" t="s">
        <v>2645</v>
      </c>
      <c r="R72" s="135" t="s">
        <v>2646</v>
      </c>
    </row>
    <row r="73" spans="1:18" ht="21.6" customHeight="1">
      <c r="A73" s="131">
        <v>2237</v>
      </c>
      <c r="B73" s="131" t="str">
        <f>VLOOKUP(A73,門市主檔!A:B,2,FALSE)</f>
        <v>三芝芝蘭店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三芝區</v>
      </c>
      <c r="M73" t="str">
        <f>VLOOKUP(A73,門市主檔!A:B,2,FALSE)</f>
        <v>三芝芝蘭店</v>
      </c>
      <c r="Q73" s="130" t="s">
        <v>2645</v>
      </c>
      <c r="R73" s="135" t="s">
        <v>2646</v>
      </c>
    </row>
    <row r="74" spans="1:18" ht="21.6" customHeight="1">
      <c r="A74" s="131">
        <v>4844</v>
      </c>
      <c r="B74" s="131" t="str">
        <f>VLOOKUP(A74,門市主檔!A:B,2,FALSE)</f>
        <v>三芝天涯店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三芝天涯店</v>
      </c>
      <c r="Q74" s="130" t="s">
        <v>2645</v>
      </c>
      <c r="R74" s="135" t="s">
        <v>2646</v>
      </c>
    </row>
    <row r="75" spans="1:18" ht="21.6" customHeight="1">
      <c r="A75" s="131">
        <v>5080</v>
      </c>
      <c r="B75" s="131" t="str">
        <f>VLOOKUP(A75,門市主檔!A:B,2,FALSE)</f>
        <v>三芝楓愛林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三芝區</v>
      </c>
      <c r="M75" t="str">
        <f>VLOOKUP(A75,門市主檔!A:B,2,FALSE)</f>
        <v>三芝楓愛林</v>
      </c>
      <c r="Q75" s="130"/>
      <c r="R75" s="135" t="s">
        <v>2646</v>
      </c>
    </row>
    <row r="76" spans="1:18" ht="21.6" customHeight="1">
      <c r="A76" s="131">
        <v>4845</v>
      </c>
      <c r="B76" s="131" t="str">
        <f>VLOOKUP(A76,門市主檔!A:B,2,FALSE)</f>
        <v>石門海角店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45841</v>
      </c>
      <c r="L76" s="131" t="str">
        <f>VLOOKUP(A76,'0919門市清單主檔'!B:V,21,FALSE)</f>
        <v>石門區</v>
      </c>
      <c r="M76" t="str">
        <f>VLOOKUP(A76,門市主檔!A:B,2,FALSE)</f>
        <v>石門海角店</v>
      </c>
      <c r="Q76" s="130" t="s">
        <v>2645</v>
      </c>
      <c r="R76" s="135" t="s">
        <v>2646</v>
      </c>
    </row>
    <row r="77" spans="1:18" ht="21.6" customHeight="1">
      <c r="A77" s="131">
        <v>3243</v>
      </c>
      <c r="B77" s="131" t="str">
        <f>VLOOKUP(A77,門市主檔!A:B,2,FALSE)</f>
        <v>北縣醒吾店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45867</v>
      </c>
      <c r="L77" s="131" t="str">
        <f>VLOOKUP(A77,'0919門市清單主檔'!B:V,21,FALSE)</f>
        <v>林口區</v>
      </c>
      <c r="M77" t="str">
        <f>VLOOKUP(A77,門市主檔!A:B,2,FALSE)</f>
        <v>北縣醒吾店</v>
      </c>
      <c r="Q77" s="130"/>
      <c r="R77" s="135" t="s">
        <v>2646</v>
      </c>
    </row>
    <row r="78" spans="1:18" ht="21.6" customHeight="1">
      <c r="A78" s="131" t="s">
        <v>70</v>
      </c>
      <c r="B78" s="131" t="str">
        <f>VLOOKUP(A78,門市主檔!A:B,2,FALSE)</f>
        <v>車麗屋林口店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-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45862</v>
      </c>
      <c r="L78" s="131" t="str">
        <f>VLOOKUP(A78,'0919門市清單主檔'!B:V,21,FALSE)</f>
        <v>林口區</v>
      </c>
      <c r="M78" t="str">
        <f>VLOOKUP(A78,門市主檔!A:B,2,FALSE)</f>
        <v>車麗屋林口店</v>
      </c>
      <c r="Q78" s="130"/>
      <c r="R78" s="135" t="s">
        <v>2646</v>
      </c>
    </row>
    <row r="79" spans="1:18" ht="21.6" customHeight="1">
      <c r="A79" s="131" t="s">
        <v>71</v>
      </c>
      <c r="B79" s="131" t="str">
        <f>VLOOKUP(A79,門市主檔!A:B,2,FALSE)</f>
        <v>林口顧家店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45860</v>
      </c>
      <c r="L79" s="131" t="str">
        <f>VLOOKUP(A79,'0919門市清單主檔'!B:V,21,FALSE)</f>
        <v>林口區</v>
      </c>
      <c r="M79" t="str">
        <f>VLOOKUP(A79,門市主檔!A:B,2,FALSE)</f>
        <v>林口顧家店</v>
      </c>
      <c r="Q79" s="130"/>
      <c r="R79" s="135" t="s">
        <v>2646</v>
      </c>
    </row>
    <row r="80" spans="1:18" ht="21.6" customHeight="1">
      <c r="A80" s="131">
        <v>3878</v>
      </c>
      <c r="B80" s="131" t="str">
        <f>VLOOKUP(A80,門市主檔!A:B,2,FALSE)</f>
        <v>林口清梅店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45848</v>
      </c>
      <c r="L80" s="131" t="str">
        <f>VLOOKUP(A80,'0919門市清單主檔'!B:V,21,FALSE)</f>
        <v>林口區</v>
      </c>
      <c r="M80" t="str">
        <f>VLOOKUP(A80,門市主檔!A:B,2,FALSE)</f>
        <v>林口清梅店</v>
      </c>
      <c r="Q80" s="130" t="s">
        <v>2645</v>
      </c>
      <c r="R80" s="135" t="s">
        <v>2646</v>
      </c>
    </row>
    <row r="81" spans="1:18" ht="21.6" customHeight="1">
      <c r="A81" s="131">
        <v>4057</v>
      </c>
      <c r="B81" s="131" t="str">
        <f>VLOOKUP(A81,門市主檔!A:B,2,FALSE)</f>
        <v>林口香澄店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林口香澄店</v>
      </c>
      <c r="Q81" s="130" t="s">
        <v>2645</v>
      </c>
      <c r="R81" s="135" t="s">
        <v>2646</v>
      </c>
    </row>
    <row r="82" spans="1:18" ht="21.6" customHeight="1">
      <c r="A82" s="131">
        <v>4282</v>
      </c>
      <c r="B82" s="131" t="str">
        <f>VLOOKUP(A82,門市主檔!A:B,2,FALSE)</f>
        <v>林口建林店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林口建林店</v>
      </c>
      <c r="Q82" s="130" t="s">
        <v>2645</v>
      </c>
      <c r="R82" s="135" t="s">
        <v>2646</v>
      </c>
    </row>
    <row r="83" spans="1:18" ht="21.6" customHeight="1">
      <c r="A83" s="131">
        <v>4326</v>
      </c>
      <c r="B83" s="131" t="str">
        <f>VLOOKUP(A83,門市主檔!A:B,2,FALSE)</f>
        <v>林口建安店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45923</v>
      </c>
      <c r="L83" s="131" t="str">
        <f>VLOOKUP(A83,'0919門市清單主檔'!B:V,21,FALSE)</f>
        <v>林口區</v>
      </c>
      <c r="M83" t="str">
        <f>VLOOKUP(A83,門市主檔!A:B,2,FALSE)</f>
        <v>林口建安店</v>
      </c>
      <c r="Q83" s="130"/>
      <c r="R83" s="135" t="s">
        <v>2646</v>
      </c>
    </row>
    <row r="84" spans="1:18" ht="21.6" customHeight="1">
      <c r="A84" s="131">
        <v>4483</v>
      </c>
      <c r="B84" s="131" t="str">
        <f>VLOOKUP(A84,門市主檔!A:B,2,FALSE)</f>
        <v>林口築夢店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45902</v>
      </c>
      <c r="L84" s="131" t="str">
        <f>VLOOKUP(A84,'0919門市清單主檔'!B:V,21,FALSE)</f>
        <v>林口區</v>
      </c>
      <c r="M84" t="str">
        <f>VLOOKUP(A84,門市主檔!A:B,2,FALSE)</f>
        <v>林口築夢店</v>
      </c>
      <c r="Q84" s="130" t="s">
        <v>2645</v>
      </c>
      <c r="R84" s="130"/>
    </row>
    <row r="85" spans="1:18" ht="21.6" customHeight="1">
      <c r="A85" s="131">
        <v>4514</v>
      </c>
      <c r="B85" s="131" t="str">
        <f>VLOOKUP(A85,門市主檔!A:B,2,FALSE)</f>
        <v>林口老師店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45894</v>
      </c>
      <c r="L85" s="131" t="str">
        <f>VLOOKUP(A85,'0919門市清單主檔'!B:V,21,FALSE)</f>
        <v>林口區</v>
      </c>
      <c r="M85" t="str">
        <f>VLOOKUP(A85,門市主檔!A:B,2,FALSE)</f>
        <v>林口老師店</v>
      </c>
      <c r="Q85" s="130"/>
      <c r="R85" s="135" t="s">
        <v>2646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2645</v>
      </c>
      <c r="R86" s="135" t="s">
        <v>2646</v>
      </c>
    </row>
    <row r="87" spans="1:18" ht="21.6" customHeight="1">
      <c r="A87" s="131">
        <v>4834</v>
      </c>
      <c r="B87" s="131" t="str">
        <f>VLOOKUP(A87,門市主檔!A:B,2,FALSE)</f>
        <v>林口大千苑店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45877</v>
      </c>
      <c r="L87" s="131" t="str">
        <f>VLOOKUP(A87,'0919門市清單主檔'!B:V,21,FALSE)</f>
        <v>林口區</v>
      </c>
      <c r="M87" t="str">
        <f>VLOOKUP(A87,門市主檔!A:B,2,FALSE)</f>
        <v>林口大千苑店</v>
      </c>
      <c r="Q87" s="130" t="s">
        <v>2645</v>
      </c>
      <c r="R87" s="135" t="s">
        <v>2646</v>
      </c>
    </row>
    <row r="88" spans="1:18" ht="21.6" customHeight="1">
      <c r="A88" s="131">
        <v>4715</v>
      </c>
      <c r="B88" s="131" t="str">
        <f>VLOOKUP(A88,門市主檔!A:B,2,FALSE)</f>
        <v>林口捷韻店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45870</v>
      </c>
      <c r="L88" s="131" t="str">
        <f>VLOOKUP(A88,'0919門市清單主檔'!B:V,21,FALSE)</f>
        <v>林口區</v>
      </c>
      <c r="M88" t="str">
        <f>VLOOKUP(A88,門市主檔!A:B,2,FALSE)</f>
        <v>林口捷韻店</v>
      </c>
      <c r="Q88" s="130" t="s">
        <v>2645</v>
      </c>
      <c r="R88" s="135" t="s">
        <v>2646</v>
      </c>
    </row>
    <row r="89" spans="1:18" ht="21.6" customHeight="1">
      <c r="A89" s="131">
        <v>5364</v>
      </c>
      <c r="B89" s="131" t="str">
        <f>VLOOKUP(A89,門市主檔!A:B,2,FALSE)</f>
        <v>林口舊街店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45840</v>
      </c>
      <c r="L89" s="131" t="str">
        <f>VLOOKUP(A89,'0919門市清單主檔'!B:V,21,FALSE)</f>
        <v>林口區</v>
      </c>
      <c r="M89" t="str">
        <f>VLOOKUP(A89,門市主檔!A:B,2,FALSE)</f>
        <v>林口舊街店</v>
      </c>
      <c r="Q89" s="130" t="s">
        <v>2645</v>
      </c>
      <c r="R89" s="135" t="s">
        <v>2646</v>
      </c>
    </row>
    <row r="90" spans="1:18" ht="21.6" customHeight="1">
      <c r="A90" s="131">
        <v>2267</v>
      </c>
      <c r="B90" s="131" t="str">
        <f>VLOOKUP(A90,門市主檔!A:B,2,FALSE)</f>
        <v>北縣金陽店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45901</v>
      </c>
      <c r="L90" s="131" t="str">
        <f>VLOOKUP(A90,'0919門市清單主檔'!B:V,21,FALSE)</f>
        <v>金山區</v>
      </c>
      <c r="M90" t="str">
        <f>VLOOKUP(A90,門市主檔!A:B,2,FALSE)</f>
        <v>北縣金陽店</v>
      </c>
      <c r="Q90" s="130" t="s">
        <v>2645</v>
      </c>
      <c r="R90" s="135" t="s">
        <v>2646</v>
      </c>
    </row>
    <row r="91" spans="1:18" ht="21.6" customHeight="1">
      <c r="A91" s="131">
        <v>4906</v>
      </c>
      <c r="B91" s="131" t="str">
        <f>VLOOKUP(A91,門市主檔!A:B,2,FALSE)</f>
        <v>金山銀山店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金山銀山店</v>
      </c>
      <c r="Q91" s="130"/>
      <c r="R91" s="135" t="s">
        <v>2646</v>
      </c>
    </row>
    <row r="92" spans="1:18" ht="21.6" customHeight="1">
      <c r="A92" s="131">
        <v>3137</v>
      </c>
      <c r="B92" s="131" t="str">
        <f>VLOOKUP(A92,門市主檔!A:B,2,FALSE)</f>
        <v>北縣黎明店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45894</v>
      </c>
      <c r="L92" s="131" t="str">
        <f>VLOOKUP(A92,'0919門市清單主檔'!B:V,21,FALSE)</f>
        <v>泰山區</v>
      </c>
      <c r="M92" t="str">
        <f>VLOOKUP(A92,門市主檔!A:B,2,FALSE)</f>
        <v>北縣黎明店</v>
      </c>
      <c r="Q92" s="130"/>
      <c r="R92" s="135" t="s">
        <v>2646</v>
      </c>
    </row>
    <row r="93" spans="1:18" ht="21.6" customHeight="1">
      <c r="A93" s="131">
        <v>3606</v>
      </c>
      <c r="B93" s="131" t="str">
        <f>VLOOKUP(A93,門市主檔!A:B,2,FALSE)</f>
        <v>北縣泰富店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45860</v>
      </c>
      <c r="L93" s="131" t="str">
        <f>VLOOKUP(A93,'0919門市清單主檔'!B:V,21,FALSE)</f>
        <v>泰山區</v>
      </c>
      <c r="M93" t="str">
        <f>VLOOKUP(A93,門市主檔!A:B,2,FALSE)</f>
        <v>北縣泰富店</v>
      </c>
      <c r="Q93" s="130" t="s">
        <v>2645</v>
      </c>
      <c r="R93" s="135" t="s">
        <v>2646</v>
      </c>
    </row>
    <row r="94" spans="1:18" ht="21.6" customHeight="1">
      <c r="A94" s="131">
        <v>4656</v>
      </c>
      <c r="B94" s="131" t="str">
        <f>VLOOKUP(A94,門市主檔!A:B,2,FALSE)</f>
        <v>泰山新民店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泰山區</v>
      </c>
      <c r="M94" t="str">
        <f>VLOOKUP(A94,門市主檔!A:B,2,FALSE)</f>
        <v>泰山新民店</v>
      </c>
      <c r="Q94" s="130" t="s">
        <v>2645</v>
      </c>
      <c r="R94" s="135" t="s">
        <v>2646</v>
      </c>
    </row>
    <row r="95" spans="1:18" ht="21.6" customHeight="1">
      <c r="A95" s="131">
        <v>3751</v>
      </c>
      <c r="B95" s="131" t="str">
        <f>VLOOKUP(A95,門市主檔!A:B,2,FALSE)</f>
        <v>淡水真理大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45856</v>
      </c>
      <c r="L95" s="131" t="str">
        <f>VLOOKUP(A95,'0919門市清單主檔'!B:V,21,FALSE)</f>
        <v>淡水區</v>
      </c>
      <c r="M95" t="str">
        <f>VLOOKUP(A95,門市主檔!A:B,2,FALSE)</f>
        <v>淡水真理大</v>
      </c>
      <c r="Q95" s="130" t="s">
        <v>2645</v>
      </c>
      <c r="R95" s="135" t="s">
        <v>2646</v>
      </c>
    </row>
    <row r="96" spans="1:18" ht="21.6" customHeight="1">
      <c r="A96" s="131">
        <v>2749</v>
      </c>
      <c r="B96" s="131" t="str">
        <f>VLOOKUP(A96,門市主檔!A:B,2,FALSE)</f>
        <v>淡水灰瑤子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45896</v>
      </c>
      <c r="L96" s="131" t="str">
        <f>VLOOKUP(A96,'0919門市清單主檔'!B:V,21,FALSE)</f>
        <v>淡水區</v>
      </c>
      <c r="M96" t="str">
        <f>VLOOKUP(A96,門市主檔!A:B,2,FALSE)</f>
        <v>淡水灰瑤子</v>
      </c>
      <c r="Q96" s="130" t="s">
        <v>2645</v>
      </c>
      <c r="R96" s="135" t="s">
        <v>2646</v>
      </c>
    </row>
    <row r="97" spans="1:18" ht="21.6" customHeight="1">
      <c r="A97" s="131">
        <v>4298</v>
      </c>
      <c r="B97" s="131" t="str">
        <f>VLOOKUP(A97,門市主檔!A:B,2,FALSE)</f>
        <v>淡水後洲店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淡水後洲店</v>
      </c>
      <c r="Q97" s="130" t="s">
        <v>2645</v>
      </c>
      <c r="R97" s="135" t="s">
        <v>2646</v>
      </c>
    </row>
    <row r="98" spans="1:18" ht="21.6" customHeight="1">
      <c r="A98" s="131">
        <v>4511</v>
      </c>
      <c r="B98" s="131" t="str">
        <f>VLOOKUP(A98,門市主檔!A:B,2,FALSE)</f>
        <v>淡水屯山店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閉店不保養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 t="s">
        <v>24</v>
      </c>
      <c r="L98" s="131" t="str">
        <f>VLOOKUP(A98,'0919門市清單主檔'!B:V,21,FALSE)</f>
        <v>淡水區</v>
      </c>
      <c r="M98" t="str">
        <f>VLOOKUP(A98,門市主檔!A:B,2,FALSE)</f>
        <v>淡水屯山店</v>
      </c>
      <c r="Q98" s="130" t="s">
        <v>2645</v>
      </c>
      <c r="R98" s="135" t="s">
        <v>2646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2645</v>
      </c>
      <c r="R99" s="135" t="s">
        <v>2646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2645</v>
      </c>
      <c r="R100" s="135" t="s">
        <v>2646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2645</v>
      </c>
      <c r="R101" s="135" t="s">
        <v>2646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2646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2646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2645</v>
      </c>
      <c r="R104" s="135" t="s">
        <v>2646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2645</v>
      </c>
      <c r="R105" s="135" t="s">
        <v>2646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2645</v>
      </c>
      <c r="R106" s="135" t="s">
        <v>2646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2645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2645</v>
      </c>
      <c r="R108" s="135" t="s">
        <v>2646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2646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2645</v>
      </c>
      <c r="R110" s="135" t="s">
        <v>2646</v>
      </c>
    </row>
  </sheetData>
  <autoFilter ref="A6:L110" xr:uid="{00000000-0009-0000-0000-000007000000}"/>
  <phoneticPr fontId="43" type="noConversion"/>
  <conditionalFormatting sqref="B6 B8:B43 B50:B110">
    <cfRule type="expression" dxfId="464" priority="528">
      <formula>COUNTIF(#REF!, "Yes") = 1</formula>
    </cfRule>
  </conditionalFormatting>
  <conditionalFormatting sqref="B44">
    <cfRule type="expression" dxfId="463" priority="75">
      <formula>COUNTIF(#REF!, "Yes") = 1</formula>
    </cfRule>
  </conditionalFormatting>
  <conditionalFormatting sqref="K8:K47 K50:K110">
    <cfRule type="expression" dxfId="462" priority="71">
      <formula>IF(K8="不保養","true","FALSE")</formula>
    </cfRule>
  </conditionalFormatting>
  <conditionalFormatting sqref="F1 N5">
    <cfRule type="expression" dxfId="461" priority="69">
      <formula>COUNTIF(#REF!, "Yes") = 1</formula>
    </cfRule>
  </conditionalFormatting>
  <conditionalFormatting sqref="G1">
    <cfRule type="expression" dxfId="460" priority="67">
      <formula>COUNTIF(#REF!, "Yes") = 1</formula>
    </cfRule>
  </conditionalFormatting>
  <conditionalFormatting sqref="B45:B46">
    <cfRule type="expression" dxfId="459" priority="59">
      <formula>COUNTIF(#REF!, "Yes") = 1</formula>
    </cfRule>
  </conditionalFormatting>
  <conditionalFormatting sqref="G8:G46 G50:G110">
    <cfRule type="expression" dxfId="458" priority="34">
      <formula>G8="完工已補裝"</formula>
    </cfRule>
    <cfRule type="expression" dxfId="457" priority="35">
      <formula>G8="已PM未更換"</formula>
    </cfRule>
    <cfRule type="expression" dxfId="456" priority="36">
      <formula>G8="未更換"</formula>
    </cfRule>
    <cfRule type="expression" dxfId="455" priority="37">
      <formula>G8="已更換"</formula>
    </cfRule>
  </conditionalFormatting>
  <conditionalFormatting sqref="B47">
    <cfRule type="expression" dxfId="454" priority="32">
      <formula>COUNTIF(#REF!, "Yes") = 1</formula>
    </cfRule>
  </conditionalFormatting>
  <conditionalFormatting sqref="G47">
    <cfRule type="expression" dxfId="453" priority="28">
      <formula>G47="完工已補裝"</formula>
    </cfRule>
    <cfRule type="expression" dxfId="452" priority="29">
      <formula>G47="已PM未更換"</formula>
    </cfRule>
    <cfRule type="expression" dxfId="451" priority="30">
      <formula>G47="未更換"</formula>
    </cfRule>
    <cfRule type="expression" dxfId="450" priority="31">
      <formula>G47="已更換"</formula>
    </cfRule>
  </conditionalFormatting>
  <conditionalFormatting sqref="B7">
    <cfRule type="expression" dxfId="449" priority="27">
      <formula>COUNTIF(#REF!, "Yes") = 1</formula>
    </cfRule>
  </conditionalFormatting>
  <conditionalFormatting sqref="G7">
    <cfRule type="expression" dxfId="448" priority="22">
      <formula>G7="完工已補裝"</formula>
    </cfRule>
    <cfRule type="expression" dxfId="447" priority="23">
      <formula>G7="已PM未更換"</formula>
    </cfRule>
    <cfRule type="expression" dxfId="446" priority="24">
      <formula>G7="未更換"</formula>
    </cfRule>
    <cfRule type="expression" dxfId="445" priority="25">
      <formula>G7="已更換"</formula>
    </cfRule>
  </conditionalFormatting>
  <conditionalFormatting sqref="K48">
    <cfRule type="expression" dxfId="444" priority="21">
      <formula>IF(K48="不保養","true","FALSE")</formula>
    </cfRule>
  </conditionalFormatting>
  <conditionalFormatting sqref="B48">
    <cfRule type="expression" dxfId="443" priority="20">
      <formula>COUNTIF(#REF!, "Yes") = 1</formula>
    </cfRule>
  </conditionalFormatting>
  <conditionalFormatting sqref="G48">
    <cfRule type="expression" dxfId="442" priority="16">
      <formula>G48="完工已補裝"</formula>
    </cfRule>
    <cfRule type="expression" dxfId="441" priority="17">
      <formula>G48="已PM未更換"</formula>
    </cfRule>
    <cfRule type="expression" dxfId="440" priority="18">
      <formula>G48="未更換"</formula>
    </cfRule>
    <cfRule type="expression" dxfId="439" priority="19">
      <formula>G48="已更換"</formula>
    </cfRule>
  </conditionalFormatting>
  <conditionalFormatting sqref="K49">
    <cfRule type="expression" dxfId="438" priority="15">
      <formula>IF(K49="不保養","true","FALSE")</formula>
    </cfRule>
  </conditionalFormatting>
  <conditionalFormatting sqref="B49">
    <cfRule type="expression" dxfId="437" priority="14">
      <formula>COUNTIF(#REF!, "Yes") = 1</formula>
    </cfRule>
  </conditionalFormatting>
  <conditionalFormatting sqref="G49">
    <cfRule type="expression" dxfId="436" priority="10">
      <formula>G49="完工已補裝"</formula>
    </cfRule>
    <cfRule type="expression" dxfId="435" priority="11">
      <formula>G49="已PM未更換"</formula>
    </cfRule>
    <cfRule type="expression" dxfId="434" priority="12">
      <formula>G49="未更換"</formula>
    </cfRule>
    <cfRule type="expression" dxfId="433" priority="13">
      <formula>G49="已更換"</formula>
    </cfRule>
  </conditionalFormatting>
  <conditionalFormatting sqref="A3">
    <cfRule type="expression" dxfId="432" priority="9">
      <formula>COUNTIF($A6:$A6, "Yes") = 1</formula>
    </cfRule>
  </conditionalFormatting>
  <conditionalFormatting sqref="E1">
    <cfRule type="expression" dxfId="431" priority="539">
      <formula>COUNTIF(#REF!, "Yes") = 1</formula>
    </cfRule>
  </conditionalFormatting>
  <conditionalFormatting sqref="A1:B1">
    <cfRule type="expression" dxfId="430" priority="540">
      <formula>COUNTIF($A2:$A2, "Yes") = 1</formula>
    </cfRule>
  </conditionalFormatting>
  <conditionalFormatting sqref="K7">
    <cfRule type="expression" dxfId="429" priority="1">
      <formula>IF(K7="不保養","true","FALSE")</formula>
    </cfRule>
  </conditionalFormatting>
  <conditionalFormatting sqref="A7:A110">
    <cfRule type="duplicateValues" dxfId="428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G51" sqref="G51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21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362" t="s">
        <v>12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21</v>
      </c>
      <c r="D2" s="328">
        <f>N1</f>
        <v>21</v>
      </c>
      <c r="E2" s="329">
        <f>COUNTIF(C$7:C$251,"v")</f>
        <v>0</v>
      </c>
      <c r="F2" s="329">
        <f>MAX(0, D2 - E2)</f>
        <v>21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3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2640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17.54%</v>
      </c>
      <c r="K4" s="190">
        <f>IF(H4&lt;&gt;"",COUNTIF(H:H,"V"),"")</f>
        <v>10</v>
      </c>
      <c r="L4" s="190">
        <f>IF(H4&lt;&gt;"",I4-K4,"")</f>
        <v>47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61</v>
      </c>
      <c r="D5" s="332"/>
      <c r="E5" s="332">
        <f>SUM(E2:E4)</f>
        <v>0</v>
      </c>
      <c r="F5" s="332">
        <f>A5-SUM(E2:E4)</f>
        <v>60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46022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2642</v>
      </c>
      <c r="L6" s="314" t="s">
        <v>2643</v>
      </c>
      <c r="M6" s="171" t="s">
        <v>2647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2646</v>
      </c>
    </row>
    <row r="8" spans="1:31" ht="21.6" customHeight="1">
      <c r="A8" s="131" t="s">
        <v>90</v>
      </c>
      <c r="B8" s="131" t="str">
        <f>VLOOKUP(A8,門市主檔!A:B,2,FALSE)</f>
        <v>車麗屋新莊店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-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45894</v>
      </c>
      <c r="L8" s="131" t="str">
        <f>VLOOKUP(A8,'0919門市清單主檔'!B:V,21,FALSE)</f>
        <v>新莊區</v>
      </c>
      <c r="M8" s="170" t="str">
        <f>VLOOKUP(A8,門市主檔!A:B,2,FALSE)</f>
        <v>車麗屋新莊店</v>
      </c>
      <c r="Q8" s="130"/>
      <c r="R8" s="135" t="s">
        <v>2646</v>
      </c>
    </row>
    <row r="9" spans="1:31" ht="21.6" customHeight="1">
      <c r="A9" s="131">
        <v>5430</v>
      </c>
      <c r="B9" s="131" t="str">
        <f>VLOOKUP(A9,門市主檔!A:B,2,FALSE)</f>
        <v>蘆洲河上洲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45876</v>
      </c>
      <c r="L9" s="131" t="str">
        <f>VLOOKUP(A9,'0919門市清單主檔'!B:V,21,FALSE)</f>
        <v>蘆洲區</v>
      </c>
      <c r="M9" s="170" t="str">
        <f>VLOOKUP(A9,門市主檔!A:B,2,FALSE)</f>
        <v>蘆洲河上洲</v>
      </c>
      <c r="Q9" s="130" t="s">
        <v>2645</v>
      </c>
      <c r="R9" s="130"/>
    </row>
    <row r="10" spans="1:31" ht="21.6" customHeight="1">
      <c r="A10" s="131">
        <v>3770</v>
      </c>
      <c r="B10" s="131" t="str">
        <f>VLOOKUP(A10,門市主檔!A:B,2,FALSE)</f>
        <v>北縣西雲店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45923</v>
      </c>
      <c r="L10" s="131" t="str">
        <f>VLOOKUP(A10,'0919門市清單主檔'!B:V,21,FALSE)</f>
        <v>五股區</v>
      </c>
      <c r="M10" s="170" t="str">
        <f>VLOOKUP(A10,門市主檔!A:B,2,FALSE)</f>
        <v>北縣西雲店</v>
      </c>
      <c r="Q10" s="130" t="s">
        <v>2645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2645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2646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2646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2646</v>
      </c>
    </row>
    <row r="15" spans="1:31" ht="21.6" customHeight="1">
      <c r="A15" s="131">
        <v>3921</v>
      </c>
      <c r="B15" s="131" t="str">
        <f>VLOOKUP(A15,門市主檔!A:B,2,FALSE)</f>
        <v>五股福鑫店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45908</v>
      </c>
      <c r="L15" s="131" t="str">
        <f>VLOOKUP(A15,'0919門市清單主檔'!B:V,21,FALSE)</f>
        <v>五股區</v>
      </c>
      <c r="M15" s="170" t="str">
        <f>VLOOKUP(A15,門市主檔!A:B,2,FALSE)</f>
        <v>五股福鑫店</v>
      </c>
      <c r="Q15" s="130" t="s">
        <v>2645</v>
      </c>
      <c r="R15" s="130"/>
    </row>
    <row r="16" spans="1:31" ht="21.6" customHeight="1">
      <c r="A16" s="131">
        <v>4316</v>
      </c>
      <c r="B16" s="131" t="str">
        <f>VLOOKUP(A16,門市主檔!A:B,2,FALSE)</f>
        <v>五股工商店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45888</v>
      </c>
      <c r="L16" s="131" t="str">
        <f>VLOOKUP(A16,'0919門市清單主檔'!B:V,21,FALSE)</f>
        <v>五股區</v>
      </c>
      <c r="M16" s="170" t="str">
        <f>VLOOKUP(A16,門市主檔!A:B,2,FALSE)</f>
        <v>五股工商店</v>
      </c>
      <c r="Q16" s="130" t="s">
        <v>2645</v>
      </c>
      <c r="R16" s="135" t="s">
        <v>2646</v>
      </c>
    </row>
    <row r="17" spans="1:18" ht="21.6" customHeight="1">
      <c r="A17" s="131">
        <v>5003</v>
      </c>
      <c r="B17" s="131" t="str">
        <f>VLOOKUP(A17,門市主檔!A:B,2,FALSE)</f>
        <v>五股更寮店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45894</v>
      </c>
      <c r="L17" s="131" t="str">
        <f>VLOOKUP(A17,'0919門市清單主檔'!B:V,21,FALSE)</f>
        <v>五股區</v>
      </c>
      <c r="M17" s="170" t="str">
        <f>VLOOKUP(A17,門市主檔!A:B,2,FALSE)</f>
        <v>五股更寮店</v>
      </c>
      <c r="Q17" s="130" t="s">
        <v>2645</v>
      </c>
      <c r="R17" s="130"/>
    </row>
    <row r="18" spans="1:18" ht="21.6" customHeight="1">
      <c r="A18" s="131">
        <v>3227</v>
      </c>
      <c r="B18" s="131" t="str">
        <f>VLOOKUP(A18,門市主檔!A:B,2,FALSE)</f>
        <v>五股四維店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45908</v>
      </c>
      <c r="L18" s="131" t="str">
        <f>VLOOKUP(A18,'0919門市清單主檔'!B:V,21,FALSE)</f>
        <v>五股區</v>
      </c>
      <c r="M18" s="170" t="str">
        <f>VLOOKUP(A18,門市主檔!A:B,2,FALSE)</f>
        <v>五股四維店</v>
      </c>
      <c r="Q18" s="130" t="s">
        <v>2645</v>
      </c>
      <c r="R18" s="130"/>
    </row>
    <row r="19" spans="1:18" ht="21.6" customHeight="1">
      <c r="A19" s="131">
        <v>2691</v>
      </c>
      <c r="B19" s="131" t="str">
        <f>VLOOKUP(A19,門市主檔!A:B,2,FALSE)</f>
        <v>五股興珍店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45923</v>
      </c>
      <c r="L19" s="131" t="str">
        <f>VLOOKUP(A19,'0919門市清單主檔'!B:V,21,FALSE)</f>
        <v>五股區</v>
      </c>
      <c r="M19" s="170" t="str">
        <f>VLOOKUP(A19,門市主檔!A:B,2,FALSE)</f>
        <v>五股興珍店</v>
      </c>
      <c r="Q19" s="130" t="s">
        <v>2645</v>
      </c>
      <c r="R19" s="130"/>
    </row>
    <row r="20" spans="1:18" ht="21.6" customHeight="1">
      <c r="A20" s="131">
        <v>2535</v>
      </c>
      <c r="B20" s="131" t="str">
        <f>VLOOKUP(A20,門市主檔!A:B,2,FALSE)</f>
        <v>五股五工店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45882</v>
      </c>
      <c r="L20" s="131" t="str">
        <f>VLOOKUP(A20,'0919門市清單主檔'!B:V,21,FALSE)</f>
        <v>五股區</v>
      </c>
      <c r="M20" s="170" t="str">
        <f>VLOOKUP(A20,門市主檔!A:B,2,FALSE)</f>
        <v>五股五工店</v>
      </c>
      <c r="Q20" s="130" t="s">
        <v>2645</v>
      </c>
      <c r="R20" s="130"/>
    </row>
    <row r="21" spans="1:18" ht="21.6" customHeight="1">
      <c r="A21" s="131" t="s">
        <v>76</v>
      </c>
      <c r="B21" s="131" t="str">
        <f>VLOOKUP(A21,門市主檔!A:B,2,FALSE)</f>
        <v>五股訓練教室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-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45876</v>
      </c>
      <c r="L21" s="131" t="str">
        <f>VLOOKUP(A21,'0919門市清單主檔'!B:V,21,FALSE)</f>
        <v>五股區</v>
      </c>
      <c r="M21" s="170" t="str">
        <f>VLOOKUP(A21,門市主檔!A:B,2,FALSE)</f>
        <v>五股訓練教室</v>
      </c>
      <c r="Q21" s="130" t="s">
        <v>2645</v>
      </c>
      <c r="R21" s="130"/>
    </row>
    <row r="22" spans="1:18" ht="21.6" customHeight="1">
      <c r="A22" s="131">
        <v>3052</v>
      </c>
      <c r="B22" s="131" t="str">
        <f>VLOOKUP(A22,門市主檔!A:B,2,FALSE)</f>
        <v>北縣莊玲店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45873</v>
      </c>
      <c r="L22" s="131" t="str">
        <f>VLOOKUP(A22,'0919門市清單主檔'!B:V,21,FALSE)</f>
        <v>新莊區</v>
      </c>
      <c r="M22" s="170" t="str">
        <f>VLOOKUP(A22,門市主檔!A:B,2,FALSE)</f>
        <v>北縣莊玲店</v>
      </c>
      <c r="Q22" s="130" t="s">
        <v>2645</v>
      </c>
      <c r="R22" s="130"/>
    </row>
    <row r="23" spans="1:18" ht="21.6" customHeight="1">
      <c r="A23" s="131">
        <v>4679</v>
      </c>
      <c r="B23" s="131" t="str">
        <f>VLOOKUP(A23,門市主檔!A:B,2,FALSE)</f>
        <v>新莊幸運店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45923</v>
      </c>
      <c r="L23" s="131" t="str">
        <f>VLOOKUP(A23,'0919門市清單主檔'!B:V,21,FALSE)</f>
        <v>新莊區</v>
      </c>
      <c r="M23" s="170" t="str">
        <f>VLOOKUP(A23,門市主檔!A:B,2,FALSE)</f>
        <v>新莊幸運店</v>
      </c>
      <c r="Q23" s="130" t="s">
        <v>2645</v>
      </c>
      <c r="R23" s="130"/>
    </row>
    <row r="24" spans="1:18" ht="21.6" customHeight="1">
      <c r="A24" s="131">
        <v>3785</v>
      </c>
      <c r="B24" s="131" t="str">
        <f>VLOOKUP(A24,門市主檔!A:B,2,FALSE)</f>
        <v>北縣莊榮店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北縣莊榮店</v>
      </c>
      <c r="Q24" s="130" t="s">
        <v>2645</v>
      </c>
      <c r="R24" s="130"/>
    </row>
    <row r="25" spans="1:18" ht="21.6" customHeight="1">
      <c r="A25" s="131">
        <v>5057</v>
      </c>
      <c r="B25" s="131" t="str">
        <f>VLOOKUP(A25,門市主檔!A:B,2,FALSE)</f>
        <v>新莊中港店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45894</v>
      </c>
      <c r="L25" s="131" t="str">
        <f>VLOOKUP(A25,'0919門市清單主檔'!B:V,21,FALSE)</f>
        <v>新莊區</v>
      </c>
      <c r="M25" s="170" t="str">
        <f>VLOOKUP(A25,門市主檔!A:B,2,FALSE)</f>
        <v>新莊中港店</v>
      </c>
      <c r="Q25" s="130" t="s">
        <v>2645</v>
      </c>
      <c r="R25" s="135" t="s">
        <v>2646</v>
      </c>
    </row>
    <row r="26" spans="1:18" ht="21.6" customHeight="1">
      <c r="A26" s="131">
        <v>4856</v>
      </c>
      <c r="B26" s="131" t="str">
        <f>VLOOKUP(A26,門市主檔!A:B,2,FALSE)</f>
        <v>新莊小胖店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45883</v>
      </c>
      <c r="L26" s="131" t="str">
        <f>VLOOKUP(A26,'0919門市清單主檔'!B:V,21,FALSE)</f>
        <v>新莊區</v>
      </c>
      <c r="M26" s="170" t="str">
        <f>VLOOKUP(A26,門市主檔!A:B,2,FALSE)</f>
        <v>新莊小胖店</v>
      </c>
      <c r="Q26" s="130" t="s">
        <v>2645</v>
      </c>
      <c r="R26" s="135" t="s">
        <v>2646</v>
      </c>
    </row>
    <row r="27" spans="1:18" ht="21.6" customHeight="1">
      <c r="A27" s="131">
        <v>4552</v>
      </c>
      <c r="B27" s="131" t="str">
        <f>VLOOKUP(A27,門市主檔!A:B,2,FALSE)</f>
        <v>新莊福慧店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45923</v>
      </c>
      <c r="L27" s="131" t="str">
        <f>VLOOKUP(A27,'0919門市清單主檔'!B:V,21,FALSE)</f>
        <v>新莊區</v>
      </c>
      <c r="M27" s="170" t="str">
        <f>VLOOKUP(A27,門市主檔!A:B,2,FALSE)</f>
        <v>新莊福慧店</v>
      </c>
      <c r="Q27" s="130" t="s">
        <v>2645</v>
      </c>
      <c r="R27" s="135" t="s">
        <v>2646</v>
      </c>
    </row>
    <row r="28" spans="1:18" ht="21.6" customHeight="1">
      <c r="A28" s="131">
        <v>4144</v>
      </c>
      <c r="B28" s="131" t="str">
        <f>VLOOKUP(A28,門市主檔!A:B,2,FALSE)</f>
        <v>新莊頭前店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45876</v>
      </c>
      <c r="L28" s="131" t="str">
        <f>VLOOKUP(A28,'0919門市清單主檔'!B:V,21,FALSE)</f>
        <v>新莊區</v>
      </c>
      <c r="M28" s="170" t="str">
        <f>VLOOKUP(A28,門市主檔!A:B,2,FALSE)</f>
        <v>新莊頭前店</v>
      </c>
      <c r="Q28" s="130" t="s">
        <v>2645</v>
      </c>
      <c r="R28" s="130"/>
    </row>
    <row r="29" spans="1:18" ht="21.6" customHeight="1">
      <c r="A29" s="131">
        <v>3380</v>
      </c>
      <c r="B29" s="131" t="str">
        <f>VLOOKUP(A29,門市主檔!A:B,2,FALSE)</f>
        <v>北縣莊勝店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新莊區</v>
      </c>
      <c r="M29" s="170" t="str">
        <f>VLOOKUP(A29,門市主檔!A:B,2,FALSE)</f>
        <v>北縣莊勝店</v>
      </c>
      <c r="Q29" s="130" t="s">
        <v>2645</v>
      </c>
      <c r="R29" s="130"/>
    </row>
    <row r="30" spans="1:18" ht="21.6" customHeight="1">
      <c r="A30" s="131">
        <v>2362</v>
      </c>
      <c r="B30" s="131" t="str">
        <f>VLOOKUP(A30,門市主檔!A:B,2,FALSE)</f>
        <v>新莊化成店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45908</v>
      </c>
      <c r="L30" s="131" t="str">
        <f>VLOOKUP(A30,'0919門市清單主檔'!B:V,21,FALSE)</f>
        <v>新莊區</v>
      </c>
      <c r="M30" s="170" t="str">
        <f>VLOOKUP(A30,門市主檔!A:B,2,FALSE)</f>
        <v>新莊化成店</v>
      </c>
      <c r="Q30" s="130" t="s">
        <v>2645</v>
      </c>
      <c r="R30" s="130"/>
    </row>
    <row r="31" spans="1:18" ht="21.6" customHeight="1">
      <c r="A31" s="131" t="s">
        <v>58</v>
      </c>
      <c r="B31" s="131" t="str">
        <f>VLOOKUP(A31,門市主檔!A:B,2,FALSE)</f>
        <v>新莊福營店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閉店不保養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45918</v>
      </c>
      <c r="L31" s="131" t="str">
        <f>VLOOKUP(A31,'0919門市清單主檔'!B:V,21,FALSE)</f>
        <v>新莊區</v>
      </c>
      <c r="M31" s="170" t="str">
        <f>VLOOKUP(A31,門市主檔!A:B,2,FALSE)</f>
        <v>新莊福營店</v>
      </c>
      <c r="Q31" s="130" t="s">
        <v>2645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2109</v>
      </c>
      <c r="B33" s="131" t="str">
        <f>VLOOKUP(A33,門市主檔!A:B,2,FALSE)</f>
        <v>新莊瓊林南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-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45910</v>
      </c>
      <c r="L33" s="131" t="str">
        <f>VLOOKUP(A33,'0919門市清單主檔'!B:V,21,FALSE)</f>
        <v>新莊區</v>
      </c>
      <c r="M33" s="170" t="str">
        <f>VLOOKUP(A33,門市主檔!A:B,2,FALSE)</f>
        <v>新莊瓊林南</v>
      </c>
      <c r="Q33" s="130" t="s">
        <v>2645</v>
      </c>
      <c r="R33" s="130"/>
    </row>
    <row r="34" spans="1:18" ht="21.6" customHeight="1">
      <c r="A34" s="131">
        <v>5291</v>
      </c>
      <c r="B34" s="131" t="str">
        <f>VLOOKUP(A34,門市主檔!A:B,2,FALSE)</f>
        <v>新莊國家置地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新莊國家置地</v>
      </c>
      <c r="Q34" s="130"/>
      <c r="R34" s="135" t="s">
        <v>2646</v>
      </c>
    </row>
    <row r="35" spans="1:18" ht="21.6" customHeight="1">
      <c r="A35" s="131">
        <v>4005</v>
      </c>
      <c r="B35" s="131" t="str">
        <f>VLOOKUP(A35,門市主檔!A:B,2,FALSE)</f>
        <v>新莊雙鳳店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45908</v>
      </c>
      <c r="L35" s="131" t="str">
        <f>VLOOKUP(A35,'0919門市清單主檔'!B:V,21,FALSE)</f>
        <v>新莊區</v>
      </c>
      <c r="M35" s="170" t="str">
        <f>VLOOKUP(A35,門市主檔!A:B,2,FALSE)</f>
        <v>新莊雙鳳店</v>
      </c>
      <c r="Q35" s="130"/>
      <c r="R35" s="135" t="s">
        <v>2646</v>
      </c>
    </row>
    <row r="36" spans="1:18" ht="21.6" customHeight="1">
      <c r="A36" s="131" t="s">
        <v>62</v>
      </c>
      <c r="B36" s="131" t="str">
        <f>VLOOKUP(A36,門市主檔!A:B,2,FALSE)</f>
        <v>新莊裕民店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45882</v>
      </c>
      <c r="L36" s="131" t="str">
        <f>VLOOKUP(A36,'0919門市清單主檔'!B:V,21,FALSE)</f>
        <v>新莊區</v>
      </c>
      <c r="M36" s="170" t="str">
        <f>VLOOKUP(A36,門市主檔!A:B,2,FALSE)</f>
        <v>新莊裕民店</v>
      </c>
      <c r="Q36" s="130" t="s">
        <v>2645</v>
      </c>
      <c r="R36" s="130"/>
    </row>
    <row r="37" spans="1:18" ht="21.6" customHeight="1">
      <c r="A37" s="131" t="s">
        <v>63</v>
      </c>
      <c r="B37" s="131" t="str">
        <f>VLOOKUP(A37,門市主檔!A:B,2,FALSE)</f>
        <v>田倉民安店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-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45866</v>
      </c>
      <c r="L37" s="131" t="str">
        <f>VLOOKUP(A37,'0919門市清單主檔'!B:V,21,FALSE)</f>
        <v>新莊區</v>
      </c>
      <c r="M37" s="170" t="str">
        <f>VLOOKUP(A37,門市主檔!A:B,2,FALSE)</f>
        <v>田倉民安店</v>
      </c>
      <c r="Q37" s="130" t="s">
        <v>2645</v>
      </c>
      <c r="R37" s="130"/>
    </row>
    <row r="38" spans="1:18" ht="21.6" customHeight="1">
      <c r="A38" s="131">
        <v>4208</v>
      </c>
      <c r="B38" s="131" t="str">
        <f>VLOOKUP(A38,門市主檔!A:B,2,FALSE)</f>
        <v>新莊瓊泰店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45841</v>
      </c>
      <c r="L38" s="131" t="str">
        <f>VLOOKUP(A38,'0919門市清單主檔'!B:V,21,FALSE)</f>
        <v>新莊區</v>
      </c>
      <c r="M38" s="170" t="str">
        <f>VLOOKUP(A38,門市主檔!A:B,2,FALSE)</f>
        <v>新莊瓊泰店</v>
      </c>
      <c r="Q38" s="130" t="s">
        <v>2645</v>
      </c>
      <c r="R38" s="135" t="s">
        <v>2646</v>
      </c>
    </row>
    <row r="39" spans="1:18" ht="21.6" customHeight="1">
      <c r="A39" s="131">
        <v>2743</v>
      </c>
      <c r="B39" s="131" t="str">
        <f>VLOOKUP(A39,門市主檔!A:B,2,FALSE)</f>
        <v>新莊豐年店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45848</v>
      </c>
      <c r="L39" s="131" t="str">
        <f>VLOOKUP(A39,'0919門市清單主檔'!B:V,21,FALSE)</f>
        <v>新莊區</v>
      </c>
      <c r="M39" s="170" t="str">
        <f>VLOOKUP(A39,門市主檔!A:B,2,FALSE)</f>
        <v>新莊豐年店</v>
      </c>
      <c r="Q39" s="130" t="s">
        <v>2645</v>
      </c>
      <c r="R39" s="130"/>
    </row>
    <row r="40" spans="1:18" ht="21.6" customHeight="1">
      <c r="A40" s="131">
        <v>3851</v>
      </c>
      <c r="B40" s="131" t="str">
        <f>VLOOKUP(A40,門市主檔!A:B,2,FALSE)</f>
        <v>新莊輔園店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新莊輔園店</v>
      </c>
      <c r="Q40" s="130"/>
      <c r="R40" s="135" t="s">
        <v>2646</v>
      </c>
    </row>
    <row r="41" spans="1:18" ht="21.6" customHeight="1">
      <c r="A41" s="131">
        <v>3358</v>
      </c>
      <c r="B41" s="131" t="str">
        <f>VLOOKUP(A41,門市主檔!A:B,2,FALSE)</f>
        <v>新莊棒球場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45901</v>
      </c>
      <c r="L41" s="131" t="str">
        <f>VLOOKUP(A41,'0919門市清單主檔'!B:V,21,FALSE)</f>
        <v>新莊區</v>
      </c>
      <c r="M41" s="170" t="str">
        <f>VLOOKUP(A41,門市主檔!A:B,2,FALSE)</f>
        <v>新莊棒球場</v>
      </c>
      <c r="Q41" s="130"/>
      <c r="R41" s="130"/>
    </row>
    <row r="42" spans="1:18" ht="21.6" customHeight="1">
      <c r="A42" s="131">
        <v>4025</v>
      </c>
      <c r="B42" s="131" t="str">
        <f>VLOOKUP(A42,門市主檔!A:B,2,FALSE)</f>
        <v>新莊祐信店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45842</v>
      </c>
      <c r="L42" s="131" t="str">
        <f>VLOOKUP(A42,'0919門市清單主檔'!B:V,21,FALSE)</f>
        <v>新莊區</v>
      </c>
      <c r="M42" s="170" t="str">
        <f>VLOOKUP(A42,門市主檔!A:B,2,FALSE)</f>
        <v>新莊祐信店</v>
      </c>
      <c r="Q42" s="130"/>
      <c r="R42" s="130"/>
    </row>
    <row r="43" spans="1:18" ht="21.6" customHeight="1">
      <c r="A43" s="131">
        <v>4341</v>
      </c>
      <c r="B43" s="131" t="str">
        <f>VLOOKUP(A43,門市主檔!A:B,2,FALSE)</f>
        <v>新莊莊美店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45849</v>
      </c>
      <c r="L43" s="131" t="str">
        <f>VLOOKUP(A43,'0919門市清單主檔'!B:V,21,FALSE)</f>
        <v>新莊區</v>
      </c>
      <c r="M43" s="170" t="str">
        <f>VLOOKUP(A43,門市主檔!A:B,2,FALSE)</f>
        <v>新莊莊美店</v>
      </c>
      <c r="Q43" s="130"/>
      <c r="R43" s="135" t="s">
        <v>2646</v>
      </c>
    </row>
    <row r="44" spans="1:18" ht="21.6" customHeight="1">
      <c r="A44" s="131">
        <v>4163</v>
      </c>
      <c r="B44" s="131" t="str">
        <f>VLOOKUP(A44,門市主檔!A:B,2,FALSE)</f>
        <v>新莊中泉店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45846</v>
      </c>
      <c r="L44" s="131" t="str">
        <f>VLOOKUP(A44,'0919門市清單主檔'!B:V,21,FALSE)</f>
        <v>新莊區</v>
      </c>
      <c r="M44" s="170" t="str">
        <f>VLOOKUP(A44,門市主檔!A:B,2,FALSE)</f>
        <v>新莊中泉店</v>
      </c>
      <c r="Q44" s="130" t="s">
        <v>2645</v>
      </c>
      <c r="R44" s="130"/>
    </row>
    <row r="45" spans="1:18" ht="21.6" customHeight="1">
      <c r="A45" s="131">
        <v>3652</v>
      </c>
      <c r="B45" s="131" t="str">
        <f>VLOOKUP(A45,門市主檔!A:B,2,FALSE)</f>
        <v>新莊莊民店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45859</v>
      </c>
      <c r="L45" s="131" t="str">
        <f>VLOOKUP(A45,'0919門市清單主檔'!B:V,21,FALSE)</f>
        <v>新莊區</v>
      </c>
      <c r="M45" s="170" t="str">
        <f>VLOOKUP(A45,門市主檔!A:B,2,FALSE)</f>
        <v>新莊莊民店</v>
      </c>
      <c r="Q45" s="130" t="s">
        <v>2645</v>
      </c>
      <c r="R45" s="130"/>
    </row>
    <row r="46" spans="1:18" ht="21.6" customHeight="1">
      <c r="A46" s="131">
        <v>4194</v>
      </c>
      <c r="B46" s="131" t="str">
        <f>VLOOKUP(A46,門市主檔!A:B,2,FALSE)</f>
        <v>新莊鼎苑店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45882</v>
      </c>
      <c r="L46" s="131" t="str">
        <f>VLOOKUP(A46,'0919門市清單主檔'!B:V,21,FALSE)</f>
        <v>新莊區</v>
      </c>
      <c r="M46" s="170" t="str">
        <f>VLOOKUP(A46,門市主檔!A:B,2,FALSE)</f>
        <v>新莊鼎苑店</v>
      </c>
      <c r="Q46" s="130" t="s">
        <v>2645</v>
      </c>
      <c r="R46" s="130"/>
    </row>
    <row r="47" spans="1:18" ht="21.6" customHeight="1">
      <c r="A47" s="131">
        <v>4228</v>
      </c>
      <c r="B47" s="131" t="str">
        <f>VLOOKUP(A47,門市主檔!A:B,2,FALSE)</f>
        <v>新莊頭前公園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-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新莊頭前公園</v>
      </c>
      <c r="Q47" s="130"/>
      <c r="R47" s="130"/>
    </row>
    <row r="48" spans="1:18" ht="21.6" customHeight="1">
      <c r="A48" s="131">
        <v>4762</v>
      </c>
      <c r="B48" s="131" t="str">
        <f>VLOOKUP(A48,門市主檔!A:B,2,FALSE)</f>
        <v>新莊巷口店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新莊巷口店</v>
      </c>
      <c r="Q48" s="130" t="s">
        <v>2645</v>
      </c>
      <c r="R48" s="130"/>
    </row>
    <row r="49" spans="1:18" ht="21.6" customHeight="1">
      <c r="A49" s="131">
        <v>3999</v>
      </c>
      <c r="B49" s="131" t="str">
        <f>VLOOKUP(A49,門市主檔!A:B,2,FALSE)</f>
        <v>新莊福祐店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新莊福祐店</v>
      </c>
      <c r="Q49" s="130" t="s">
        <v>2645</v>
      </c>
      <c r="R49" s="130"/>
    </row>
    <row r="50" spans="1:18" ht="21.6" customHeight="1">
      <c r="A50" s="131">
        <v>4701</v>
      </c>
      <c r="B50" s="131" t="str">
        <f>VLOOKUP(A50,門市主檔!A:B,2,FALSE)</f>
        <v>新莊昌平店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45887</v>
      </c>
      <c r="L50" s="131" t="str">
        <f>VLOOKUP(A50,'0919門市清單主檔'!B:V,21,FALSE)</f>
        <v>新莊區</v>
      </c>
      <c r="M50" s="170" t="str">
        <f>VLOOKUP(A50,門市主檔!A:B,2,FALSE)</f>
        <v>新莊昌平店</v>
      </c>
      <c r="Q50" s="130"/>
      <c r="R50" s="130"/>
    </row>
    <row r="51" spans="1:18" ht="21.6" customHeight="1">
      <c r="A51" s="131">
        <v>4609</v>
      </c>
      <c r="B51" s="131" t="str">
        <f>VLOOKUP(A51,門市主檔!A:B,2,FALSE)</f>
        <v>蘆洲洲正店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45873</v>
      </c>
      <c r="L51" s="131" t="str">
        <f>VLOOKUP(A51,'0919門市清單主檔'!B:V,21,FALSE)</f>
        <v>蘆洲區</v>
      </c>
      <c r="M51" s="170" t="str">
        <f>VLOOKUP(A51,門市主檔!A:B,2,FALSE)</f>
        <v>蘆洲洲正店</v>
      </c>
      <c r="Q51" s="130"/>
      <c r="R51" s="130"/>
    </row>
    <row r="52" spans="1:18" ht="21.6" customHeight="1">
      <c r="A52" s="131">
        <v>4125</v>
      </c>
      <c r="B52" s="131" t="str">
        <f>VLOOKUP(A52,門市主檔!A:B,2,FALSE)</f>
        <v>蘆洲長樂店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45867</v>
      </c>
      <c r="L52" s="131" t="str">
        <f>VLOOKUP(A52,'0919門市清單主檔'!B:V,21,FALSE)</f>
        <v>蘆洲區</v>
      </c>
      <c r="M52" s="170" t="str">
        <f>VLOOKUP(A52,門市主檔!A:B,2,FALSE)</f>
        <v>蘆洲長樂店</v>
      </c>
      <c r="Q52" s="130" t="s">
        <v>2645</v>
      </c>
      <c r="R52" s="130"/>
    </row>
    <row r="53" spans="1:18" ht="19.5" customHeight="1">
      <c r="A53" s="131">
        <v>2958</v>
      </c>
      <c r="B53" s="131" t="str">
        <f>VLOOKUP(A53,門市主檔!A:B,2,FALSE)</f>
        <v>北縣蘆旺店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北縣蘆旺店</v>
      </c>
      <c r="Q53" s="130" t="s">
        <v>2645</v>
      </c>
      <c r="R53" s="130"/>
    </row>
    <row r="54" spans="1:18" ht="19.5" customHeight="1">
      <c r="A54" s="131">
        <v>3929</v>
      </c>
      <c r="B54" s="131" t="str">
        <f>VLOOKUP(A54,門市主檔!A:B,2,FALSE)</f>
        <v>蘆洲中山一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45862</v>
      </c>
      <c r="L54" s="131" t="str">
        <f>VLOOKUP(A54,'0919門市清單主檔'!B:V,21,FALSE)</f>
        <v>蘆洲區</v>
      </c>
      <c r="M54" s="170" t="str">
        <f>VLOOKUP(A54,門市主檔!A:B,2,FALSE)</f>
        <v>蘆洲中山一</v>
      </c>
      <c r="Q54" s="130"/>
      <c r="R54" s="130"/>
    </row>
    <row r="55" spans="1:18" ht="19.5" customHeight="1">
      <c r="A55" s="131">
        <v>3452</v>
      </c>
      <c r="B55" s="131" t="str">
        <f>VLOOKUP(A55,門市主檔!A:B,2,FALSE)</f>
        <v>蘆洲信義店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45876</v>
      </c>
      <c r="L55" s="131" t="str">
        <f>VLOOKUP(A55,'0919門市清單主檔'!B:V,21,FALSE)</f>
        <v>蘆洲區</v>
      </c>
      <c r="M55" s="170" t="str">
        <f>VLOOKUP(A55,門市主檔!A:B,2,FALSE)</f>
        <v>蘆洲信義店</v>
      </c>
      <c r="Q55" s="130"/>
      <c r="R55" s="130"/>
    </row>
    <row r="56" spans="1:18" ht="18.75" customHeight="1">
      <c r="A56" s="131">
        <v>5341</v>
      </c>
      <c r="B56" s="131" t="str">
        <f>VLOOKUP(A56,門市主檔!A:B,2,FALSE)</f>
        <v>蘆洲切仔麵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蘆洲切仔麵</v>
      </c>
      <c r="Q56" s="130" t="s">
        <v>2645</v>
      </c>
      <c r="R56" s="130"/>
    </row>
    <row r="57" spans="1:18" ht="18.75" customHeight="1">
      <c r="A57" s="131">
        <v>5197</v>
      </c>
      <c r="B57" s="131" t="str">
        <f>VLOOKUP(A57,門市主檔!A:B,2,FALSE)</f>
        <v>蘆洲鴻悅店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45846</v>
      </c>
      <c r="L57" s="131" t="str">
        <f>VLOOKUP(A57,'0919門市清單主檔'!B:V,21,FALSE)</f>
        <v>蘆洲區</v>
      </c>
      <c r="M57" s="170" t="str">
        <f>VLOOKUP(A57,門市主檔!A:B,2,FALSE)</f>
        <v>蘆洲鴻悅店</v>
      </c>
      <c r="Q57" s="130" t="s">
        <v>2645</v>
      </c>
      <c r="R57" s="130"/>
    </row>
    <row r="58" spans="1:18" ht="18.75" customHeight="1">
      <c r="A58" s="131">
        <v>4218</v>
      </c>
      <c r="B58" s="131" t="str">
        <f>VLOOKUP(A58,門市主檔!A:B,2,FALSE)</f>
        <v>蘆洲湧蓮店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45918</v>
      </c>
      <c r="L58" s="131" t="str">
        <f>VLOOKUP(A58,'0919門市清單主檔'!B:V,21,FALSE)</f>
        <v>蘆洲區</v>
      </c>
      <c r="M58" s="170" t="str">
        <f>VLOOKUP(A58,門市主檔!A:B,2,FALSE)</f>
        <v>蘆洲湧蓮店</v>
      </c>
      <c r="Q58" s="130" t="s">
        <v>2645</v>
      </c>
      <c r="R58" s="130"/>
    </row>
    <row r="59" spans="1:18" ht="18.75" customHeight="1">
      <c r="A59" s="131">
        <v>4036</v>
      </c>
      <c r="B59" s="131" t="str">
        <f>VLOOKUP(A59,門市主檔!A:B,2,FALSE)</f>
        <v>蘆洲永樂店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蘆洲永樂店</v>
      </c>
      <c r="Q59" s="130" t="s">
        <v>2645</v>
      </c>
      <c r="R59" s="130"/>
    </row>
    <row r="60" spans="1:18" ht="18.75" customHeight="1">
      <c r="A60" s="131">
        <v>2301</v>
      </c>
      <c r="B60" s="131" t="str">
        <f>VLOOKUP(A60,門市主檔!A:B,2,FALSE)</f>
        <v>蘆洲樂平店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45841</v>
      </c>
      <c r="L60" s="131" t="str">
        <f>VLOOKUP(A60,'0919門市清單主檔'!B:V,21,FALSE)</f>
        <v>蘆洲區</v>
      </c>
      <c r="M60" s="170" t="str">
        <f>VLOOKUP(A60,門市主檔!A:B,2,FALSE)</f>
        <v>蘆洲樂平店</v>
      </c>
      <c r="Q60" s="130" t="s">
        <v>2645</v>
      </c>
      <c r="R60" s="130"/>
    </row>
    <row r="61" spans="1:18" ht="18.75" customHeight="1">
      <c r="A61" s="131">
        <v>3892</v>
      </c>
      <c r="B61" s="131" t="str">
        <f>VLOOKUP(A61,門市主檔!A:B,2,FALSE)</f>
        <v>蘆洲光榮店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蘆洲光榮店</v>
      </c>
      <c r="Q61" s="130" t="s">
        <v>2645</v>
      </c>
      <c r="R61" s="130"/>
    </row>
    <row r="62" spans="1:18" ht="18.75" customHeight="1">
      <c r="A62" s="131">
        <v>4923</v>
      </c>
      <c r="B62" s="131" t="str">
        <f>VLOOKUP(A62,門市主檔!A:B,2,FALSE)</f>
        <v>蘆洲永平店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45848</v>
      </c>
      <c r="L62" s="131" t="str">
        <f>VLOOKUP(A62,'0919門市清單主檔'!B:V,21,FALSE)</f>
        <v>蘆洲區</v>
      </c>
      <c r="M62" s="170" t="str">
        <f>VLOOKUP(A62,門市主檔!A:B,2,FALSE)</f>
        <v>蘆洲永平店</v>
      </c>
      <c r="Q62" s="130" t="s">
        <v>2645</v>
      </c>
      <c r="R62" s="130"/>
    </row>
    <row r="63" spans="1:18" ht="18.75" customHeight="1">
      <c r="A63" s="131">
        <v>5354</v>
      </c>
      <c r="B63" s="131" t="str">
        <f>VLOOKUP(A63,門市主檔!A:B,2,FALSE)</f>
        <v>蘆洲希望店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45841</v>
      </c>
      <c r="L63" s="131" t="str">
        <f>VLOOKUP(A63,'0919門市清單主檔'!B:V,21,FALSE)</f>
        <v>蘆洲區</v>
      </c>
      <c r="M63" s="170" t="str">
        <f>VLOOKUP(A63,門市主檔!A:B,2,FALSE)</f>
        <v>蘆洲希望店</v>
      </c>
      <c r="Q63" s="130" t="s">
        <v>2645</v>
      </c>
      <c r="R63" s="130"/>
    </row>
    <row r="64" spans="1:18" ht="19.5" customHeight="1">
      <c r="A64" s="131">
        <v>5082</v>
      </c>
      <c r="B64" s="131" t="str">
        <f>VLOOKUP(A64,門市主檔!A:B,2,FALSE)</f>
        <v>蘆洲水湳店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45889</v>
      </c>
      <c r="L64" s="131" t="str">
        <f>VLOOKUP(A64,'0919門市清單主檔'!B:V,21,FALSE)</f>
        <v>蘆洲區</v>
      </c>
      <c r="M64" s="170" t="str">
        <f>VLOOKUP(A64,門市主檔!A:B,2,FALSE)</f>
        <v>蘆洲水湳店</v>
      </c>
      <c r="Q64" s="130" t="s">
        <v>2645</v>
      </c>
      <c r="R64" s="130"/>
    </row>
    <row r="65" spans="1:18" ht="19.5" customHeight="1">
      <c r="A65" s="131" t="s">
        <v>68</v>
      </c>
      <c r="B65" s="131" t="str">
        <f>VLOOKUP(A65,門市主檔!A:B,2,FALSE)</f>
        <v>車麗屋蘆洲店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-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45849</v>
      </c>
      <c r="L65" s="131" t="str">
        <f>VLOOKUP(A65,'0919門市清單主檔'!B:V,21,FALSE)</f>
        <v>蘆洲區</v>
      </c>
      <c r="M65" s="170" t="str">
        <f>VLOOKUP(A65,門市主檔!A:B,2,FALSE)</f>
        <v>車麗屋蘆洲店</v>
      </c>
      <c r="Q65" s="130" t="s">
        <v>2645</v>
      </c>
      <c r="R65" s="130"/>
    </row>
    <row r="66" spans="1:18" ht="19.5" customHeight="1">
      <c r="A66" s="131" t="s">
        <v>69</v>
      </c>
      <c r="B66" s="131" t="str">
        <f>VLOOKUP(A66,門市主檔!A:B,2,FALSE)</f>
        <v>蘆洲權義店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45908</v>
      </c>
      <c r="L66" s="131" t="str">
        <f>VLOOKUP(A66,'0919門市清單主檔'!B:V,21,FALSE)</f>
        <v>蘆洲區</v>
      </c>
      <c r="M66" s="170" t="str">
        <f>VLOOKUP(A66,門市主檔!A:B,2,FALSE)</f>
        <v>蘆洲權義店</v>
      </c>
      <c r="Q66" s="130"/>
      <c r="R66" s="135" t="s">
        <v>2646</v>
      </c>
    </row>
    <row r="67" spans="1:18" ht="19.5" customHeight="1">
      <c r="A67" s="131">
        <v>2890</v>
      </c>
      <c r="B67" s="131" t="str">
        <f>VLOOKUP(A67,門市主檔!A:B,2,FALSE)</f>
        <v>蘆洲鷺江店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45842</v>
      </c>
      <c r="L67" s="131" t="str">
        <f>VLOOKUP(A67,'0919門市清單主檔'!B:V,21,FALSE)</f>
        <v>蘆洲區</v>
      </c>
      <c r="M67" s="170" t="str">
        <f>VLOOKUP(A67,門市主檔!A:B,2,FALSE)</f>
        <v>蘆洲鷺江店</v>
      </c>
      <c r="Q67" s="130" t="s">
        <v>2645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3" type="noConversion"/>
  <conditionalFormatting sqref="J68:J83">
    <cfRule type="expression" dxfId="427" priority="107">
      <formula>OR($J68="不保養", $J68="代保養")</formula>
    </cfRule>
  </conditionalFormatting>
  <conditionalFormatting sqref="F68:G987">
    <cfRule type="expression" dxfId="426" priority="108">
      <formula>OR($F68="不保養", $F68="代保養")</formula>
    </cfRule>
  </conditionalFormatting>
  <conditionalFormatting sqref="B6:B47 B49:B64 B68:B987">
    <cfRule type="expression" dxfId="425" priority="534">
      <formula>COUNTIF(#REF!, "Yes") = 1</formula>
    </cfRule>
  </conditionalFormatting>
  <conditionalFormatting sqref="B65">
    <cfRule type="expression" dxfId="424" priority="82">
      <formula>COUNTIF(#REF!, "Yes") = 1</formula>
    </cfRule>
  </conditionalFormatting>
  <conditionalFormatting sqref="G68:G1048576">
    <cfRule type="expression" dxfId="423" priority="70">
      <formula>G68="已PM未更換"</formula>
    </cfRule>
  </conditionalFormatting>
  <conditionalFormatting sqref="N5">
    <cfRule type="expression" dxfId="422" priority="68">
      <formula>COUNTIF(#REF!, "Yes") = 1</formula>
    </cfRule>
  </conditionalFormatting>
  <conditionalFormatting sqref="B66">
    <cfRule type="expression" dxfId="421" priority="51">
      <formula>COUNTIF(#REF!, "Yes") = 1</formula>
    </cfRule>
  </conditionalFormatting>
  <conditionalFormatting sqref="G7:G47 G49:G66">
    <cfRule type="expression" dxfId="420" priority="31">
      <formula>G7="完工已補裝"</formula>
    </cfRule>
    <cfRule type="expression" dxfId="419" priority="32">
      <formula>G7="已PM未更換"</formula>
    </cfRule>
    <cfRule type="expression" dxfId="418" priority="33">
      <formula>G7="未更換"</formula>
    </cfRule>
    <cfRule type="expression" dxfId="417" priority="34">
      <formula>G7="已更換"</formula>
    </cfRule>
  </conditionalFormatting>
  <conditionalFormatting sqref="K7:K47 K49:K66">
    <cfRule type="expression" dxfId="416" priority="30">
      <formula>IF(K7="不保養","true","FALSE")</formula>
    </cfRule>
  </conditionalFormatting>
  <conditionalFormatting sqref="F1">
    <cfRule type="expression" dxfId="415" priority="15">
      <formula>COUNTIF(#REF!, "Yes") = 1</formula>
    </cfRule>
  </conditionalFormatting>
  <conditionalFormatting sqref="G1">
    <cfRule type="expression" dxfId="414" priority="14">
      <formula>COUNTIF(#REF!, "Yes") = 1</formula>
    </cfRule>
  </conditionalFormatting>
  <conditionalFormatting sqref="A3">
    <cfRule type="expression" dxfId="413" priority="13">
      <formula>COUNTIF($A6:$A6, "Yes") = 1</formula>
    </cfRule>
  </conditionalFormatting>
  <conditionalFormatting sqref="E1">
    <cfRule type="expression" dxfId="412" priority="16">
      <formula>COUNTIF(#REF!, "Yes") = 1</formula>
    </cfRule>
  </conditionalFormatting>
  <conditionalFormatting sqref="A1:B1">
    <cfRule type="expression" dxfId="411" priority="17">
      <formula>COUNTIF($A2:$A2, "Yes") = 1</formula>
    </cfRule>
  </conditionalFormatting>
  <conditionalFormatting sqref="B67">
    <cfRule type="expression" dxfId="410" priority="12">
      <formula>COUNTIF(#REF!, "Yes") = 1</formula>
    </cfRule>
  </conditionalFormatting>
  <conditionalFormatting sqref="G67">
    <cfRule type="expression" dxfId="409" priority="8">
      <formula>G67="完工已補裝"</formula>
    </cfRule>
    <cfRule type="expression" dxfId="408" priority="9">
      <formula>G67="已PM未更換"</formula>
    </cfRule>
    <cfRule type="expression" dxfId="407" priority="10">
      <formula>G67="未更換"</formula>
    </cfRule>
    <cfRule type="expression" dxfId="406" priority="11">
      <formula>G67="已更換"</formula>
    </cfRule>
  </conditionalFormatting>
  <conditionalFormatting sqref="K67">
    <cfRule type="expression" dxfId="405" priority="7">
      <formula>IF(K67="不保養","true","FALSE")</formula>
    </cfRule>
  </conditionalFormatting>
  <conditionalFormatting sqref="B48">
    <cfRule type="expression" dxfId="404" priority="6">
      <formula>COUNTIF(#REF!, "Yes") = 1</formula>
    </cfRule>
  </conditionalFormatting>
  <conditionalFormatting sqref="G48">
    <cfRule type="expression" dxfId="403" priority="2">
      <formula>G48="完工已補裝"</formula>
    </cfRule>
    <cfRule type="expression" dxfId="402" priority="3">
      <formula>G48="已PM未更換"</formula>
    </cfRule>
    <cfRule type="expression" dxfId="401" priority="4">
      <formula>G48="未更換"</formula>
    </cfRule>
    <cfRule type="expression" dxfId="400" priority="5">
      <formula>G48="已更換"</formula>
    </cfRule>
  </conditionalFormatting>
  <conditionalFormatting sqref="K48">
    <cfRule type="expression" dxfId="399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3" sqref="O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36</v>
      </c>
      <c r="P1" s="170">
        <v>35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2640</v>
      </c>
      <c r="B3" s="329">
        <f>首頁!J2</f>
        <v>2</v>
      </c>
      <c r="C3" s="328">
        <f>O1</f>
        <v>36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35.24%</v>
      </c>
      <c r="K4" s="190">
        <f>IF(H4&lt;&gt;"",COUNTIF(H:H,"V"),"")</f>
        <v>37</v>
      </c>
      <c r="L4" s="190">
        <f>IF(H4&lt;&gt;"",I4-K4,"")</f>
        <v>68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107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46022</v>
      </c>
      <c r="N5" s="365" t="s">
        <v>138</v>
      </c>
      <c r="Q5" s="130"/>
      <c r="R5" s="130"/>
      <c r="S5" s="205"/>
      <c r="T5" s="206"/>
      <c r="U5" s="171" t="s">
        <v>2648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2642</v>
      </c>
      <c r="L6" s="314" t="s">
        <v>2643</v>
      </c>
      <c r="M6" s="171" t="s">
        <v>2649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2645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2645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2645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2645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2645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2645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2645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2645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2645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2645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2645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2645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2645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2645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2645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2645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2645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2645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2645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2645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2645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2645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2645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2645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2645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2645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2645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2645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2645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2645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2645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2645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2645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2645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2645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2645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2645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3" type="noConversion"/>
  <conditionalFormatting sqref="B6 B8:B41">
    <cfRule type="expression" dxfId="398" priority="31">
      <formula>COUNTIF(#REF!, "Yes") = 1</formula>
    </cfRule>
  </conditionalFormatting>
  <conditionalFormatting sqref="N5">
    <cfRule type="expression" dxfId="397" priority="30">
      <formula>COUNTIF(#REF!, "Yes") = 1</formula>
    </cfRule>
  </conditionalFormatting>
  <conditionalFormatting sqref="B42">
    <cfRule type="expression" dxfId="396" priority="29">
      <formula>COUNTIF(#REF!, "Yes") = 1</formula>
    </cfRule>
  </conditionalFormatting>
  <conditionalFormatting sqref="G8:G42">
    <cfRule type="expression" dxfId="395" priority="25">
      <formula>G8="完工已補裝"</formula>
    </cfRule>
    <cfRule type="expression" dxfId="394" priority="26">
      <formula>G8="已PM未更換"</formula>
    </cfRule>
    <cfRule type="expression" dxfId="393" priority="27">
      <formula>G8="未更換"</formula>
    </cfRule>
    <cfRule type="expression" dxfId="392" priority="28">
      <formula>G8="已更換"</formula>
    </cfRule>
  </conditionalFormatting>
  <conditionalFormatting sqref="K8:K42">
    <cfRule type="expression" dxfId="391" priority="24">
      <formula>IF(K8="不保養","true","FALSE")</formula>
    </cfRule>
  </conditionalFormatting>
  <conditionalFormatting sqref="B7">
    <cfRule type="expression" dxfId="390" priority="23">
      <formula>COUNTIF(#REF!, "Yes") = 1</formula>
    </cfRule>
  </conditionalFormatting>
  <conditionalFormatting sqref="G7">
    <cfRule type="expression" dxfId="389" priority="19">
      <formula>G7="完工已補裝"</formula>
    </cfRule>
    <cfRule type="expression" dxfId="388" priority="20">
      <formula>G7="已PM未更換"</formula>
    </cfRule>
    <cfRule type="expression" dxfId="387" priority="21">
      <formula>G7="未更換"</formula>
    </cfRule>
    <cfRule type="expression" dxfId="386" priority="22">
      <formula>G7="已更換"</formula>
    </cfRule>
  </conditionalFormatting>
  <conditionalFormatting sqref="K7">
    <cfRule type="expression" dxfId="385" priority="18">
      <formula>IF(K7="不保養","true","FALSE")</formula>
    </cfRule>
  </conditionalFormatting>
  <conditionalFormatting sqref="B43:B79 B81:B113">
    <cfRule type="expression" dxfId="384" priority="17">
      <formula>COUNTIF(#REF!, "Yes") = 1</formula>
    </cfRule>
  </conditionalFormatting>
  <conditionalFormatting sqref="G43:G79 G81:G113">
    <cfRule type="expression" dxfId="383" priority="13">
      <formula>G43="完工已補裝"</formula>
    </cfRule>
    <cfRule type="expression" dxfId="382" priority="14">
      <formula>G43="已PM未更換"</formula>
    </cfRule>
    <cfRule type="expression" dxfId="381" priority="15">
      <formula>G43="未更換"</formula>
    </cfRule>
    <cfRule type="expression" dxfId="380" priority="16">
      <formula>G43="已更換"</formula>
    </cfRule>
  </conditionalFormatting>
  <conditionalFormatting sqref="K43:K79 K81:K113">
    <cfRule type="expression" dxfId="379" priority="12">
      <formula>IF(K43="不保養","true","FALSE")</formula>
    </cfRule>
  </conditionalFormatting>
  <conditionalFormatting sqref="F1">
    <cfRule type="expression" dxfId="378" priority="9">
      <formula>COUNTIF(#REF!, "Yes") = 1</formula>
    </cfRule>
  </conditionalFormatting>
  <conditionalFormatting sqref="G1">
    <cfRule type="expression" dxfId="377" priority="8">
      <formula>COUNTIF(#REF!, "Yes") = 1</formula>
    </cfRule>
  </conditionalFormatting>
  <conditionalFormatting sqref="A3">
    <cfRule type="expression" dxfId="376" priority="7">
      <formula>COUNTIF($A6:$A6, "Yes") = 1</formula>
    </cfRule>
  </conditionalFormatting>
  <conditionalFormatting sqref="E1">
    <cfRule type="expression" dxfId="375" priority="10">
      <formula>COUNTIF(#REF!, "Yes") = 1</formula>
    </cfRule>
  </conditionalFormatting>
  <conditionalFormatting sqref="A1:B1">
    <cfRule type="expression" dxfId="374" priority="11">
      <formula>COUNTIF($A2:$A2, "Yes") = 1</formula>
    </cfRule>
  </conditionalFormatting>
  <conditionalFormatting sqref="B80">
    <cfRule type="expression" dxfId="373" priority="6">
      <formula>COUNTIF(#REF!, "Yes") = 1</formula>
    </cfRule>
  </conditionalFormatting>
  <conditionalFormatting sqref="G80">
    <cfRule type="expression" dxfId="372" priority="2">
      <formula>G80="完工已補裝"</formula>
    </cfRule>
    <cfRule type="expression" dxfId="371" priority="3">
      <formula>G80="已PM未更換"</formula>
    </cfRule>
    <cfRule type="expression" dxfId="370" priority="4">
      <formula>G80="未更換"</formula>
    </cfRule>
    <cfRule type="expression" dxfId="369" priority="5">
      <formula>G80="已更換"</formula>
    </cfRule>
  </conditionalFormatting>
  <conditionalFormatting sqref="K80">
    <cfRule type="expression" dxfId="368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E9" sqref="E9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2640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71.43%</v>
      </c>
      <c r="K4" s="190">
        <f>IF(H4&lt;&gt;"",COUNTIF(H:H,"V"),"")</f>
        <v>25</v>
      </c>
      <c r="L4" s="190">
        <f>IF(H4&lt;&gt;"",I4-K4,"")</f>
        <v>10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46022</v>
      </c>
      <c r="N5" s="365" t="s">
        <v>139</v>
      </c>
      <c r="Q5" s="130"/>
      <c r="R5" s="130"/>
      <c r="S5" s="205"/>
      <c r="T5" s="206"/>
      <c r="U5" s="171" t="s">
        <v>2648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2642</v>
      </c>
      <c r="L6" s="314" t="s">
        <v>2643</v>
      </c>
      <c r="M6" s="171" t="s">
        <v>2650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2645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2645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2645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2645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2645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2645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2645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2645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2645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2645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2645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2645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2645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2645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2645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2645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2645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2645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2645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2645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2645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2645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2645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2645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2645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2645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2645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2645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2645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2645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2645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2645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2645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2645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2645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2645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3" type="noConversion"/>
  <conditionalFormatting sqref="B6 B8:B40">
    <cfRule type="expression" dxfId="367" priority="409">
      <formula>COUNTIF(#REF!, "Yes") = 1</formula>
    </cfRule>
  </conditionalFormatting>
  <conditionalFormatting sqref="N5">
    <cfRule type="expression" dxfId="366" priority="75">
      <formula>COUNTIF(#REF!, "Yes") = 1</formula>
    </cfRule>
  </conditionalFormatting>
  <conditionalFormatting sqref="B41">
    <cfRule type="expression" dxfId="365" priority="58">
      <formula>COUNTIF(#REF!, "Yes") = 1</formula>
    </cfRule>
  </conditionalFormatting>
  <conditionalFormatting sqref="G8:G41">
    <cfRule type="expression" dxfId="364" priority="31">
      <formula>G8="完工已補裝"</formula>
    </cfRule>
    <cfRule type="expression" dxfId="363" priority="32">
      <formula>G8="已PM未更換"</formula>
    </cfRule>
    <cfRule type="expression" dxfId="362" priority="33">
      <formula>G8="未更換"</formula>
    </cfRule>
    <cfRule type="expression" dxfId="361" priority="34">
      <formula>G8="已更換"</formula>
    </cfRule>
  </conditionalFormatting>
  <conditionalFormatting sqref="K8:K41">
    <cfRule type="expression" dxfId="360" priority="30">
      <formula>IF(K8="不保養","true","FALSE")</formula>
    </cfRule>
  </conditionalFormatting>
  <conditionalFormatting sqref="B7">
    <cfRule type="expression" dxfId="359" priority="29">
      <formula>COUNTIF(#REF!, "Yes") = 1</formula>
    </cfRule>
  </conditionalFormatting>
  <conditionalFormatting sqref="G7">
    <cfRule type="expression" dxfId="358" priority="25">
      <formula>G7="完工已補裝"</formula>
    </cfRule>
    <cfRule type="expression" dxfId="357" priority="26">
      <formula>G7="已PM未更換"</formula>
    </cfRule>
    <cfRule type="expression" dxfId="356" priority="27">
      <formula>G7="未更換"</formula>
    </cfRule>
    <cfRule type="expression" dxfId="355" priority="28">
      <formula>G7="已更換"</formula>
    </cfRule>
  </conditionalFormatting>
  <conditionalFormatting sqref="K7">
    <cfRule type="expression" dxfId="354" priority="24">
      <formula>IF(K7="不保養","true","FALSE")</formula>
    </cfRule>
  </conditionalFormatting>
  <conditionalFormatting sqref="B42">
    <cfRule type="expression" dxfId="353" priority="23">
      <formula>COUNTIF(#REF!, "Yes") = 1</formula>
    </cfRule>
  </conditionalFormatting>
  <conditionalFormatting sqref="G42">
    <cfRule type="expression" dxfId="352" priority="19">
      <formula>G42="完工已補裝"</formula>
    </cfRule>
    <cfRule type="expression" dxfId="351" priority="20">
      <formula>G42="已PM未更換"</formula>
    </cfRule>
    <cfRule type="expression" dxfId="350" priority="21">
      <formula>G42="未更換"</formula>
    </cfRule>
    <cfRule type="expression" dxfId="349" priority="22">
      <formula>G42="已更換"</formula>
    </cfRule>
  </conditionalFormatting>
  <conditionalFormatting sqref="K42">
    <cfRule type="expression" dxfId="348" priority="18">
      <formula>IF(K42="不保養","true","FALSE")</formula>
    </cfRule>
  </conditionalFormatting>
  <conditionalFormatting sqref="F1">
    <cfRule type="expression" dxfId="347" priority="3">
      <formula>COUNTIF(#REF!, "Yes") = 1</formula>
    </cfRule>
  </conditionalFormatting>
  <conditionalFormatting sqref="G1">
    <cfRule type="expression" dxfId="346" priority="2">
      <formula>COUNTIF(#REF!, "Yes") = 1</formula>
    </cfRule>
  </conditionalFormatting>
  <conditionalFormatting sqref="A3">
    <cfRule type="expression" dxfId="345" priority="1">
      <formula>COUNTIF($A6:$A6, "Yes") = 1</formula>
    </cfRule>
  </conditionalFormatting>
  <conditionalFormatting sqref="E1">
    <cfRule type="expression" dxfId="344" priority="4">
      <formula>COUNTIF(#REF!, "Yes") = 1</formula>
    </cfRule>
  </conditionalFormatting>
  <conditionalFormatting sqref="A1:B1">
    <cfRule type="expression" dxfId="343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3" width="8.796875" style="18" customWidth="1"/>
    <col min="334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2651</v>
      </c>
      <c r="H1" s="18" t="s">
        <v>2652</v>
      </c>
      <c r="I1" s="18" t="s">
        <v>2653</v>
      </c>
      <c r="J1" s="1"/>
      <c r="K1" s="1" t="s">
        <v>1</v>
      </c>
      <c r="L1" s="1" t="s">
        <v>325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145</v>
      </c>
      <c r="B2" s="20" t="s">
        <v>146</v>
      </c>
      <c r="C2" s="21" t="s">
        <v>2654</v>
      </c>
      <c r="D2" s="22" t="s">
        <v>144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325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325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325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325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325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325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325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325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2655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145</v>
      </c>
      <c r="B12" s="27" t="s">
        <v>146</v>
      </c>
      <c r="C12" s="28" t="s">
        <v>2654</v>
      </c>
      <c r="D12" s="29" t="s">
        <v>144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2656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2656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2656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2656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145</v>
      </c>
      <c r="B19" s="27" t="s">
        <v>146</v>
      </c>
      <c r="C19" s="28" t="s">
        <v>2654</v>
      </c>
      <c r="D19" s="29" t="s">
        <v>144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2657</v>
      </c>
      <c r="B26" s="15"/>
      <c r="C26" s="16"/>
      <c r="D26" s="17"/>
    </row>
    <row r="27" spans="1:12">
      <c r="A27" s="19" t="s">
        <v>145</v>
      </c>
      <c r="B27" s="20" t="s">
        <v>146</v>
      </c>
      <c r="C27" s="21" t="s">
        <v>2654</v>
      </c>
      <c r="D27" s="22" t="s">
        <v>144</v>
      </c>
    </row>
    <row r="28" spans="1:12">
      <c r="B28" s="24" t="e">
        <f>VLOOKUP($A28,門市主檔!$A:$C,2,FALSE)</f>
        <v>#N/A</v>
      </c>
      <c r="C28" s="25"/>
      <c r="D28" s="25" t="s">
        <v>2657</v>
      </c>
    </row>
    <row r="31" spans="1:12">
      <c r="A31" s="14" t="s">
        <v>2658</v>
      </c>
      <c r="B31" s="15"/>
      <c r="C31" s="16"/>
      <c r="D31" s="17"/>
    </row>
    <row r="32" spans="1:12">
      <c r="A32" s="19" t="s">
        <v>145</v>
      </c>
      <c r="B32" s="20" t="s">
        <v>146</v>
      </c>
      <c r="C32" s="21" t="s">
        <v>2654</v>
      </c>
      <c r="D32" s="22" t="s">
        <v>144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2659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2658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2658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2658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2658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2658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2658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2658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2658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2658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2658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2658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2658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2658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2658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2658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2658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2658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2658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2658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2658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2658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2658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2658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2658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2658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2658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2658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2658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2658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2658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2658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2658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2658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2658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2658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2658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2658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2658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2658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2658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2658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2658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2658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2658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2658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2658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2658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2658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2658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2658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2658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2658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2658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2658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2658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2658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2658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2658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2658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2658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2658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2658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2658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2658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2658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2658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2658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2658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2658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3" type="noConversion"/>
  <conditionalFormatting sqref="A4">
    <cfRule type="duplicateValues" dxfId="342" priority="7"/>
  </conditionalFormatting>
  <conditionalFormatting sqref="A5">
    <cfRule type="duplicateValues" dxfId="341" priority="6"/>
  </conditionalFormatting>
  <conditionalFormatting sqref="A3">
    <cfRule type="duplicateValues" dxfId="340" priority="5"/>
  </conditionalFormatting>
  <conditionalFormatting sqref="A31:A32">
    <cfRule type="duplicateValues" dxfId="339" priority="4"/>
  </conditionalFormatting>
  <conditionalFormatting sqref="A28">
    <cfRule type="duplicateValues" dxfId="338" priority="2"/>
  </conditionalFormatting>
  <conditionalFormatting sqref="A26:A27">
    <cfRule type="duplicateValues" dxfId="337" priority="3"/>
  </conditionalFormatting>
  <conditionalFormatting sqref="A1:A2 A6:A10 A18:A20 A23:A25 A35:A36">
    <cfRule type="duplicateValues" dxfId="336" priority="8"/>
  </conditionalFormatting>
  <conditionalFormatting sqref="A11:A13 A16">
    <cfRule type="duplicateValues" dxfId="335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97" activePane="bottomLeft" state="frozen"/>
      <selection pane="bottomLeft" activeCell="AA309" sqref="AA309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1" hidden="1" customWidth="1"/>
    <col min="12" max="12" width="8.19921875" style="272" hidden="1" customWidth="1"/>
    <col min="13" max="13" width="13.796875" style="441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49" width="8.19921875" style="320" customWidth="1"/>
    <col min="350" max="16384" width="8.19921875" style="320"/>
  </cols>
  <sheetData>
    <row r="1" spans="1:34" ht="21.6" customHeight="1">
      <c r="A1" s="2" t="s">
        <v>2660</v>
      </c>
      <c r="B1" s="2" t="s">
        <v>145</v>
      </c>
      <c r="C1" s="3" t="s">
        <v>146</v>
      </c>
      <c r="D1" s="2" t="s">
        <v>2661</v>
      </c>
      <c r="F1" s="2" t="s">
        <v>2662</v>
      </c>
      <c r="G1" s="2" t="s">
        <v>2663</v>
      </c>
      <c r="H1" s="2" t="s">
        <v>2664</v>
      </c>
      <c r="I1" s="2" t="s">
        <v>2665</v>
      </c>
      <c r="J1" s="2" t="s">
        <v>2666</v>
      </c>
      <c r="K1" s="441" t="s">
        <v>2667</v>
      </c>
      <c r="L1" s="271" t="s">
        <v>2668</v>
      </c>
      <c r="M1" s="441" t="s">
        <v>2669</v>
      </c>
      <c r="N1" s="272" t="s">
        <v>2670</v>
      </c>
      <c r="O1" s="273" t="s">
        <v>145</v>
      </c>
      <c r="P1" s="273" t="s">
        <v>2671</v>
      </c>
      <c r="Q1" s="273" t="s">
        <v>2672</v>
      </c>
      <c r="R1" s="273" t="s">
        <v>2673</v>
      </c>
      <c r="S1" s="273" t="s">
        <v>2674</v>
      </c>
      <c r="T1" s="273" t="s">
        <v>2673</v>
      </c>
      <c r="U1" s="274" t="s">
        <v>28</v>
      </c>
      <c r="V1" s="275" t="s">
        <v>277</v>
      </c>
      <c r="W1" s="275" t="s">
        <v>1085</v>
      </c>
      <c r="X1" s="275" t="s">
        <v>2675</v>
      </c>
      <c r="Y1" s="275" t="s">
        <v>30</v>
      </c>
      <c r="Z1" s="272" t="s">
        <v>2676</v>
      </c>
      <c r="AA1" s="272" t="s">
        <v>2677</v>
      </c>
      <c r="AB1" s="282" t="s">
        <v>2678</v>
      </c>
      <c r="AC1" s="282" t="s">
        <v>39</v>
      </c>
      <c r="AD1" s="282" t="s">
        <v>144</v>
      </c>
      <c r="AE1" s="282" t="s">
        <v>2679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2680</v>
      </c>
      <c r="D2" s="2" t="s">
        <v>2681</v>
      </c>
      <c r="F2" s="2" t="s">
        <v>2682</v>
      </c>
      <c r="G2" s="2" t="s">
        <v>2683</v>
      </c>
      <c r="H2" s="78" t="s">
        <v>2684</v>
      </c>
      <c r="I2" s="4" t="s">
        <v>2685</v>
      </c>
      <c r="J2" s="5" t="s">
        <v>2686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325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2687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2688</v>
      </c>
      <c r="D3" s="2" t="s">
        <v>2689</v>
      </c>
      <c r="F3" s="2" t="s">
        <v>2682</v>
      </c>
      <c r="G3" s="2" t="s">
        <v>2683</v>
      </c>
      <c r="H3" s="78" t="s">
        <v>2684</v>
      </c>
      <c r="I3" s="4" t="s">
        <v>2690</v>
      </c>
      <c r="J3" s="5" t="s">
        <v>2691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325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2687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2692</v>
      </c>
      <c r="D4" s="2" t="s">
        <v>2681</v>
      </c>
      <c r="F4" s="2" t="s">
        <v>2682</v>
      </c>
      <c r="G4" s="2" t="s">
        <v>2683</v>
      </c>
      <c r="H4" s="78" t="s">
        <v>2684</v>
      </c>
      <c r="I4" s="4" t="s">
        <v>2693</v>
      </c>
      <c r="J4" s="5" t="s">
        <v>2694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325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2687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2695</v>
      </c>
      <c r="D5" s="2" t="s">
        <v>2696</v>
      </c>
      <c r="F5" s="2" t="s">
        <v>2682</v>
      </c>
      <c r="G5" s="2" t="s">
        <v>2683</v>
      </c>
      <c r="H5" s="78" t="s">
        <v>2684</v>
      </c>
      <c r="I5" s="4" t="s">
        <v>2697</v>
      </c>
      <c r="J5" s="5" t="s">
        <v>2698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325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2687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2699</v>
      </c>
      <c r="D6" s="2" t="s">
        <v>2696</v>
      </c>
      <c r="F6" s="2" t="s">
        <v>2682</v>
      </c>
      <c r="G6" s="2" t="s">
        <v>2683</v>
      </c>
      <c r="H6" s="78" t="s">
        <v>2684</v>
      </c>
      <c r="I6" s="4" t="s">
        <v>2700</v>
      </c>
      <c r="J6" s="5" t="s">
        <v>2701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325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2687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2702</v>
      </c>
      <c r="D7" s="2" t="s">
        <v>2696</v>
      </c>
      <c r="F7" s="2" t="s">
        <v>2682</v>
      </c>
      <c r="G7" s="2" t="s">
        <v>2683</v>
      </c>
      <c r="H7" s="78" t="s">
        <v>2684</v>
      </c>
      <c r="I7" s="4" t="s">
        <v>2703</v>
      </c>
      <c r="J7" s="5" t="s">
        <v>2704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325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2679</v>
      </c>
      <c r="AF7" s="278" t="s">
        <v>2687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2705</v>
      </c>
      <c r="D8" s="2" t="s">
        <v>2681</v>
      </c>
      <c r="F8" s="2" t="s">
        <v>2706</v>
      </c>
      <c r="G8" s="2" t="s">
        <v>2707</v>
      </c>
      <c r="H8" s="78" t="s">
        <v>2708</v>
      </c>
      <c r="I8" s="4" t="s">
        <v>2709</v>
      </c>
      <c r="J8" s="5" t="s">
        <v>2710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325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2687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2711</v>
      </c>
      <c r="D9" s="2" t="s">
        <v>2681</v>
      </c>
      <c r="F9" s="2" t="s">
        <v>2706</v>
      </c>
      <c r="G9" s="2" t="s">
        <v>2707</v>
      </c>
      <c r="H9" s="78" t="s">
        <v>2708</v>
      </c>
      <c r="I9" s="4" t="s">
        <v>2712</v>
      </c>
      <c r="J9" s="5" t="s">
        <v>2713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325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2687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2714</v>
      </c>
      <c r="D10" s="2" t="s">
        <v>2681</v>
      </c>
      <c r="F10" s="2" t="s">
        <v>2715</v>
      </c>
      <c r="G10" s="2" t="s">
        <v>2716</v>
      </c>
      <c r="H10" s="78" t="s">
        <v>2717</v>
      </c>
      <c r="I10" s="4" t="s">
        <v>2718</v>
      </c>
      <c r="J10" s="5" t="s">
        <v>2719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325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2687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2720</v>
      </c>
      <c r="D11" s="2" t="s">
        <v>2681</v>
      </c>
      <c r="F11" s="2" t="s">
        <v>2715</v>
      </c>
      <c r="G11" s="2" t="s">
        <v>2716</v>
      </c>
      <c r="H11" s="78" t="s">
        <v>2717</v>
      </c>
      <c r="I11" s="4" t="s">
        <v>2721</v>
      </c>
      <c r="J11" s="5" t="s">
        <v>2722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325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2679</v>
      </c>
      <c r="AF11" s="278" t="s">
        <v>2687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200</v>
      </c>
      <c r="D12" s="2" t="s">
        <v>2689</v>
      </c>
      <c r="F12" s="2" t="s">
        <v>2715</v>
      </c>
      <c r="G12" s="2" t="s">
        <v>2716</v>
      </c>
      <c r="H12" s="78" t="s">
        <v>2717</v>
      </c>
      <c r="I12" s="4" t="s">
        <v>2723</v>
      </c>
      <c r="J12" s="5" t="s">
        <v>2724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325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2679</v>
      </c>
      <c r="AF12" s="278" t="s">
        <v>2687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2725</v>
      </c>
      <c r="D13" s="2" t="s">
        <v>2689</v>
      </c>
      <c r="F13" s="2" t="s">
        <v>2715</v>
      </c>
      <c r="G13" s="2" t="s">
        <v>2716</v>
      </c>
      <c r="H13" s="78" t="s">
        <v>2717</v>
      </c>
      <c r="I13" s="4" t="s">
        <v>2726</v>
      </c>
      <c r="J13" s="5" t="s">
        <v>2727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325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2679</v>
      </c>
      <c r="AF13" s="278" t="s">
        <v>2687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2728</v>
      </c>
      <c r="D14" s="2" t="s">
        <v>2729</v>
      </c>
      <c r="F14" s="2" t="s">
        <v>2706</v>
      </c>
      <c r="G14" s="2" t="s">
        <v>2730</v>
      </c>
      <c r="H14" s="78" t="s">
        <v>2731</v>
      </c>
      <c r="I14" s="4" t="s">
        <v>2732</v>
      </c>
      <c r="J14" s="5" t="s">
        <v>2733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325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2687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336</v>
      </c>
      <c r="D15" s="2" t="s">
        <v>2676</v>
      </c>
      <c r="F15" s="2" t="s">
        <v>2706</v>
      </c>
      <c r="G15" s="2" t="s">
        <v>2734</v>
      </c>
      <c r="H15" s="78" t="s">
        <v>2735</v>
      </c>
      <c r="I15" s="4" t="s">
        <v>2736</v>
      </c>
      <c r="J15" s="5" t="s">
        <v>2737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325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341</v>
      </c>
      <c r="D16" s="2" t="s">
        <v>2676</v>
      </c>
      <c r="F16" s="2" t="s">
        <v>2706</v>
      </c>
      <c r="G16" s="2" t="s">
        <v>2734</v>
      </c>
      <c r="H16" s="78" t="s">
        <v>2735</v>
      </c>
      <c r="I16" s="4" t="s">
        <v>2738</v>
      </c>
      <c r="J16" s="5" t="s">
        <v>2739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325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353</v>
      </c>
      <c r="D17" s="2" t="s">
        <v>2696</v>
      </c>
      <c r="F17" s="2" t="s">
        <v>2706</v>
      </c>
      <c r="G17" s="2" t="s">
        <v>2730</v>
      </c>
      <c r="H17" s="78" t="s">
        <v>2731</v>
      </c>
      <c r="I17" s="4" t="s">
        <v>2740</v>
      </c>
      <c r="J17" s="5" t="s">
        <v>2741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325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2687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349</v>
      </c>
      <c r="D18" s="2" t="s">
        <v>2681</v>
      </c>
      <c r="F18" s="2" t="s">
        <v>2706</v>
      </c>
      <c r="G18" s="2" t="s">
        <v>2730</v>
      </c>
      <c r="H18" s="78" t="s">
        <v>2731</v>
      </c>
      <c r="I18" s="4" t="s">
        <v>2742</v>
      </c>
      <c r="J18" s="5" t="s">
        <v>2743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325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2687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2744</v>
      </c>
      <c r="D19" s="2" t="s">
        <v>2696</v>
      </c>
      <c r="F19" s="2" t="s">
        <v>2706</v>
      </c>
      <c r="G19" s="2" t="s">
        <v>2730</v>
      </c>
      <c r="H19" s="78" t="s">
        <v>2731</v>
      </c>
      <c r="I19" s="4" t="s">
        <v>2745</v>
      </c>
      <c r="J19" s="5" t="s">
        <v>2746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325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2687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332</v>
      </c>
      <c r="D20" s="2" t="s">
        <v>2696</v>
      </c>
      <c r="F20" s="2" t="s">
        <v>2706</v>
      </c>
      <c r="G20" s="2" t="s">
        <v>2730</v>
      </c>
      <c r="H20" s="78" t="s">
        <v>2731</v>
      </c>
      <c r="I20" s="4" t="s">
        <v>2747</v>
      </c>
      <c r="J20" s="5" t="s">
        <v>2748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325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2687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2749</v>
      </c>
      <c r="D21" s="2" t="s">
        <v>2696</v>
      </c>
      <c r="F21" s="2" t="s">
        <v>2706</v>
      </c>
      <c r="G21" s="2" t="s">
        <v>2730</v>
      </c>
      <c r="H21" s="78" t="s">
        <v>2731</v>
      </c>
      <c r="I21" s="4" t="s">
        <v>2750</v>
      </c>
      <c r="J21" s="5" t="s">
        <v>2751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325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2687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2752</v>
      </c>
      <c r="D22" s="2" t="s">
        <v>2681</v>
      </c>
      <c r="F22" s="2" t="s">
        <v>2706</v>
      </c>
      <c r="G22" s="2" t="s">
        <v>2730</v>
      </c>
      <c r="H22" s="78" t="s">
        <v>2731</v>
      </c>
      <c r="I22" s="4" t="s">
        <v>2753</v>
      </c>
      <c r="J22" s="5" t="s">
        <v>2754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325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2687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345</v>
      </c>
      <c r="D23" s="2" t="s">
        <v>2696</v>
      </c>
      <c r="F23" s="2" t="s">
        <v>2706</v>
      </c>
      <c r="G23" s="2" t="s">
        <v>2730</v>
      </c>
      <c r="H23" s="78" t="s">
        <v>2731</v>
      </c>
      <c r="I23" s="4" t="s">
        <v>2755</v>
      </c>
      <c r="J23" s="5" t="s">
        <v>2756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325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2687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322</v>
      </c>
      <c r="D24" s="2" t="s">
        <v>2681</v>
      </c>
      <c r="F24" s="2" t="s">
        <v>2706</v>
      </c>
      <c r="G24" s="2" t="s">
        <v>2730</v>
      </c>
      <c r="H24" s="78" t="s">
        <v>2731</v>
      </c>
      <c r="I24" s="4" t="s">
        <v>2757</v>
      </c>
      <c r="J24" s="5" t="s">
        <v>2758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325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2687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2759</v>
      </c>
      <c r="D25" s="2" t="s">
        <v>2689</v>
      </c>
      <c r="F25" s="2" t="s">
        <v>2706</v>
      </c>
      <c r="G25" s="2" t="s">
        <v>2760</v>
      </c>
      <c r="H25" s="78" t="s">
        <v>2761</v>
      </c>
      <c r="I25" s="4" t="s">
        <v>2762</v>
      </c>
      <c r="J25" s="5" t="s">
        <v>2763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325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2687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260</v>
      </c>
      <c r="D26" s="2"/>
      <c r="F26" s="2"/>
      <c r="G26" s="2"/>
      <c r="H26" s="78"/>
      <c r="J26" s="5" t="s">
        <v>2764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325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2687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2765</v>
      </c>
      <c r="D27" s="2" t="s">
        <v>2689</v>
      </c>
      <c r="F27" s="2" t="s">
        <v>2715</v>
      </c>
      <c r="G27" s="2" t="s">
        <v>2716</v>
      </c>
      <c r="H27" s="78" t="s">
        <v>2717</v>
      </c>
      <c r="I27" s="4" t="s">
        <v>2766</v>
      </c>
      <c r="J27" s="5" t="s">
        <v>2767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325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2687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2768</v>
      </c>
      <c r="D28" s="2" t="s">
        <v>2689</v>
      </c>
      <c r="F28" s="2" t="s">
        <v>2715</v>
      </c>
      <c r="G28" s="2" t="s">
        <v>2716</v>
      </c>
      <c r="H28" s="78" t="s">
        <v>2717</v>
      </c>
      <c r="I28" s="4" t="s">
        <v>2769</v>
      </c>
      <c r="J28" s="5" t="s">
        <v>2770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325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2679</v>
      </c>
      <c r="AF28" s="278" t="s">
        <v>2687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2771</v>
      </c>
      <c r="D29" s="2" t="s">
        <v>2696</v>
      </c>
      <c r="F29" s="2" t="s">
        <v>2706</v>
      </c>
      <c r="G29" s="2" t="s">
        <v>2772</v>
      </c>
      <c r="H29" s="78" t="s">
        <v>2773</v>
      </c>
      <c r="I29" s="4" t="s">
        <v>2774</v>
      </c>
      <c r="J29" s="5" t="s">
        <v>2775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325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2679</v>
      </c>
      <c r="AF29" s="278" t="s">
        <v>2687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2776</v>
      </c>
      <c r="D30" s="2" t="s">
        <v>2681</v>
      </c>
      <c r="F30" s="2" t="s">
        <v>2706</v>
      </c>
      <c r="G30" s="2" t="s">
        <v>2772</v>
      </c>
      <c r="H30" s="78" t="s">
        <v>2773</v>
      </c>
      <c r="I30" s="4" t="s">
        <v>2777</v>
      </c>
      <c r="J30" s="5" t="s">
        <v>2778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325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2687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2779</v>
      </c>
      <c r="D31" s="2" t="s">
        <v>2681</v>
      </c>
      <c r="F31" s="2" t="s">
        <v>2706</v>
      </c>
      <c r="G31" s="2" t="s">
        <v>2772</v>
      </c>
      <c r="H31" s="78" t="s">
        <v>2773</v>
      </c>
      <c r="I31" s="4" t="s">
        <v>2780</v>
      </c>
      <c r="J31" s="5" t="s">
        <v>2781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325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2687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570</v>
      </c>
      <c r="D32" s="2" t="s">
        <v>2681</v>
      </c>
      <c r="F32" s="2" t="s">
        <v>2715</v>
      </c>
      <c r="G32" s="2" t="s">
        <v>2782</v>
      </c>
      <c r="H32" s="78" t="s">
        <v>2783</v>
      </c>
      <c r="I32" s="4" t="s">
        <v>2784</v>
      </c>
      <c r="J32" s="5" t="s">
        <v>2785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325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2687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2786</v>
      </c>
      <c r="D33" s="2" t="s">
        <v>2681</v>
      </c>
      <c r="F33" s="2" t="s">
        <v>2715</v>
      </c>
      <c r="G33" s="2" t="s">
        <v>2716</v>
      </c>
      <c r="H33" s="78" t="s">
        <v>2717</v>
      </c>
      <c r="I33" s="4" t="s">
        <v>2787</v>
      </c>
      <c r="J33" s="5" t="s">
        <v>2788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325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2687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598</v>
      </c>
      <c r="D34" s="2" t="s">
        <v>2681</v>
      </c>
      <c r="F34" s="2" t="s">
        <v>2715</v>
      </c>
      <c r="G34" s="2" t="s">
        <v>2716</v>
      </c>
      <c r="H34" s="78" t="s">
        <v>2717</v>
      </c>
      <c r="I34" s="4" t="s">
        <v>2789</v>
      </c>
      <c r="J34" s="5" t="s">
        <v>2790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325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2687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160</v>
      </c>
      <c r="D35" s="2" t="s">
        <v>2729</v>
      </c>
      <c r="F35" s="2" t="s">
        <v>2715</v>
      </c>
      <c r="G35" s="2" t="s">
        <v>2716</v>
      </c>
      <c r="H35" s="78" t="s">
        <v>2717</v>
      </c>
      <c r="I35" s="4" t="s">
        <v>2791</v>
      </c>
      <c r="J35" s="5" t="s">
        <v>2792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325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2687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618</v>
      </c>
      <c r="D36" s="2" t="s">
        <v>2689</v>
      </c>
      <c r="F36" s="2" t="s">
        <v>2715</v>
      </c>
      <c r="G36" s="2" t="s">
        <v>2716</v>
      </c>
      <c r="H36" s="78" t="s">
        <v>2717</v>
      </c>
      <c r="I36" s="4" t="s">
        <v>2793</v>
      </c>
      <c r="J36" s="5" t="s">
        <v>2794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325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2679</v>
      </c>
      <c r="AF36" s="278" t="s">
        <v>2687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2795</v>
      </c>
      <c r="D37" s="2" t="s">
        <v>2729</v>
      </c>
      <c r="F37" s="2" t="s">
        <v>2715</v>
      </c>
      <c r="G37" s="2" t="s">
        <v>2716</v>
      </c>
      <c r="H37" s="78" t="s">
        <v>2717</v>
      </c>
      <c r="I37" s="4" t="s">
        <v>2796</v>
      </c>
      <c r="J37" s="5" t="s">
        <v>2797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325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2687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776</v>
      </c>
      <c r="D38" s="2" t="s">
        <v>2689</v>
      </c>
      <c r="F38" s="2" t="s">
        <v>2715</v>
      </c>
      <c r="G38" s="2" t="s">
        <v>2782</v>
      </c>
      <c r="H38" s="78" t="s">
        <v>2783</v>
      </c>
      <c r="I38" s="4" t="s">
        <v>2798</v>
      </c>
      <c r="J38" s="5" t="s">
        <v>2799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325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2679</v>
      </c>
      <c r="AF38" s="278" t="s">
        <v>2687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2800</v>
      </c>
      <c r="D39" s="2" t="s">
        <v>2681</v>
      </c>
      <c r="F39" s="2" t="s">
        <v>2715</v>
      </c>
      <c r="G39" s="2" t="s">
        <v>2782</v>
      </c>
      <c r="H39" s="78" t="s">
        <v>2783</v>
      </c>
      <c r="I39" s="4" t="s">
        <v>2801</v>
      </c>
      <c r="J39" s="5" t="s">
        <v>2802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325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2687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578</v>
      </c>
      <c r="D40" s="2" t="s">
        <v>2689</v>
      </c>
      <c r="F40" s="2" t="s">
        <v>2715</v>
      </c>
      <c r="G40" s="2" t="s">
        <v>2782</v>
      </c>
      <c r="H40" s="78" t="s">
        <v>2783</v>
      </c>
      <c r="I40" s="4" t="s">
        <v>2803</v>
      </c>
      <c r="J40" s="5" t="s">
        <v>2804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325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2687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582</v>
      </c>
      <c r="D41" s="2" t="s">
        <v>2681</v>
      </c>
      <c r="F41" s="2" t="s">
        <v>2715</v>
      </c>
      <c r="G41" s="2" t="s">
        <v>2782</v>
      </c>
      <c r="H41" s="78" t="s">
        <v>2783</v>
      </c>
      <c r="I41" s="4" t="s">
        <v>2805</v>
      </c>
      <c r="J41" s="5" t="s">
        <v>2806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325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2679</v>
      </c>
      <c r="AF41" s="278" t="s">
        <v>2687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2807</v>
      </c>
      <c r="D42" s="2" t="s">
        <v>2689</v>
      </c>
      <c r="F42" s="2" t="s">
        <v>2715</v>
      </c>
      <c r="G42" s="2" t="s">
        <v>2782</v>
      </c>
      <c r="H42" s="78" t="s">
        <v>2783</v>
      </c>
      <c r="I42" s="4" t="s">
        <v>2808</v>
      </c>
      <c r="J42" s="5" t="s">
        <v>2809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325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2687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565</v>
      </c>
      <c r="D43" s="2" t="s">
        <v>2696</v>
      </c>
      <c r="F43" s="2" t="s">
        <v>2715</v>
      </c>
      <c r="G43" s="2" t="s">
        <v>2782</v>
      </c>
      <c r="H43" s="78" t="s">
        <v>2783</v>
      </c>
      <c r="I43" s="4" t="s">
        <v>2810</v>
      </c>
      <c r="J43" s="5" t="s">
        <v>2811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325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2687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586</v>
      </c>
      <c r="D44" s="2" t="s">
        <v>2681</v>
      </c>
      <c r="F44" s="2" t="s">
        <v>2715</v>
      </c>
      <c r="G44" s="2" t="s">
        <v>2782</v>
      </c>
      <c r="H44" s="78" t="s">
        <v>2783</v>
      </c>
      <c r="I44" s="4" t="s">
        <v>2812</v>
      </c>
      <c r="J44" s="5" t="s">
        <v>2813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325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2687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574</v>
      </c>
      <c r="D45" s="2" t="s">
        <v>2696</v>
      </c>
      <c r="F45" s="2" t="s">
        <v>2715</v>
      </c>
      <c r="G45" s="2" t="s">
        <v>2782</v>
      </c>
      <c r="H45" s="78" t="s">
        <v>2783</v>
      </c>
      <c r="I45" s="4" t="s">
        <v>2814</v>
      </c>
      <c r="J45" s="5" t="s">
        <v>2815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325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2679</v>
      </c>
      <c r="AF45" s="278" t="s">
        <v>2687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2729</v>
      </c>
      <c r="F46" s="2" t="s">
        <v>2715</v>
      </c>
      <c r="G46" s="2" t="s">
        <v>2782</v>
      </c>
      <c r="H46" s="78" t="s">
        <v>2783</v>
      </c>
      <c r="I46" s="4" t="s">
        <v>2816</v>
      </c>
      <c r="J46" s="5" t="s">
        <v>2817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325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2679</v>
      </c>
      <c r="AF46" s="278" t="s">
        <v>2687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788</v>
      </c>
      <c r="D47" s="2" t="s">
        <v>2689</v>
      </c>
      <c r="F47" s="2" t="s">
        <v>2715</v>
      </c>
      <c r="G47" s="2" t="s">
        <v>2782</v>
      </c>
      <c r="H47" s="78" t="s">
        <v>2783</v>
      </c>
      <c r="I47" s="4" t="s">
        <v>2818</v>
      </c>
      <c r="J47" s="5" t="s">
        <v>2819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325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2679</v>
      </c>
      <c r="AF47" s="278" t="s">
        <v>2687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2820</v>
      </c>
      <c r="J48" s="5" t="s">
        <v>2821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325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2822</v>
      </c>
      <c r="J49" s="5" t="s">
        <v>2823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325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2824</v>
      </c>
      <c r="J50" s="5" t="s">
        <v>2825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325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2826</v>
      </c>
      <c r="J51" s="5" t="s">
        <v>2827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325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2828</v>
      </c>
      <c r="J52" s="5" t="s">
        <v>2829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325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2830</v>
      </c>
      <c r="J53" s="5" t="s">
        <v>2831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325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2832</v>
      </c>
      <c r="J54" s="5" t="s">
        <v>2833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325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2834</v>
      </c>
      <c r="J55" s="5" t="s">
        <v>2835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325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2836</v>
      </c>
      <c r="J56" s="5" t="s">
        <v>2837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325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2838</v>
      </c>
      <c r="J57" s="5" t="s">
        <v>2839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325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2840</v>
      </c>
      <c r="J58" s="5" t="s">
        <v>2841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325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2842</v>
      </c>
      <c r="J59" s="5" t="s">
        <v>2843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325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2844</v>
      </c>
      <c r="J60" s="5" t="s">
        <v>2845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325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2846</v>
      </c>
      <c r="J61" s="5" t="s">
        <v>2847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325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2848</v>
      </c>
      <c r="J62" s="5" t="s">
        <v>2849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325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2850</v>
      </c>
      <c r="J63" s="5" t="s">
        <v>2851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325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2852</v>
      </c>
      <c r="J64" s="5" t="s">
        <v>2853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325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2854</v>
      </c>
      <c r="J65" s="5" t="s">
        <v>2855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325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2856</v>
      </c>
      <c r="J66" s="5" t="s">
        <v>2857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325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2858</v>
      </c>
      <c r="J67" s="5" t="s">
        <v>2859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325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2860</v>
      </c>
      <c r="J68" s="5" t="s">
        <v>2861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325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2862</v>
      </c>
      <c r="J69" s="5" t="s">
        <v>2863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325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2864</v>
      </c>
      <c r="J70" s="5" t="s">
        <v>2865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325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2866</v>
      </c>
      <c r="J71" s="5" t="s">
        <v>2867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325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2868</v>
      </c>
      <c r="J72" s="5" t="s">
        <v>2869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325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2870</v>
      </c>
      <c r="J73" s="5" t="s">
        <v>2871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325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2872</v>
      </c>
      <c r="J74" s="5" t="s">
        <v>2873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325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2874</v>
      </c>
      <c r="J75" s="5" t="s">
        <v>2875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325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2876</v>
      </c>
      <c r="J76" s="5" t="s">
        <v>2877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325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2878</v>
      </c>
      <c r="J77" s="5" t="s">
        <v>2879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325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2880</v>
      </c>
      <c r="J78" s="5" t="s">
        <v>2863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325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2881</v>
      </c>
      <c r="J79" s="5" t="s">
        <v>2882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325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2883</v>
      </c>
      <c r="J80" s="5" t="s">
        <v>2884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325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2885</v>
      </c>
      <c r="J81" s="5" t="s">
        <v>2886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325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2887</v>
      </c>
      <c r="J82" s="5" t="s">
        <v>2888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325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2889</v>
      </c>
      <c r="J83" s="5" t="s">
        <v>2890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325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2891</v>
      </c>
      <c r="J84" s="5" t="s">
        <v>2892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325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2893</v>
      </c>
      <c r="J85" s="5" t="s">
        <v>2894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325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2895</v>
      </c>
      <c r="J86" s="5" t="s">
        <v>2896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325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2897</v>
      </c>
      <c r="J87" s="5" t="s">
        <v>2898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325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2899</v>
      </c>
      <c r="J88" s="5" t="s">
        <v>2900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325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2901</v>
      </c>
      <c r="J89" s="5" t="s">
        <v>2902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325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2903</v>
      </c>
      <c r="J90" s="5" t="s">
        <v>2904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325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2905</v>
      </c>
      <c r="J91" s="5" t="s">
        <v>2906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325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2907</v>
      </c>
      <c r="J92" s="5" t="s">
        <v>2908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325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2909</v>
      </c>
      <c r="J93" s="5" t="s">
        <v>2910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325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2911</v>
      </c>
      <c r="J94" s="5" t="s">
        <v>2912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325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2913</v>
      </c>
      <c r="J95" s="5" t="s">
        <v>2914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325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2915</v>
      </c>
      <c r="J96" s="5" t="s">
        <v>2916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325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2917</v>
      </c>
      <c r="J97" s="5" t="s">
        <v>2918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325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2919</v>
      </c>
      <c r="J98" s="5" t="s">
        <v>2920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325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2921</v>
      </c>
      <c r="J99" s="5" t="s">
        <v>2922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325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2923</v>
      </c>
      <c r="J100" s="5" t="s">
        <v>2924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325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2925</v>
      </c>
      <c r="J101" s="5" t="s">
        <v>2926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325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2927</v>
      </c>
      <c r="J102" s="5" t="s">
        <v>2928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325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2929</v>
      </c>
      <c r="J103" s="5" t="s">
        <v>2930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325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2931</v>
      </c>
      <c r="J104" s="5" t="s">
        <v>2932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325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2933</v>
      </c>
      <c r="J105" s="5" t="s">
        <v>2934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325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986</v>
      </c>
      <c r="D106" s="2" t="s">
        <v>2681</v>
      </c>
      <c r="F106" s="2" t="s">
        <v>2935</v>
      </c>
      <c r="G106" s="2" t="s">
        <v>2936</v>
      </c>
      <c r="H106" s="78" t="s">
        <v>2937</v>
      </c>
      <c r="I106" s="4" t="s">
        <v>2938</v>
      </c>
      <c r="J106" s="5" t="s">
        <v>2939</v>
      </c>
      <c r="L106" s="441"/>
      <c r="N106" s="441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325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2687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1021</v>
      </c>
      <c r="D107" s="2" t="s">
        <v>2689</v>
      </c>
      <c r="F107" s="2" t="s">
        <v>2935</v>
      </c>
      <c r="G107" s="2" t="s">
        <v>2940</v>
      </c>
      <c r="H107" s="78" t="s">
        <v>2941</v>
      </c>
      <c r="I107" s="4" t="s">
        <v>2942</v>
      </c>
      <c r="J107" s="5" t="s">
        <v>2943</v>
      </c>
      <c r="L107" s="441"/>
      <c r="N107" s="441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325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2687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2944</v>
      </c>
      <c r="D108" s="2" t="s">
        <v>2696</v>
      </c>
      <c r="F108" s="2" t="s">
        <v>2935</v>
      </c>
      <c r="G108" s="2" t="s">
        <v>2945</v>
      </c>
      <c r="H108" s="78" t="s">
        <v>2946</v>
      </c>
      <c r="I108" s="4" t="s">
        <v>2947</v>
      </c>
      <c r="J108" s="5" t="s">
        <v>2948</v>
      </c>
      <c r="L108" s="441"/>
      <c r="N108" s="441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325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2687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2949</v>
      </c>
      <c r="D109" s="2" t="s">
        <v>2681</v>
      </c>
      <c r="F109" s="2" t="s">
        <v>2935</v>
      </c>
      <c r="G109" s="2" t="s">
        <v>2945</v>
      </c>
      <c r="H109" s="78" t="s">
        <v>2946</v>
      </c>
      <c r="I109" s="4" t="s">
        <v>2950</v>
      </c>
      <c r="J109" s="5" t="s">
        <v>2951</v>
      </c>
      <c r="L109" s="441"/>
      <c r="N109" s="441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325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2687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642</v>
      </c>
      <c r="D110" s="2" t="s">
        <v>2681</v>
      </c>
      <c r="F110" s="2" t="s">
        <v>2935</v>
      </c>
      <c r="G110" s="2" t="s">
        <v>2945</v>
      </c>
      <c r="H110" s="78" t="s">
        <v>2946</v>
      </c>
      <c r="I110" s="4" t="s">
        <v>2952</v>
      </c>
      <c r="J110" s="5" t="s">
        <v>2953</v>
      </c>
      <c r="L110" s="441"/>
      <c r="N110" s="441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325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2687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1031</v>
      </c>
      <c r="D111" s="2" t="s">
        <v>2689</v>
      </c>
      <c r="F111" s="2" t="s">
        <v>2935</v>
      </c>
      <c r="G111" s="2" t="s">
        <v>2945</v>
      </c>
      <c r="H111" s="78" t="s">
        <v>2946</v>
      </c>
      <c r="I111" s="4" t="s">
        <v>2954</v>
      </c>
      <c r="J111" s="5" t="s">
        <v>2955</v>
      </c>
      <c r="L111" s="441"/>
      <c r="N111" s="441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325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2687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2956</v>
      </c>
      <c r="D112" s="2" t="s">
        <v>2681</v>
      </c>
      <c r="F112" s="2" t="s">
        <v>2935</v>
      </c>
      <c r="G112" s="2" t="s">
        <v>2945</v>
      </c>
      <c r="H112" s="78" t="s">
        <v>2946</v>
      </c>
      <c r="I112" s="4" t="s">
        <v>2957</v>
      </c>
      <c r="J112" s="5" t="s">
        <v>2958</v>
      </c>
      <c r="L112" s="441"/>
      <c r="N112" s="441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325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2687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626</v>
      </c>
      <c r="D113" s="2" t="s">
        <v>2689</v>
      </c>
      <c r="F113" s="2" t="s">
        <v>2935</v>
      </c>
      <c r="G113" s="2" t="s">
        <v>2945</v>
      </c>
      <c r="H113" s="78" t="s">
        <v>2946</v>
      </c>
      <c r="I113" s="4" t="s">
        <v>2959</v>
      </c>
      <c r="J113" s="5" t="s">
        <v>2960</v>
      </c>
      <c r="L113" s="441"/>
      <c r="N113" s="441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325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2687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725</v>
      </c>
      <c r="D114" s="2" t="s">
        <v>2681</v>
      </c>
      <c r="F114" s="2" t="s">
        <v>2935</v>
      </c>
      <c r="G114" s="2" t="s">
        <v>2945</v>
      </c>
      <c r="H114" s="78" t="s">
        <v>2946</v>
      </c>
      <c r="I114" s="4" t="s">
        <v>2961</v>
      </c>
      <c r="J114" s="5" t="s">
        <v>2962</v>
      </c>
      <c r="L114" s="441"/>
      <c r="N114" s="441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325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2687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1039</v>
      </c>
      <c r="D115" s="2" t="s">
        <v>2681</v>
      </c>
      <c r="F115" s="2" t="s">
        <v>2935</v>
      </c>
      <c r="G115" s="2" t="s">
        <v>2945</v>
      </c>
      <c r="H115" s="2" t="s">
        <v>2946</v>
      </c>
      <c r="I115" s="4" t="s">
        <v>2963</v>
      </c>
      <c r="J115" s="5" t="s">
        <v>2964</v>
      </c>
      <c r="L115" s="441"/>
      <c r="N115" s="441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325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2687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2965</v>
      </c>
      <c r="D116" s="2" t="s">
        <v>2681</v>
      </c>
      <c r="F116" s="2" t="s">
        <v>2935</v>
      </c>
      <c r="G116" s="2" t="s">
        <v>2945</v>
      </c>
      <c r="H116" s="78" t="s">
        <v>2946</v>
      </c>
      <c r="I116" s="4" t="s">
        <v>2966</v>
      </c>
      <c r="J116" s="5" t="s">
        <v>2967</v>
      </c>
      <c r="L116" s="441"/>
      <c r="N116" s="441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325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2679</v>
      </c>
      <c r="AF116" s="278" t="s">
        <v>2687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186</v>
      </c>
      <c r="D117" s="2" t="s">
        <v>2696</v>
      </c>
      <c r="F117" s="2" t="s">
        <v>2935</v>
      </c>
      <c r="G117" s="2" t="s">
        <v>2945</v>
      </c>
      <c r="H117" s="78" t="s">
        <v>2946</v>
      </c>
      <c r="I117" s="4" t="s">
        <v>2968</v>
      </c>
      <c r="J117" s="5" t="s">
        <v>2969</v>
      </c>
      <c r="L117" s="441"/>
      <c r="N117" s="441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325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2679</v>
      </c>
      <c r="AF117" s="278" t="s">
        <v>2687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1035</v>
      </c>
      <c r="D118" s="2" t="s">
        <v>2696</v>
      </c>
      <c r="F118" s="2" t="s">
        <v>2935</v>
      </c>
      <c r="G118" s="2" t="s">
        <v>2945</v>
      </c>
      <c r="H118" s="78" t="s">
        <v>2946</v>
      </c>
      <c r="I118" s="4" t="s">
        <v>2970</v>
      </c>
      <c r="J118" s="5" t="s">
        <v>2971</v>
      </c>
      <c r="L118" s="441"/>
      <c r="N118" s="441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325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2687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2972</v>
      </c>
      <c r="D119" s="2" t="s">
        <v>2681</v>
      </c>
      <c r="F119" s="2" t="s">
        <v>2935</v>
      </c>
      <c r="G119" s="2" t="s">
        <v>2973</v>
      </c>
      <c r="H119" s="78" t="s">
        <v>2974</v>
      </c>
      <c r="I119" s="4" t="s">
        <v>2975</v>
      </c>
      <c r="J119" s="5" t="s">
        <v>2976</v>
      </c>
      <c r="L119" s="441"/>
      <c r="N119" s="441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325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2687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594</v>
      </c>
      <c r="D120" s="2" t="s">
        <v>2689</v>
      </c>
      <c r="F120" s="2" t="s">
        <v>2935</v>
      </c>
      <c r="G120" s="2" t="s">
        <v>2973</v>
      </c>
      <c r="H120" s="78" t="s">
        <v>2974</v>
      </c>
      <c r="I120" s="4" t="s">
        <v>2977</v>
      </c>
      <c r="J120" s="5" t="s">
        <v>2978</v>
      </c>
      <c r="L120" s="441"/>
      <c r="N120" s="441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325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2687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937</v>
      </c>
      <c r="D121" s="2" t="s">
        <v>2696</v>
      </c>
      <c r="F121" s="2" t="s">
        <v>2935</v>
      </c>
      <c r="G121" s="2" t="s">
        <v>2973</v>
      </c>
      <c r="H121" s="78" t="s">
        <v>2974</v>
      </c>
      <c r="I121" s="4" t="s">
        <v>2979</v>
      </c>
      <c r="J121" s="5" t="s">
        <v>2980</v>
      </c>
      <c r="L121" s="441"/>
      <c r="N121" s="441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325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2687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705</v>
      </c>
      <c r="D122" s="2" t="s">
        <v>2681</v>
      </c>
      <c r="F122" s="2" t="s">
        <v>2935</v>
      </c>
      <c r="G122" s="2" t="s">
        <v>2973</v>
      </c>
      <c r="H122" s="78" t="s">
        <v>2974</v>
      </c>
      <c r="I122" s="4" t="s">
        <v>2981</v>
      </c>
      <c r="J122" s="5" t="s">
        <v>2982</v>
      </c>
      <c r="L122" s="441"/>
      <c r="N122" s="441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325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2687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622</v>
      </c>
      <c r="D123" s="2" t="s">
        <v>2681</v>
      </c>
      <c r="F123" s="2" t="s">
        <v>2935</v>
      </c>
      <c r="G123" s="2" t="s">
        <v>2973</v>
      </c>
      <c r="H123" s="78" t="s">
        <v>2974</v>
      </c>
      <c r="I123" s="4" t="s">
        <v>2983</v>
      </c>
      <c r="J123" s="5" t="s">
        <v>2984</v>
      </c>
      <c r="L123" s="441"/>
      <c r="N123" s="441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325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2687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590</v>
      </c>
      <c r="D124" s="2" t="s">
        <v>2681</v>
      </c>
      <c r="F124" s="2" t="s">
        <v>2935</v>
      </c>
      <c r="G124" s="2" t="s">
        <v>2973</v>
      </c>
      <c r="H124" s="78" t="s">
        <v>2974</v>
      </c>
      <c r="I124" s="4" t="s">
        <v>2985</v>
      </c>
      <c r="J124" s="5" t="s">
        <v>2986</v>
      </c>
      <c r="L124" s="441"/>
      <c r="N124" s="441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325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2679</v>
      </c>
      <c r="AF124" s="278" t="s">
        <v>2687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2987</v>
      </c>
      <c r="D125" s="2" t="s">
        <v>2681</v>
      </c>
      <c r="F125" s="2" t="s">
        <v>2935</v>
      </c>
      <c r="G125" s="2" t="s">
        <v>2973</v>
      </c>
      <c r="H125" s="78" t="s">
        <v>2974</v>
      </c>
      <c r="I125" s="4" t="s">
        <v>2988</v>
      </c>
      <c r="J125" s="5" t="s">
        <v>2989</v>
      </c>
      <c r="L125" s="441"/>
      <c r="N125" s="441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325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2679</v>
      </c>
      <c r="AF125" s="278" t="s">
        <v>2687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2990</v>
      </c>
      <c r="D126" s="2" t="s">
        <v>2696</v>
      </c>
      <c r="F126" s="2" t="s">
        <v>2935</v>
      </c>
      <c r="G126" s="2" t="s">
        <v>2973</v>
      </c>
      <c r="H126" s="78" t="s">
        <v>2974</v>
      </c>
      <c r="I126" s="4" t="s">
        <v>2991</v>
      </c>
      <c r="J126" s="5" t="s">
        <v>2992</v>
      </c>
      <c r="L126" s="441"/>
      <c r="N126" s="441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325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2687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2993</v>
      </c>
      <c r="D127" s="2" t="s">
        <v>2696</v>
      </c>
      <c r="F127" s="2" t="s">
        <v>2935</v>
      </c>
      <c r="G127" s="2" t="s">
        <v>2973</v>
      </c>
      <c r="H127" s="78" t="s">
        <v>2974</v>
      </c>
      <c r="I127" s="4" t="s">
        <v>2994</v>
      </c>
      <c r="J127" s="5" t="s">
        <v>2995</v>
      </c>
      <c r="L127" s="441"/>
      <c r="N127" s="441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325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2679</v>
      </c>
      <c r="AF127" s="278" t="s">
        <v>2687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1025</v>
      </c>
      <c r="D128" s="2" t="s">
        <v>2676</v>
      </c>
      <c r="F128" s="2" t="s">
        <v>2935</v>
      </c>
      <c r="G128" s="2" t="s">
        <v>2973</v>
      </c>
      <c r="H128" s="78" t="s">
        <v>2974</v>
      </c>
      <c r="I128" s="4" t="s">
        <v>2996</v>
      </c>
      <c r="J128" s="5" t="s">
        <v>2997</v>
      </c>
      <c r="L128" s="441"/>
      <c r="N128" s="441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325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531</v>
      </c>
      <c r="D129" s="2" t="s">
        <v>2681</v>
      </c>
      <c r="F129" s="2" t="s">
        <v>2935</v>
      </c>
      <c r="G129" s="2" t="s">
        <v>2936</v>
      </c>
      <c r="H129" s="78" t="s">
        <v>2937</v>
      </c>
      <c r="I129" s="4" t="s">
        <v>2998</v>
      </c>
      <c r="J129" s="5" t="s">
        <v>2999</v>
      </c>
      <c r="L129" s="441"/>
      <c r="N129" s="441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325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2687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543</v>
      </c>
      <c r="D130" s="2" t="s">
        <v>2681</v>
      </c>
      <c r="F130" s="2" t="s">
        <v>2935</v>
      </c>
      <c r="G130" s="2" t="s">
        <v>2936</v>
      </c>
      <c r="H130" s="78" t="s">
        <v>2937</v>
      </c>
      <c r="I130" s="4" t="s">
        <v>3000</v>
      </c>
      <c r="J130" s="5" t="s">
        <v>3001</v>
      </c>
      <c r="L130" s="441"/>
      <c r="N130" s="441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325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2687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1017</v>
      </c>
      <c r="D131" s="2" t="s">
        <v>2681</v>
      </c>
      <c r="F131" s="2" t="s">
        <v>2935</v>
      </c>
      <c r="G131" s="2" t="s">
        <v>2936</v>
      </c>
      <c r="H131" s="78" t="s">
        <v>2937</v>
      </c>
      <c r="I131" s="4" t="s">
        <v>3002</v>
      </c>
      <c r="J131" s="5" t="s">
        <v>3003</v>
      </c>
      <c r="L131" s="441"/>
      <c r="N131" s="441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325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2679</v>
      </c>
      <c r="AF131" s="278" t="s">
        <v>2687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978</v>
      </c>
      <c r="D132" s="2" t="s">
        <v>2696</v>
      </c>
      <c r="F132" s="2" t="s">
        <v>2935</v>
      </c>
      <c r="G132" s="2" t="s">
        <v>2936</v>
      </c>
      <c r="H132" s="78" t="s">
        <v>2937</v>
      </c>
      <c r="I132" s="4" t="s">
        <v>3004</v>
      </c>
      <c r="J132" s="5" t="s">
        <v>3005</v>
      </c>
      <c r="L132" s="441"/>
      <c r="N132" s="441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325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2687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982</v>
      </c>
      <c r="D133" s="2" t="s">
        <v>2696</v>
      </c>
      <c r="F133" s="2" t="s">
        <v>2935</v>
      </c>
      <c r="G133" s="2" t="s">
        <v>2936</v>
      </c>
      <c r="H133" s="78" t="s">
        <v>2937</v>
      </c>
      <c r="I133" s="4" t="s">
        <v>3006</v>
      </c>
      <c r="J133" s="5" t="s">
        <v>3007</v>
      </c>
      <c r="L133" s="441"/>
      <c r="N133" s="441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325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2687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3008</v>
      </c>
      <c r="D134" s="2" t="s">
        <v>2689</v>
      </c>
      <c r="F134" s="2" t="s">
        <v>2935</v>
      </c>
      <c r="G134" s="2" t="s">
        <v>2936</v>
      </c>
      <c r="H134" s="78" t="s">
        <v>2937</v>
      </c>
      <c r="I134" s="4" t="s">
        <v>3009</v>
      </c>
      <c r="J134" s="5" t="s">
        <v>3010</v>
      </c>
      <c r="L134" s="441"/>
      <c r="N134" s="441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325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2687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527</v>
      </c>
      <c r="D135" s="2" t="s">
        <v>2681</v>
      </c>
      <c r="F135" s="2" t="s">
        <v>2935</v>
      </c>
      <c r="G135" s="2" t="s">
        <v>2936</v>
      </c>
      <c r="H135" s="78" t="s">
        <v>2937</v>
      </c>
      <c r="I135" s="4" t="s">
        <v>3011</v>
      </c>
      <c r="J135" s="5" t="s">
        <v>3012</v>
      </c>
      <c r="L135" s="441"/>
      <c r="N135" s="441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325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2687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551</v>
      </c>
      <c r="D136" s="2" t="s">
        <v>2681</v>
      </c>
      <c r="F136" s="2" t="s">
        <v>2935</v>
      </c>
      <c r="G136" s="2" t="s">
        <v>2936</v>
      </c>
      <c r="H136" s="78" t="s">
        <v>2937</v>
      </c>
      <c r="I136" s="4" t="s">
        <v>3013</v>
      </c>
      <c r="J136" s="5" t="s">
        <v>3014</v>
      </c>
      <c r="L136" s="441"/>
      <c r="N136" s="441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325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2687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3015</v>
      </c>
      <c r="D137" s="2" t="s">
        <v>2681</v>
      </c>
      <c r="F137" s="2" t="s">
        <v>2935</v>
      </c>
      <c r="G137" s="2" t="s">
        <v>2936</v>
      </c>
      <c r="H137" s="78" t="s">
        <v>2937</v>
      </c>
      <c r="I137" s="4" t="s">
        <v>3016</v>
      </c>
      <c r="J137" s="5" t="s">
        <v>3017</v>
      </c>
      <c r="L137" s="441"/>
      <c r="N137" s="441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325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2687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535</v>
      </c>
      <c r="D138" s="2" t="s">
        <v>2696</v>
      </c>
      <c r="F138" s="2" t="s">
        <v>2935</v>
      </c>
      <c r="G138" s="2" t="s">
        <v>2936</v>
      </c>
      <c r="H138" s="78" t="s">
        <v>2937</v>
      </c>
      <c r="I138" s="4" t="s">
        <v>3018</v>
      </c>
      <c r="J138" s="5" t="s">
        <v>3019</v>
      </c>
      <c r="L138" s="441"/>
      <c r="N138" s="441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325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2679</v>
      </c>
      <c r="AF138" s="278" t="s">
        <v>2687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264</v>
      </c>
      <c r="J139" s="5" t="s">
        <v>3020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325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2687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395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325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2687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3021</v>
      </c>
      <c r="U141" s="322" t="s">
        <v>3022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325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2687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974</v>
      </c>
      <c r="D142" s="2" t="s">
        <v>2689</v>
      </c>
      <c r="F142" s="2" t="s">
        <v>2715</v>
      </c>
      <c r="G142" s="2" t="s">
        <v>3023</v>
      </c>
      <c r="H142" s="78" t="s">
        <v>3024</v>
      </c>
      <c r="I142" s="4" t="s">
        <v>3025</v>
      </c>
      <c r="J142" s="5" t="s">
        <v>3026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325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2687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3027</v>
      </c>
      <c r="D143" s="2" t="s">
        <v>2689</v>
      </c>
      <c r="F143" s="2" t="s">
        <v>2715</v>
      </c>
      <c r="G143" s="2" t="s">
        <v>3028</v>
      </c>
      <c r="H143" s="78" t="s">
        <v>3029</v>
      </c>
      <c r="I143" s="4" t="s">
        <v>3030</v>
      </c>
      <c r="J143" s="5" t="s">
        <v>3031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325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2687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762</v>
      </c>
      <c r="D144" s="2" t="s">
        <v>2696</v>
      </c>
      <c r="F144" s="2" t="s">
        <v>2715</v>
      </c>
      <c r="G144" s="2" t="s">
        <v>3028</v>
      </c>
      <c r="H144" s="78" t="s">
        <v>3029</v>
      </c>
      <c r="I144" s="4" t="s">
        <v>3032</v>
      </c>
      <c r="J144" s="5" t="s">
        <v>3033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325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2687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3034</v>
      </c>
      <c r="D145" s="2" t="s">
        <v>2689</v>
      </c>
      <c r="F145" s="2" t="s">
        <v>2706</v>
      </c>
      <c r="G145" s="2" t="s">
        <v>2707</v>
      </c>
      <c r="H145" s="78" t="s">
        <v>2708</v>
      </c>
      <c r="I145" s="4" t="s">
        <v>3035</v>
      </c>
      <c r="J145" s="5" t="s">
        <v>3036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325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2687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959</v>
      </c>
      <c r="D146" s="2" t="s">
        <v>2696</v>
      </c>
      <c r="F146" s="2" t="s">
        <v>2706</v>
      </c>
      <c r="G146" s="2" t="s">
        <v>2707</v>
      </c>
      <c r="H146" s="78" t="s">
        <v>2708</v>
      </c>
      <c r="I146" s="4" t="s">
        <v>3037</v>
      </c>
      <c r="J146" s="5" t="s">
        <v>3038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325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2687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3039</v>
      </c>
      <c r="D147" s="2" t="s">
        <v>2696</v>
      </c>
      <c r="F147" s="2" t="s">
        <v>2706</v>
      </c>
      <c r="G147" s="2" t="s">
        <v>2707</v>
      </c>
      <c r="H147" s="78" t="s">
        <v>2708</v>
      </c>
      <c r="I147" s="4" t="s">
        <v>3040</v>
      </c>
      <c r="J147" s="5" t="s">
        <v>3041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325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2687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3042</v>
      </c>
      <c r="D148" s="2" t="s">
        <v>2681</v>
      </c>
      <c r="F148" s="2" t="s">
        <v>2706</v>
      </c>
      <c r="G148" s="2" t="s">
        <v>2707</v>
      </c>
      <c r="H148" s="78" t="s">
        <v>2708</v>
      </c>
      <c r="I148" s="4" t="s">
        <v>3043</v>
      </c>
      <c r="J148" s="5" t="s">
        <v>3044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325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2687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3045</v>
      </c>
      <c r="D149" s="2" t="s">
        <v>2681</v>
      </c>
      <c r="F149" s="2" t="s">
        <v>2706</v>
      </c>
      <c r="G149" s="2" t="s">
        <v>2707</v>
      </c>
      <c r="H149" s="78" t="s">
        <v>2708</v>
      </c>
      <c r="I149" s="4" t="s">
        <v>3046</v>
      </c>
      <c r="J149" s="5" t="s">
        <v>3047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325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2687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3048</v>
      </c>
      <c r="D150" s="2" t="s">
        <v>2681</v>
      </c>
      <c r="F150" s="2" t="s">
        <v>2706</v>
      </c>
      <c r="G150" s="2" t="s">
        <v>2707</v>
      </c>
      <c r="H150" s="78" t="s">
        <v>2708</v>
      </c>
      <c r="I150" s="4" t="s">
        <v>3049</v>
      </c>
      <c r="J150" s="5" t="s">
        <v>3050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325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2679</v>
      </c>
      <c r="AF150" s="278" t="s">
        <v>2687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3051</v>
      </c>
      <c r="D151" s="2" t="s">
        <v>2689</v>
      </c>
      <c r="F151" s="2" t="s">
        <v>2706</v>
      </c>
      <c r="G151" s="2" t="s">
        <v>2707</v>
      </c>
      <c r="H151" s="78" t="s">
        <v>2708</v>
      </c>
      <c r="I151" s="4" t="s">
        <v>3052</v>
      </c>
      <c r="J151" s="5" t="s">
        <v>3053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325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2679</v>
      </c>
      <c r="AF151" s="278" t="s">
        <v>2687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3054</v>
      </c>
      <c r="D152" s="2" t="s">
        <v>2689</v>
      </c>
      <c r="F152" s="2" t="s">
        <v>2706</v>
      </c>
      <c r="G152" s="2" t="s">
        <v>2707</v>
      </c>
      <c r="H152" s="78" t="s">
        <v>2708</v>
      </c>
      <c r="I152" s="4" t="s">
        <v>3055</v>
      </c>
      <c r="J152" s="5" t="s">
        <v>3056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325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2679</v>
      </c>
      <c r="AF152" s="278" t="s">
        <v>2687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203</v>
      </c>
      <c r="J153" s="5" t="s">
        <v>3026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325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3057</v>
      </c>
      <c r="D154" s="2" t="s">
        <v>2696</v>
      </c>
      <c r="F154" s="2" t="s">
        <v>2715</v>
      </c>
      <c r="G154" s="2" t="s">
        <v>3058</v>
      </c>
      <c r="H154" s="78" t="s">
        <v>3059</v>
      </c>
      <c r="I154" s="4" t="s">
        <v>3060</v>
      </c>
      <c r="J154" s="5" t="s">
        <v>3061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325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2687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3062</v>
      </c>
      <c r="D155" s="2" t="s">
        <v>2676</v>
      </c>
      <c r="F155" s="2" t="s">
        <v>2715</v>
      </c>
      <c r="G155" s="2" t="s">
        <v>3063</v>
      </c>
      <c r="H155" s="78" t="s">
        <v>3064</v>
      </c>
      <c r="I155" s="4" t="s">
        <v>3065</v>
      </c>
      <c r="J155" s="5" t="s">
        <v>3066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325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3067</v>
      </c>
      <c r="D156" s="2" t="s">
        <v>2676</v>
      </c>
      <c r="F156" s="2" t="s">
        <v>2715</v>
      </c>
      <c r="G156" s="2" t="s">
        <v>3063</v>
      </c>
      <c r="H156" s="78" t="s">
        <v>3064</v>
      </c>
      <c r="I156" s="4" t="s">
        <v>3068</v>
      </c>
      <c r="J156" s="5" t="s">
        <v>3069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325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3070</v>
      </c>
      <c r="D157" s="2" t="s">
        <v>2676</v>
      </c>
      <c r="F157" s="2" t="s">
        <v>2715</v>
      </c>
      <c r="G157" s="2" t="s">
        <v>3063</v>
      </c>
      <c r="H157" s="78" t="s">
        <v>3064</v>
      </c>
      <c r="J157" s="5" t="s">
        <v>3071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325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151</v>
      </c>
      <c r="D158" s="2" t="s">
        <v>2689</v>
      </c>
      <c r="F158" s="2" t="s">
        <v>2715</v>
      </c>
      <c r="G158" s="2" t="s">
        <v>3058</v>
      </c>
      <c r="H158" s="78" t="s">
        <v>3059</v>
      </c>
      <c r="I158" s="4" t="s">
        <v>3072</v>
      </c>
      <c r="J158" s="5" t="s">
        <v>3073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325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2687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3074</v>
      </c>
      <c r="D159" s="2" t="s">
        <v>2689</v>
      </c>
      <c r="F159" s="2" t="s">
        <v>2715</v>
      </c>
      <c r="G159" s="2" t="s">
        <v>3058</v>
      </c>
      <c r="H159" s="78" t="s">
        <v>3059</v>
      </c>
      <c r="I159" s="4" t="s">
        <v>3075</v>
      </c>
      <c r="J159" s="5" t="s">
        <v>3076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325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2687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3077</v>
      </c>
      <c r="D160" s="2" t="s">
        <v>2681</v>
      </c>
      <c r="F160" s="2" t="s">
        <v>2715</v>
      </c>
      <c r="G160" s="2" t="s">
        <v>3058</v>
      </c>
      <c r="H160" s="78" t="s">
        <v>3059</v>
      </c>
      <c r="I160" s="4" t="s">
        <v>3078</v>
      </c>
      <c r="J160" s="5" t="s">
        <v>3079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325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2687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3080</v>
      </c>
      <c r="D161" s="2" t="s">
        <v>2681</v>
      </c>
      <c r="F161" s="2" t="s">
        <v>2715</v>
      </c>
      <c r="G161" s="2" t="s">
        <v>3058</v>
      </c>
      <c r="H161" s="78" t="s">
        <v>3059</v>
      </c>
      <c r="I161" s="4" t="s">
        <v>3081</v>
      </c>
      <c r="J161" s="5" t="s">
        <v>3082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325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2687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155</v>
      </c>
      <c r="D162" s="2" t="s">
        <v>2696</v>
      </c>
      <c r="F162" s="2" t="s">
        <v>2715</v>
      </c>
      <c r="G162" s="2" t="s">
        <v>3058</v>
      </c>
      <c r="H162" s="78" t="s">
        <v>3059</v>
      </c>
      <c r="I162" s="4" t="s">
        <v>3083</v>
      </c>
      <c r="J162" s="5" t="s">
        <v>3084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325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2687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3085</v>
      </c>
      <c r="D163" s="2" t="s">
        <v>2696</v>
      </c>
      <c r="F163" s="2" t="s">
        <v>2715</v>
      </c>
      <c r="G163" s="2" t="s">
        <v>3058</v>
      </c>
      <c r="H163" s="78" t="s">
        <v>3059</v>
      </c>
      <c r="I163" s="4" t="s">
        <v>3086</v>
      </c>
      <c r="J163" s="5" t="s">
        <v>3087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325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2687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2681</v>
      </c>
      <c r="F164" s="2" t="s">
        <v>2715</v>
      </c>
      <c r="G164" s="2" t="s">
        <v>3023</v>
      </c>
      <c r="H164" s="78" t="s">
        <v>3024</v>
      </c>
      <c r="I164" s="4" t="s">
        <v>3088</v>
      </c>
      <c r="J164" s="5" t="s">
        <v>3089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325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2687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991</v>
      </c>
      <c r="D165" s="2" t="s">
        <v>2681</v>
      </c>
      <c r="F165" s="2" t="s">
        <v>2715</v>
      </c>
      <c r="G165" s="2" t="s">
        <v>3023</v>
      </c>
      <c r="H165" s="78" t="s">
        <v>3024</v>
      </c>
      <c r="I165" s="4" t="s">
        <v>3090</v>
      </c>
      <c r="J165" s="5" t="s">
        <v>3091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325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2687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3092</v>
      </c>
      <c r="D166" s="2" t="s">
        <v>2696</v>
      </c>
      <c r="F166" s="2" t="s">
        <v>2715</v>
      </c>
      <c r="G166" s="2" t="s">
        <v>3023</v>
      </c>
      <c r="H166" s="78" t="s">
        <v>3024</v>
      </c>
      <c r="I166" s="4" t="s">
        <v>3093</v>
      </c>
      <c r="J166" s="5" t="s">
        <v>3094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325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2687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488</v>
      </c>
      <c r="D167" s="2" t="s">
        <v>2696</v>
      </c>
      <c r="F167" s="2" t="s">
        <v>2715</v>
      </c>
      <c r="G167" s="2" t="s">
        <v>3023</v>
      </c>
      <c r="H167" s="78" t="s">
        <v>3024</v>
      </c>
      <c r="I167" s="4" t="s">
        <v>3095</v>
      </c>
      <c r="J167" s="5" t="s">
        <v>3096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325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2679</v>
      </c>
      <c r="AF167" s="278" t="s">
        <v>2687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893</v>
      </c>
      <c r="D168" s="2" t="s">
        <v>2681</v>
      </c>
      <c r="F168" s="2" t="s">
        <v>2715</v>
      </c>
      <c r="G168" s="2" t="s">
        <v>3023</v>
      </c>
      <c r="H168" s="78" t="s">
        <v>3024</v>
      </c>
      <c r="I168" s="4" t="s">
        <v>3097</v>
      </c>
      <c r="J168" s="5" t="s">
        <v>3098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325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2687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3099</v>
      </c>
      <c r="D169" s="2" t="s">
        <v>2681</v>
      </c>
      <c r="F169" s="2" t="s">
        <v>2715</v>
      </c>
      <c r="G169" s="2" t="s">
        <v>3023</v>
      </c>
      <c r="H169" s="78" t="s">
        <v>3024</v>
      </c>
      <c r="I169" s="4" t="s">
        <v>3100</v>
      </c>
      <c r="J169" s="5" t="s">
        <v>3101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325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2687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771</v>
      </c>
      <c r="D170" s="2" t="s">
        <v>2681</v>
      </c>
      <c r="F170" s="2" t="s">
        <v>2715</v>
      </c>
      <c r="G170" s="2" t="s">
        <v>3023</v>
      </c>
      <c r="H170" s="78" t="s">
        <v>3024</v>
      </c>
      <c r="I170" s="4" t="s">
        <v>3102</v>
      </c>
      <c r="J170" s="5" t="s">
        <v>3103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325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2687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3104</v>
      </c>
      <c r="D171" s="2" t="s">
        <v>2689</v>
      </c>
      <c r="F171" s="2" t="s">
        <v>2715</v>
      </c>
      <c r="G171" s="2" t="s">
        <v>3023</v>
      </c>
      <c r="H171" s="78" t="s">
        <v>3024</v>
      </c>
      <c r="I171" s="4" t="s">
        <v>3105</v>
      </c>
      <c r="J171" s="5" t="s">
        <v>3106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325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2679</v>
      </c>
      <c r="AF171" s="278" t="s">
        <v>2687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3107</v>
      </c>
      <c r="D172" s="2" t="s">
        <v>2681</v>
      </c>
      <c r="F172" s="2" t="s">
        <v>2715</v>
      </c>
      <c r="G172" s="2" t="s">
        <v>3108</v>
      </c>
      <c r="H172" s="78" t="s">
        <v>3109</v>
      </c>
      <c r="I172" s="4" t="s">
        <v>3110</v>
      </c>
      <c r="J172" s="5" t="s">
        <v>3111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325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2687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941</v>
      </c>
      <c r="D173" s="2" t="s">
        <v>2681</v>
      </c>
      <c r="F173" s="2" t="s">
        <v>2715</v>
      </c>
      <c r="G173" s="2" t="s">
        <v>3108</v>
      </c>
      <c r="H173" s="78" t="s">
        <v>3109</v>
      </c>
      <c r="I173" s="4" t="s">
        <v>3112</v>
      </c>
      <c r="J173" s="5" t="s">
        <v>3113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325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2687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1006</v>
      </c>
      <c r="D174" s="2" t="s">
        <v>2681</v>
      </c>
      <c r="F174" s="2" t="s">
        <v>2715</v>
      </c>
      <c r="G174" s="2" t="s">
        <v>3108</v>
      </c>
      <c r="H174" s="78" t="s">
        <v>3109</v>
      </c>
      <c r="I174" s="4" t="s">
        <v>3114</v>
      </c>
      <c r="J174" s="5" t="s">
        <v>3115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325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2687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885</v>
      </c>
      <c r="D175" s="2" t="s">
        <v>2696</v>
      </c>
      <c r="F175" s="2" t="s">
        <v>2715</v>
      </c>
      <c r="G175" s="2" t="s">
        <v>3108</v>
      </c>
      <c r="H175" s="78" t="s">
        <v>3109</v>
      </c>
      <c r="I175" s="4" t="s">
        <v>3116</v>
      </c>
      <c r="J175" s="5" t="s">
        <v>3117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325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2687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767</v>
      </c>
      <c r="D176" s="2" t="s">
        <v>2681</v>
      </c>
      <c r="F176" s="2" t="s">
        <v>2715</v>
      </c>
      <c r="G176" s="2" t="s">
        <v>3108</v>
      </c>
      <c r="H176" s="78" t="s">
        <v>3109</v>
      </c>
      <c r="I176" s="4" t="s">
        <v>3118</v>
      </c>
      <c r="J176" s="5" t="s">
        <v>3119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325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2687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3120</v>
      </c>
      <c r="D177" s="2" t="s">
        <v>2681</v>
      </c>
      <c r="F177" s="2" t="s">
        <v>2715</v>
      </c>
      <c r="G177" s="2" t="s">
        <v>3108</v>
      </c>
      <c r="H177" s="78" t="s">
        <v>3109</v>
      </c>
      <c r="I177" s="4" t="s">
        <v>3121</v>
      </c>
      <c r="J177" s="5" t="s">
        <v>3122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325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2687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889</v>
      </c>
      <c r="D178" s="2" t="s">
        <v>2681</v>
      </c>
      <c r="F178" s="2" t="s">
        <v>2715</v>
      </c>
      <c r="G178" s="2" t="s">
        <v>3108</v>
      </c>
      <c r="H178" s="78" t="s">
        <v>3109</v>
      </c>
      <c r="I178" s="4" t="s">
        <v>3123</v>
      </c>
      <c r="J178" s="5" t="s">
        <v>3124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325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2687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897</v>
      </c>
      <c r="D179" s="2" t="s">
        <v>2696</v>
      </c>
      <c r="F179" s="2" t="s">
        <v>2715</v>
      </c>
      <c r="G179" s="2" t="s">
        <v>3108</v>
      </c>
      <c r="H179" s="78" t="s">
        <v>3109</v>
      </c>
      <c r="I179" s="4" t="s">
        <v>3125</v>
      </c>
      <c r="J179" s="5" t="s">
        <v>3126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325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2679</v>
      </c>
      <c r="AF179" s="278" t="s">
        <v>2687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3127</v>
      </c>
      <c r="D180" s="2" t="s">
        <v>2681</v>
      </c>
      <c r="F180" s="2" t="s">
        <v>2715</v>
      </c>
      <c r="G180" s="2" t="s">
        <v>3108</v>
      </c>
      <c r="H180" s="78" t="s">
        <v>3109</v>
      </c>
      <c r="I180" s="4" t="s">
        <v>3128</v>
      </c>
      <c r="J180" s="5" t="s">
        <v>3129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325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2679</v>
      </c>
      <c r="AF180" s="278" t="s">
        <v>2687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881</v>
      </c>
      <c r="D181" s="2" t="s">
        <v>2696</v>
      </c>
      <c r="F181" s="2" t="s">
        <v>2715</v>
      </c>
      <c r="G181" s="2" t="s">
        <v>3028</v>
      </c>
      <c r="H181" s="78" t="s">
        <v>3029</v>
      </c>
      <c r="I181" s="4" t="s">
        <v>3130</v>
      </c>
      <c r="J181" s="5" t="s">
        <v>3131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325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2687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3132</v>
      </c>
      <c r="D182" s="2" t="s">
        <v>2681</v>
      </c>
      <c r="F182" s="2" t="s">
        <v>2715</v>
      </c>
      <c r="G182" s="2" t="s">
        <v>3028</v>
      </c>
      <c r="H182" s="78" t="s">
        <v>3029</v>
      </c>
      <c r="I182" s="4" t="s">
        <v>3133</v>
      </c>
      <c r="J182" s="5" t="s">
        <v>3134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325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2687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489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325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2687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253</v>
      </c>
      <c r="D184" s="2"/>
      <c r="F184" s="2"/>
      <c r="G184" s="2"/>
      <c r="H184" s="78"/>
      <c r="J184" s="5" t="s">
        <v>3135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325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2687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3136</v>
      </c>
      <c r="D185" s="2" t="s">
        <v>2676</v>
      </c>
      <c r="F185" s="2" t="s">
        <v>2715</v>
      </c>
      <c r="G185" s="2" t="s">
        <v>3063</v>
      </c>
      <c r="H185" s="78" t="s">
        <v>3064</v>
      </c>
      <c r="I185" s="4" t="s">
        <v>3137</v>
      </c>
      <c r="J185" s="5" t="s">
        <v>3138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325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3139</v>
      </c>
      <c r="D186" s="2" t="s">
        <v>2696</v>
      </c>
      <c r="F186" s="2" t="s">
        <v>2715</v>
      </c>
      <c r="G186" s="2" t="s">
        <v>3140</v>
      </c>
      <c r="H186" s="78" t="s">
        <v>3141</v>
      </c>
      <c r="I186" s="4" t="s">
        <v>3142</v>
      </c>
      <c r="J186" s="5" t="s">
        <v>3143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325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2687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3144</v>
      </c>
      <c r="D187" s="2" t="s">
        <v>2689</v>
      </c>
      <c r="F187" s="2" t="s">
        <v>2715</v>
      </c>
      <c r="G187" s="2" t="s">
        <v>3140</v>
      </c>
      <c r="H187" s="78" t="s">
        <v>3141</v>
      </c>
      <c r="I187" s="4" t="s">
        <v>3145</v>
      </c>
      <c r="J187" s="5" t="s">
        <v>3146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325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2687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3147</v>
      </c>
      <c r="D188" s="2" t="s">
        <v>2681</v>
      </c>
      <c r="F188" s="2" t="s">
        <v>2715</v>
      </c>
      <c r="G188" s="2" t="s">
        <v>3140</v>
      </c>
      <c r="H188" s="78" t="s">
        <v>3141</v>
      </c>
      <c r="I188" s="4" t="s">
        <v>3148</v>
      </c>
      <c r="J188" s="5" t="s">
        <v>3149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325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2687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3150</v>
      </c>
      <c r="D189" s="2" t="s">
        <v>2689</v>
      </c>
      <c r="F189" s="2" t="s">
        <v>2715</v>
      </c>
      <c r="G189" s="2" t="s">
        <v>3140</v>
      </c>
      <c r="H189" s="78" t="s">
        <v>3141</v>
      </c>
      <c r="I189" s="4" t="s">
        <v>3151</v>
      </c>
      <c r="J189" s="5" t="s">
        <v>3152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325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2679</v>
      </c>
      <c r="AF189" s="278" t="s">
        <v>2687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220</v>
      </c>
      <c r="D190" s="2" t="s">
        <v>2689</v>
      </c>
      <c r="F190" s="2" t="s">
        <v>2715</v>
      </c>
      <c r="G190" s="2" t="s">
        <v>3140</v>
      </c>
      <c r="H190" s="78" t="s">
        <v>3141</v>
      </c>
      <c r="I190" s="4" t="s">
        <v>3153</v>
      </c>
      <c r="J190" s="5" t="s">
        <v>3154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325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2687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214</v>
      </c>
      <c r="D191" s="2" t="s">
        <v>2681</v>
      </c>
      <c r="F191" s="2" t="s">
        <v>2715</v>
      </c>
      <c r="G191" s="2" t="s">
        <v>3140</v>
      </c>
      <c r="H191" s="78" t="s">
        <v>3141</v>
      </c>
      <c r="I191" s="4" t="s">
        <v>3155</v>
      </c>
      <c r="J191" s="5" t="s">
        <v>3156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325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2687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3157</v>
      </c>
      <c r="D192" s="2" t="s">
        <v>2681</v>
      </c>
      <c r="F192" s="2" t="s">
        <v>2715</v>
      </c>
      <c r="G192" s="2" t="s">
        <v>3140</v>
      </c>
      <c r="H192" s="78" t="s">
        <v>3141</v>
      </c>
      <c r="I192" s="4" t="s">
        <v>3158</v>
      </c>
      <c r="J192" s="5" t="s">
        <v>3159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325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2679</v>
      </c>
      <c r="AF192" s="278" t="s">
        <v>2687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3160</v>
      </c>
      <c r="D193" s="2" t="s">
        <v>2696</v>
      </c>
      <c r="F193" s="2" t="s">
        <v>2715</v>
      </c>
      <c r="G193" s="2" t="s">
        <v>3140</v>
      </c>
      <c r="H193" s="78" t="s">
        <v>3141</v>
      </c>
      <c r="I193" s="4" t="s">
        <v>3161</v>
      </c>
      <c r="J193" s="5" t="s">
        <v>3162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325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2679</v>
      </c>
      <c r="AF193" s="278" t="s">
        <v>2687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3163</v>
      </c>
      <c r="D194" s="2" t="s">
        <v>2689</v>
      </c>
      <c r="F194" s="2" t="s">
        <v>2715</v>
      </c>
      <c r="G194" s="2" t="s">
        <v>3140</v>
      </c>
      <c r="H194" s="78" t="s">
        <v>3141</v>
      </c>
      <c r="I194" s="4" t="s">
        <v>3164</v>
      </c>
      <c r="J194" s="5" t="s">
        <v>3165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325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2687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3166</v>
      </c>
      <c r="D195" s="2" t="s">
        <v>2681</v>
      </c>
      <c r="F195" s="2" t="s">
        <v>2715</v>
      </c>
      <c r="G195" s="2" t="s">
        <v>3028</v>
      </c>
      <c r="H195" s="78" t="s">
        <v>3029</v>
      </c>
      <c r="I195" s="4" t="s">
        <v>3167</v>
      </c>
      <c r="J195" s="5" t="s">
        <v>3168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325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2687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3169</v>
      </c>
      <c r="D196" s="2" t="s">
        <v>2681</v>
      </c>
      <c r="F196" s="2" t="s">
        <v>2715</v>
      </c>
      <c r="G196" s="2" t="s">
        <v>3028</v>
      </c>
      <c r="H196" s="78" t="s">
        <v>3029</v>
      </c>
      <c r="I196" s="4" t="s">
        <v>3170</v>
      </c>
      <c r="J196" s="5" t="s">
        <v>3171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325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2687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3172</v>
      </c>
      <c r="D197" s="2" t="s">
        <v>2689</v>
      </c>
      <c r="F197" s="2" t="s">
        <v>2715</v>
      </c>
      <c r="G197" s="2" t="s">
        <v>3028</v>
      </c>
      <c r="H197" s="78" t="s">
        <v>3029</v>
      </c>
      <c r="I197" s="4" t="s">
        <v>3173</v>
      </c>
      <c r="J197" s="5" t="s">
        <v>3174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325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2687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3175</v>
      </c>
      <c r="D198" s="2" t="s">
        <v>2681</v>
      </c>
      <c r="F198" s="2" t="s">
        <v>2715</v>
      </c>
      <c r="G198" s="2" t="s">
        <v>3028</v>
      </c>
      <c r="H198" s="78" t="s">
        <v>3029</v>
      </c>
      <c r="I198" s="4" t="s">
        <v>3176</v>
      </c>
      <c r="J198" s="5" t="s">
        <v>3177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325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2687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3178</v>
      </c>
      <c r="D199" s="2" t="s">
        <v>2696</v>
      </c>
      <c r="F199" s="2" t="s">
        <v>2715</v>
      </c>
      <c r="G199" s="2" t="s">
        <v>3028</v>
      </c>
      <c r="H199" s="78" t="s">
        <v>3029</v>
      </c>
      <c r="I199" s="4" t="s">
        <v>3179</v>
      </c>
      <c r="J199" s="5" t="s">
        <v>3180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325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2687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249</v>
      </c>
      <c r="D200" s="2"/>
      <c r="F200" s="2"/>
      <c r="G200" s="2"/>
      <c r="H200" s="78"/>
      <c r="J200" s="4" t="s">
        <v>3181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325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2687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251</v>
      </c>
      <c r="J201" s="5" t="s">
        <v>3182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325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2687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3183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325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2687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158</v>
      </c>
      <c r="D203" s="2"/>
      <c r="F203" s="2" t="s">
        <v>3184</v>
      </c>
      <c r="G203" s="2" t="s">
        <v>3185</v>
      </c>
      <c r="H203" s="78" t="s">
        <v>3186</v>
      </c>
      <c r="I203" s="4" t="s">
        <v>3187</v>
      </c>
      <c r="J203" s="5" t="s">
        <v>357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325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2687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3188</v>
      </c>
      <c r="D204" s="2" t="s">
        <v>2696</v>
      </c>
      <c r="F204" s="2" t="s">
        <v>3184</v>
      </c>
      <c r="G204" s="2" t="s">
        <v>3185</v>
      </c>
      <c r="H204" s="78" t="s">
        <v>3186</v>
      </c>
      <c r="I204" s="4" t="s">
        <v>3187</v>
      </c>
      <c r="J204" s="5" t="s">
        <v>3189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325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2687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3190</v>
      </c>
      <c r="D205" s="2" t="s">
        <v>2689</v>
      </c>
      <c r="F205" s="2" t="s">
        <v>3184</v>
      </c>
      <c r="G205" s="2" t="s">
        <v>3185</v>
      </c>
      <c r="H205" s="78" t="s">
        <v>3186</v>
      </c>
      <c r="I205" s="4" t="s">
        <v>3191</v>
      </c>
      <c r="J205" s="5" t="s">
        <v>3192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325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2679</v>
      </c>
      <c r="AF205" s="278" t="s">
        <v>2687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159</v>
      </c>
      <c r="D206" s="2" t="s">
        <v>2681</v>
      </c>
      <c r="F206" s="2" t="s">
        <v>3184</v>
      </c>
      <c r="G206" s="2" t="s">
        <v>3185</v>
      </c>
      <c r="H206" s="78" t="s">
        <v>3186</v>
      </c>
      <c r="I206" s="4" t="s">
        <v>3193</v>
      </c>
      <c r="J206" s="5" t="s">
        <v>3194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325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2687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821</v>
      </c>
      <c r="D207" s="2" t="s">
        <v>2696</v>
      </c>
      <c r="F207" s="2" t="s">
        <v>3184</v>
      </c>
      <c r="G207" s="2" t="s">
        <v>3185</v>
      </c>
      <c r="H207" s="78" t="s">
        <v>3186</v>
      </c>
      <c r="I207" s="4" t="s">
        <v>3195</v>
      </c>
      <c r="J207" s="5" t="s">
        <v>3196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325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2687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3197</v>
      </c>
      <c r="D208" s="2" t="s">
        <v>2681</v>
      </c>
      <c r="F208" s="2" t="s">
        <v>3184</v>
      </c>
      <c r="G208" s="2" t="s">
        <v>3185</v>
      </c>
      <c r="H208" s="78" t="s">
        <v>3186</v>
      </c>
      <c r="I208" s="4" t="s">
        <v>3198</v>
      </c>
      <c r="J208" s="5" t="s">
        <v>3199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325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2687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3200</v>
      </c>
      <c r="D209" s="2" t="s">
        <v>2681</v>
      </c>
      <c r="F209" s="2" t="s">
        <v>3184</v>
      </c>
      <c r="G209" s="2" t="s">
        <v>3185</v>
      </c>
      <c r="H209" s="78" t="s">
        <v>3186</v>
      </c>
      <c r="I209" s="4" t="s">
        <v>3201</v>
      </c>
      <c r="J209" s="5" t="s">
        <v>3202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325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2687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797</v>
      </c>
      <c r="D210" s="2" t="s">
        <v>2681</v>
      </c>
      <c r="F210" s="2" t="s">
        <v>3184</v>
      </c>
      <c r="G210" s="2" t="s">
        <v>3185</v>
      </c>
      <c r="H210" s="78" t="s">
        <v>3186</v>
      </c>
      <c r="I210" s="4" t="s">
        <v>3203</v>
      </c>
      <c r="J210" s="5" t="s">
        <v>3204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325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2687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3205</v>
      </c>
      <c r="D211" s="2" t="s">
        <v>2696</v>
      </c>
      <c r="F211" s="2" t="s">
        <v>3184</v>
      </c>
      <c r="G211" s="2" t="s">
        <v>3185</v>
      </c>
      <c r="H211" s="78" t="s">
        <v>3186</v>
      </c>
      <c r="I211" s="4" t="s">
        <v>3206</v>
      </c>
      <c r="J211" s="5" t="s">
        <v>3207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325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2687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3208</v>
      </c>
      <c r="D212" s="2" t="s">
        <v>2689</v>
      </c>
      <c r="F212" s="2" t="s">
        <v>3184</v>
      </c>
      <c r="G212" s="2" t="s">
        <v>3185</v>
      </c>
      <c r="H212" s="78" t="s">
        <v>3186</v>
      </c>
      <c r="I212" s="4" t="s">
        <v>3209</v>
      </c>
      <c r="J212" s="5" t="s">
        <v>3210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325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2687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539</v>
      </c>
      <c r="D213" s="2" t="s">
        <v>2681</v>
      </c>
      <c r="F213" s="2" t="s">
        <v>3184</v>
      </c>
      <c r="G213" s="2" t="s">
        <v>3211</v>
      </c>
      <c r="H213" s="78" t="s">
        <v>3212</v>
      </c>
      <c r="I213" s="4" t="s">
        <v>3213</v>
      </c>
      <c r="J213" s="5" t="s">
        <v>3214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325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2687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380</v>
      </c>
      <c r="D214" s="2" t="s">
        <v>2681</v>
      </c>
      <c r="F214" s="2" t="s">
        <v>3184</v>
      </c>
      <c r="G214" s="2" t="s">
        <v>3211</v>
      </c>
      <c r="H214" s="78" t="s">
        <v>3212</v>
      </c>
      <c r="I214" s="4" t="s">
        <v>3215</v>
      </c>
      <c r="J214" s="5" t="s">
        <v>3216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325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2687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430</v>
      </c>
      <c r="D215" s="2" t="s">
        <v>2689</v>
      </c>
      <c r="F215" s="2" t="s">
        <v>3184</v>
      </c>
      <c r="G215" s="2" t="s">
        <v>3211</v>
      </c>
      <c r="H215" s="78" t="s">
        <v>3212</v>
      </c>
      <c r="I215" s="4" t="s">
        <v>3217</v>
      </c>
      <c r="J215" s="5" t="s">
        <v>3218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325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2687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3219</v>
      </c>
      <c r="D216" s="2" t="s">
        <v>2681</v>
      </c>
      <c r="F216" s="2" t="s">
        <v>3184</v>
      </c>
      <c r="G216" s="2" t="s">
        <v>3211</v>
      </c>
      <c r="H216" s="78" t="s">
        <v>3212</v>
      </c>
      <c r="I216" s="4" t="s">
        <v>3220</v>
      </c>
      <c r="J216" s="5" t="s">
        <v>3221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325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2687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434</v>
      </c>
      <c r="D217" s="2" t="s">
        <v>2696</v>
      </c>
      <c r="F217" s="2" t="s">
        <v>3184</v>
      </c>
      <c r="G217" s="2" t="s">
        <v>3211</v>
      </c>
      <c r="H217" s="78" t="s">
        <v>3212</v>
      </c>
      <c r="I217" s="4" t="s">
        <v>3222</v>
      </c>
      <c r="J217" s="5" t="s">
        <v>3223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325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2687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190</v>
      </c>
      <c r="D218" s="2" t="s">
        <v>2689</v>
      </c>
      <c r="F218" s="2" t="s">
        <v>3184</v>
      </c>
      <c r="G218" s="2" t="s">
        <v>3211</v>
      </c>
      <c r="H218" s="78" t="s">
        <v>3212</v>
      </c>
      <c r="I218" s="4" t="s">
        <v>3224</v>
      </c>
      <c r="J218" s="5" t="s">
        <v>3225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325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2687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3226</v>
      </c>
      <c r="D219" s="2" t="s">
        <v>2689</v>
      </c>
      <c r="F219" s="2" t="s">
        <v>3184</v>
      </c>
      <c r="G219" s="2" t="s">
        <v>3211</v>
      </c>
      <c r="H219" s="78" t="s">
        <v>3212</v>
      </c>
      <c r="I219" s="4" t="s">
        <v>3227</v>
      </c>
      <c r="J219" s="5" t="s">
        <v>3228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325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2687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438</v>
      </c>
      <c r="D220" s="2" t="s">
        <v>2681</v>
      </c>
      <c r="F220" s="2" t="s">
        <v>3184</v>
      </c>
      <c r="G220" s="2" t="s">
        <v>3211</v>
      </c>
      <c r="H220" s="78" t="s">
        <v>3212</v>
      </c>
      <c r="I220" s="4" t="s">
        <v>3229</v>
      </c>
      <c r="J220" s="5" t="s">
        <v>3230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325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2687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857</v>
      </c>
      <c r="D221" s="2" t="s">
        <v>2681</v>
      </c>
      <c r="F221" s="2" t="s">
        <v>3184</v>
      </c>
      <c r="G221" s="2" t="s">
        <v>3211</v>
      </c>
      <c r="H221" s="78" t="s">
        <v>3212</v>
      </c>
      <c r="I221" s="4" t="s">
        <v>3231</v>
      </c>
      <c r="J221" s="5" t="s">
        <v>3232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325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2687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3233</v>
      </c>
      <c r="D222" s="2" t="s">
        <v>2689</v>
      </c>
      <c r="F222" s="2" t="s">
        <v>3184</v>
      </c>
      <c r="G222" s="2" t="s">
        <v>3211</v>
      </c>
      <c r="H222" s="78" t="s">
        <v>3212</v>
      </c>
      <c r="I222" s="4" t="s">
        <v>3234</v>
      </c>
      <c r="J222" s="5" t="s">
        <v>3235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325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2687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3236</v>
      </c>
      <c r="D223" s="2" t="s">
        <v>2696</v>
      </c>
      <c r="F223" s="2" t="s">
        <v>3184</v>
      </c>
      <c r="G223" s="2" t="s">
        <v>3237</v>
      </c>
      <c r="H223" s="78" t="s">
        <v>3238</v>
      </c>
      <c r="I223" s="4" t="s">
        <v>3239</v>
      </c>
      <c r="J223" s="5" t="s">
        <v>3240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325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2679</v>
      </c>
      <c r="AF223" s="278" t="s">
        <v>2687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168</v>
      </c>
      <c r="D224" s="2" t="s">
        <v>2689</v>
      </c>
      <c r="F224" s="2" t="s">
        <v>3184</v>
      </c>
      <c r="G224" s="2" t="s">
        <v>3237</v>
      </c>
      <c r="H224" s="78" t="s">
        <v>3238</v>
      </c>
      <c r="I224" s="4" t="s">
        <v>3241</v>
      </c>
      <c r="J224" s="5" t="s">
        <v>3242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325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2687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3243</v>
      </c>
      <c r="D225" s="2" t="s">
        <v>2689</v>
      </c>
      <c r="F225" s="2" t="s">
        <v>3184</v>
      </c>
      <c r="G225" s="2" t="s">
        <v>3237</v>
      </c>
      <c r="H225" s="78" t="s">
        <v>3238</v>
      </c>
      <c r="I225" s="4" t="s">
        <v>3244</v>
      </c>
      <c r="J225" s="5" t="s">
        <v>3245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325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2687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689</v>
      </c>
      <c r="D226" s="2" t="s">
        <v>2681</v>
      </c>
      <c r="F226" s="2" t="s">
        <v>3184</v>
      </c>
      <c r="G226" s="2" t="s">
        <v>3237</v>
      </c>
      <c r="H226" s="78" t="s">
        <v>3238</v>
      </c>
      <c r="I226" s="4" t="s">
        <v>3246</v>
      </c>
      <c r="J226" s="5" t="s">
        <v>3247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325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2687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3248</v>
      </c>
      <c r="D227" s="2" t="s">
        <v>2689</v>
      </c>
      <c r="F227" s="2" t="s">
        <v>3184</v>
      </c>
      <c r="G227" s="2" t="s">
        <v>3237</v>
      </c>
      <c r="H227" s="78" t="s">
        <v>3238</v>
      </c>
      <c r="I227" s="4" t="s">
        <v>3249</v>
      </c>
      <c r="J227" s="5" t="s">
        <v>3250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325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2687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681</v>
      </c>
      <c r="D228" s="2" t="s">
        <v>2696</v>
      </c>
      <c r="F228" s="2" t="s">
        <v>3184</v>
      </c>
      <c r="G228" s="2" t="s">
        <v>3237</v>
      </c>
      <c r="H228" s="78" t="s">
        <v>3238</v>
      </c>
      <c r="I228" s="4" t="s">
        <v>3251</v>
      </c>
      <c r="J228" s="5" t="s">
        <v>3252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325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2687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845</v>
      </c>
      <c r="D229" s="2" t="s">
        <v>2681</v>
      </c>
      <c r="F229" s="2" t="s">
        <v>3184</v>
      </c>
      <c r="G229" s="2" t="s">
        <v>3237</v>
      </c>
      <c r="H229" s="78" t="s">
        <v>3238</v>
      </c>
      <c r="I229" s="4" t="s">
        <v>3253</v>
      </c>
      <c r="J229" s="5" t="s">
        <v>3254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325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2687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849</v>
      </c>
      <c r="D230" s="2" t="s">
        <v>2689</v>
      </c>
      <c r="F230" s="2" t="s">
        <v>3184</v>
      </c>
      <c r="G230" s="2" t="s">
        <v>3237</v>
      </c>
      <c r="H230" s="78" t="s">
        <v>3238</v>
      </c>
      <c r="I230" s="4" t="s">
        <v>3255</v>
      </c>
      <c r="J230" s="5" t="s">
        <v>3256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325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2679</v>
      </c>
      <c r="AF230" s="278" t="s">
        <v>2687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194</v>
      </c>
      <c r="D231" s="2" t="s">
        <v>2681</v>
      </c>
      <c r="F231" s="2" t="s">
        <v>3184</v>
      </c>
      <c r="G231" s="2" t="s">
        <v>3237</v>
      </c>
      <c r="H231" s="78" t="s">
        <v>3238</v>
      </c>
      <c r="I231" s="4" t="s">
        <v>3257</v>
      </c>
      <c r="J231" s="5" t="s">
        <v>3258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325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2687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365</v>
      </c>
      <c r="D232" s="2" t="s">
        <v>2681</v>
      </c>
      <c r="F232" s="2" t="s">
        <v>3184</v>
      </c>
      <c r="G232" s="2" t="s">
        <v>3237</v>
      </c>
      <c r="H232" s="78" t="s">
        <v>3238</v>
      </c>
      <c r="I232" s="4" t="s">
        <v>3259</v>
      </c>
      <c r="J232" s="5" t="s">
        <v>3260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325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2687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665</v>
      </c>
      <c r="D233" s="2" t="s">
        <v>2681</v>
      </c>
      <c r="F233" s="2" t="s">
        <v>3184</v>
      </c>
      <c r="G233" s="2" t="s">
        <v>3261</v>
      </c>
      <c r="H233" s="78" t="s">
        <v>3262</v>
      </c>
      <c r="I233" s="4" t="s">
        <v>3263</v>
      </c>
      <c r="J233" s="5" t="s">
        <v>3264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325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2687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657</v>
      </c>
      <c r="D234" s="2" t="s">
        <v>2681</v>
      </c>
      <c r="F234" s="2" t="s">
        <v>3184</v>
      </c>
      <c r="G234" s="2" t="s">
        <v>3261</v>
      </c>
      <c r="H234" s="78" t="s">
        <v>3262</v>
      </c>
      <c r="I234" s="4" t="s">
        <v>3265</v>
      </c>
      <c r="J234" s="5" t="s">
        <v>3266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325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2687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3267</v>
      </c>
      <c r="D235" s="2" t="s">
        <v>2696</v>
      </c>
      <c r="F235" s="2" t="s">
        <v>3184</v>
      </c>
      <c r="G235" s="2" t="s">
        <v>3261</v>
      </c>
      <c r="H235" s="78" t="s">
        <v>3262</v>
      </c>
      <c r="I235" s="4" t="s">
        <v>3268</v>
      </c>
      <c r="J235" s="5" t="s">
        <v>3269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325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2687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3270</v>
      </c>
      <c r="D236" s="2" t="s">
        <v>2689</v>
      </c>
      <c r="F236" s="2" t="s">
        <v>3184</v>
      </c>
      <c r="G236" s="2" t="s">
        <v>3261</v>
      </c>
      <c r="H236" s="78" t="s">
        <v>3262</v>
      </c>
      <c r="I236" s="4" t="s">
        <v>3271</v>
      </c>
      <c r="J236" s="5" t="s">
        <v>3272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325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2687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669</v>
      </c>
      <c r="D237" s="2" t="s">
        <v>2681</v>
      </c>
      <c r="F237" s="2" t="s">
        <v>3184</v>
      </c>
      <c r="G237" s="2" t="s">
        <v>3261</v>
      </c>
      <c r="H237" s="78" t="s">
        <v>3262</v>
      </c>
      <c r="I237" s="4" t="s">
        <v>3273</v>
      </c>
      <c r="J237" s="5" t="s">
        <v>3274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325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2687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673</v>
      </c>
      <c r="D238" s="2" t="s">
        <v>2681</v>
      </c>
      <c r="F238" s="2" t="s">
        <v>3184</v>
      </c>
      <c r="G238" s="2" t="s">
        <v>3261</v>
      </c>
      <c r="H238" s="78" t="s">
        <v>3262</v>
      </c>
      <c r="I238" s="4" t="s">
        <v>3275</v>
      </c>
      <c r="J238" s="5" t="s">
        <v>3276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325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2679</v>
      </c>
      <c r="AF238" s="278" t="s">
        <v>2687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2681</v>
      </c>
      <c r="F239" s="2" t="s">
        <v>3184</v>
      </c>
      <c r="G239" s="2" t="s">
        <v>3261</v>
      </c>
      <c r="H239" s="78" t="s">
        <v>3262</v>
      </c>
      <c r="I239" s="4" t="s">
        <v>3277</v>
      </c>
      <c r="J239" s="5" t="s">
        <v>3278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325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2687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661</v>
      </c>
      <c r="D240" s="2" t="s">
        <v>2681</v>
      </c>
      <c r="F240" s="2" t="s">
        <v>3184</v>
      </c>
      <c r="G240" s="2" t="s">
        <v>3261</v>
      </c>
      <c r="H240" s="78" t="s">
        <v>3262</v>
      </c>
      <c r="I240" s="4" t="s">
        <v>3279</v>
      </c>
      <c r="J240" s="5" t="s">
        <v>3280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325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2687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3281</v>
      </c>
      <c r="D241" s="2" t="s">
        <v>2681</v>
      </c>
      <c r="F241" s="2" t="s">
        <v>3184</v>
      </c>
      <c r="G241" s="2" t="s">
        <v>3261</v>
      </c>
      <c r="H241" s="78" t="s">
        <v>3262</v>
      </c>
      <c r="I241" s="4" t="s">
        <v>3282</v>
      </c>
      <c r="J241" s="5" t="s">
        <v>3283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325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2687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3284</v>
      </c>
      <c r="D242" s="2" t="s">
        <v>2689</v>
      </c>
      <c r="F242" s="2" t="s">
        <v>3184</v>
      </c>
      <c r="G242" s="2" t="s">
        <v>3261</v>
      </c>
      <c r="H242" s="78" t="s">
        <v>3262</v>
      </c>
      <c r="I242" s="4" t="s">
        <v>3285</v>
      </c>
      <c r="J242" s="5" t="s">
        <v>3286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325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2687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2641</v>
      </c>
      <c r="D243" s="2" t="s">
        <v>2681</v>
      </c>
      <c r="F243" s="2" t="s">
        <v>3184</v>
      </c>
      <c r="G243" s="2" t="s">
        <v>3287</v>
      </c>
      <c r="H243" s="78" t="s">
        <v>3288</v>
      </c>
      <c r="I243" s="4" t="s">
        <v>3289</v>
      </c>
      <c r="J243" s="5" t="s">
        <v>3290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325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2687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154</v>
      </c>
      <c r="D244" s="2" t="s">
        <v>2681</v>
      </c>
      <c r="F244" s="2" t="s">
        <v>3184</v>
      </c>
      <c r="G244" s="2" t="s">
        <v>3287</v>
      </c>
      <c r="H244" s="78" t="s">
        <v>3288</v>
      </c>
      <c r="I244" s="4" t="s">
        <v>3291</v>
      </c>
      <c r="J244" s="5" t="s">
        <v>3292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325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2687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520</v>
      </c>
      <c r="D245" s="2" t="s">
        <v>2681</v>
      </c>
      <c r="F245" s="2" t="s">
        <v>3184</v>
      </c>
      <c r="G245" s="2" t="s">
        <v>3287</v>
      </c>
      <c r="H245" s="78" t="s">
        <v>3288</v>
      </c>
      <c r="I245" s="4" t="s">
        <v>3293</v>
      </c>
      <c r="J245" s="5" t="s">
        <v>3294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325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2687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685</v>
      </c>
      <c r="D246" s="2" t="s">
        <v>2681</v>
      </c>
      <c r="F246" s="2" t="s">
        <v>3184</v>
      </c>
      <c r="G246" s="2" t="s">
        <v>3287</v>
      </c>
      <c r="H246" s="78" t="s">
        <v>3288</v>
      </c>
      <c r="I246" s="4" t="s">
        <v>3295</v>
      </c>
      <c r="J246" s="5" t="s">
        <v>3296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325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2687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515</v>
      </c>
      <c r="D247" s="2" t="s">
        <v>2681</v>
      </c>
      <c r="F247" s="2" t="s">
        <v>3184</v>
      </c>
      <c r="G247" s="2" t="s">
        <v>3287</v>
      </c>
      <c r="H247" s="78" t="s">
        <v>3288</v>
      </c>
      <c r="I247" s="4" t="s">
        <v>3297</v>
      </c>
      <c r="J247" s="5" t="s">
        <v>3298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325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2687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853</v>
      </c>
      <c r="D248" s="2" t="s">
        <v>2681</v>
      </c>
      <c r="F248" s="2" t="s">
        <v>3184</v>
      </c>
      <c r="G248" s="2" t="s">
        <v>3287</v>
      </c>
      <c r="H248" s="78" t="s">
        <v>3288</v>
      </c>
      <c r="I248" s="4" t="s">
        <v>3299</v>
      </c>
      <c r="J248" s="5" t="s">
        <v>3300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325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2687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2696</v>
      </c>
      <c r="F249" s="2" t="s">
        <v>3184</v>
      </c>
      <c r="G249" s="2" t="s">
        <v>3287</v>
      </c>
      <c r="H249" s="78" t="s">
        <v>3288</v>
      </c>
      <c r="I249" s="4" t="s">
        <v>3301</v>
      </c>
      <c r="J249" s="5" t="s">
        <v>3302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325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2687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693</v>
      </c>
      <c r="D250" s="2" t="s">
        <v>2689</v>
      </c>
      <c r="F250" s="2" t="s">
        <v>3184</v>
      </c>
      <c r="G250" s="2" t="s">
        <v>3287</v>
      </c>
      <c r="H250" s="78" t="s">
        <v>3288</v>
      </c>
      <c r="I250" s="4" t="s">
        <v>3303</v>
      </c>
      <c r="J250" s="5" t="s">
        <v>3304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325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2679</v>
      </c>
      <c r="AF250" s="278" t="s">
        <v>2687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3305</v>
      </c>
      <c r="D251" s="2" t="s">
        <v>2681</v>
      </c>
      <c r="F251" s="2" t="s">
        <v>3184</v>
      </c>
      <c r="G251" s="2" t="s">
        <v>3287</v>
      </c>
      <c r="H251" s="78" t="s">
        <v>3288</v>
      </c>
      <c r="I251" s="4" t="s">
        <v>3306</v>
      </c>
      <c r="J251" s="5" t="s">
        <v>3307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325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2687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3308</v>
      </c>
      <c r="D252" s="2" t="s">
        <v>2681</v>
      </c>
      <c r="F252" s="2" t="s">
        <v>3184</v>
      </c>
      <c r="G252" s="2" t="s">
        <v>3309</v>
      </c>
      <c r="H252" s="78" t="s">
        <v>3310</v>
      </c>
      <c r="I252" s="4" t="s">
        <v>3311</v>
      </c>
      <c r="J252" s="5" t="s">
        <v>3312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325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2687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3313</v>
      </c>
      <c r="D253" s="2" t="s">
        <v>2681</v>
      </c>
      <c r="F253" s="2" t="s">
        <v>3184</v>
      </c>
      <c r="G253" s="2" t="s">
        <v>3309</v>
      </c>
      <c r="H253" s="78" t="s">
        <v>3310</v>
      </c>
      <c r="I253" s="4" t="s">
        <v>3314</v>
      </c>
      <c r="J253" s="5" t="s">
        <v>3315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325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2687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902</v>
      </c>
      <c r="D254" s="2" t="s">
        <v>2681</v>
      </c>
      <c r="F254" s="2" t="s">
        <v>3184</v>
      </c>
      <c r="G254" s="2" t="s">
        <v>3309</v>
      </c>
      <c r="H254" s="78" t="s">
        <v>3310</v>
      </c>
      <c r="I254" s="4" t="s">
        <v>3316</v>
      </c>
      <c r="J254" s="5" t="s">
        <v>3317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325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2687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3318</v>
      </c>
      <c r="D255" s="2" t="s">
        <v>2689</v>
      </c>
      <c r="F255" s="2" t="s">
        <v>3184</v>
      </c>
      <c r="G255" s="2" t="s">
        <v>3309</v>
      </c>
      <c r="H255" s="78" t="s">
        <v>3310</v>
      </c>
      <c r="I255" s="4" t="s">
        <v>3319</v>
      </c>
      <c r="J255" s="5" t="s">
        <v>3320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325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2687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3321</v>
      </c>
      <c r="D256" s="2" t="s">
        <v>2689</v>
      </c>
      <c r="F256" s="2" t="s">
        <v>3184</v>
      </c>
      <c r="G256" s="2" t="s">
        <v>3309</v>
      </c>
      <c r="H256" s="78" t="s">
        <v>3310</v>
      </c>
      <c r="I256" s="4" t="s">
        <v>3322</v>
      </c>
      <c r="J256" s="5" t="s">
        <v>3323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325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2687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677</v>
      </c>
      <c r="D257" s="2" t="s">
        <v>2681</v>
      </c>
      <c r="F257" s="2" t="s">
        <v>3184</v>
      </c>
      <c r="G257" s="2" t="s">
        <v>3309</v>
      </c>
      <c r="H257" s="78" t="s">
        <v>3310</v>
      </c>
      <c r="I257" s="4" t="s">
        <v>3324</v>
      </c>
      <c r="J257" s="5" t="s">
        <v>3325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325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2687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3326</v>
      </c>
      <c r="D258" s="2" t="s">
        <v>2689</v>
      </c>
      <c r="F258" s="2" t="s">
        <v>3184</v>
      </c>
      <c r="G258" s="2" t="s">
        <v>3309</v>
      </c>
      <c r="H258" s="78" t="s">
        <v>3310</v>
      </c>
      <c r="I258" s="4" t="s">
        <v>3327</v>
      </c>
      <c r="J258" s="5" t="s">
        <v>3328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325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2687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3329</v>
      </c>
      <c r="D259" s="2" t="s">
        <v>2689</v>
      </c>
      <c r="F259" s="2" t="s">
        <v>3184</v>
      </c>
      <c r="G259" s="2" t="s">
        <v>3309</v>
      </c>
      <c r="H259" s="78" t="s">
        <v>3310</v>
      </c>
      <c r="I259" s="4" t="s">
        <v>3330</v>
      </c>
      <c r="J259" s="5" t="s">
        <v>3331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325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2687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547</v>
      </c>
      <c r="D260" s="2" t="s">
        <v>2681</v>
      </c>
      <c r="F260" s="2" t="s">
        <v>3184</v>
      </c>
      <c r="G260" s="2" t="s">
        <v>3309</v>
      </c>
      <c r="H260" s="78" t="s">
        <v>3310</v>
      </c>
      <c r="I260" s="4" t="s">
        <v>3332</v>
      </c>
      <c r="J260" s="5" t="s">
        <v>3333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325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2687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710</v>
      </c>
      <c r="D261" s="2" t="s">
        <v>2681</v>
      </c>
      <c r="F261" s="2" t="s">
        <v>3184</v>
      </c>
      <c r="G261" s="2" t="s">
        <v>3334</v>
      </c>
      <c r="H261" s="78" t="s">
        <v>3335</v>
      </c>
      <c r="I261" s="4" t="s">
        <v>3336</v>
      </c>
      <c r="J261" s="5" t="s">
        <v>3337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325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2679</v>
      </c>
      <c r="AF261" s="278" t="s">
        <v>2687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3338</v>
      </c>
      <c r="D262" s="2" t="s">
        <v>2689</v>
      </c>
      <c r="F262" s="2" t="s">
        <v>3184</v>
      </c>
      <c r="G262" s="2" t="s">
        <v>3334</v>
      </c>
      <c r="H262" s="78" t="s">
        <v>3335</v>
      </c>
      <c r="I262" s="4" t="s">
        <v>3339</v>
      </c>
      <c r="J262" s="5" t="s">
        <v>3340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325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2679</v>
      </c>
      <c r="AF262" s="278" t="s">
        <v>2687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828</v>
      </c>
      <c r="D263" s="2" t="s">
        <v>2696</v>
      </c>
      <c r="F263" s="2" t="s">
        <v>3184</v>
      </c>
      <c r="G263" s="2" t="s">
        <v>3334</v>
      </c>
      <c r="H263" s="78" t="s">
        <v>3335</v>
      </c>
      <c r="I263" s="4" t="s">
        <v>3341</v>
      </c>
      <c r="J263" s="5" t="s">
        <v>3342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325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2687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835</v>
      </c>
      <c r="D264" s="2" t="s">
        <v>2689</v>
      </c>
      <c r="F264" s="2" t="s">
        <v>3184</v>
      </c>
      <c r="G264" s="2" t="s">
        <v>3334</v>
      </c>
      <c r="H264" s="78" t="s">
        <v>3335</v>
      </c>
      <c r="I264" s="4" t="s">
        <v>3343</v>
      </c>
      <c r="J264" s="5" t="s">
        <v>3344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325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2687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839</v>
      </c>
      <c r="D265" s="2" t="s">
        <v>2681</v>
      </c>
      <c r="F265" s="2" t="s">
        <v>3184</v>
      </c>
      <c r="G265" s="2" t="s">
        <v>3334</v>
      </c>
      <c r="H265" s="78" t="s">
        <v>3335</v>
      </c>
      <c r="I265" s="4" t="s">
        <v>3345</v>
      </c>
      <c r="J265" s="5" t="s">
        <v>3346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325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2687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3347</v>
      </c>
      <c r="D266" s="2" t="s">
        <v>2681</v>
      </c>
      <c r="F266" s="2" t="s">
        <v>3184</v>
      </c>
      <c r="G266" s="2" t="s">
        <v>3334</v>
      </c>
      <c r="H266" s="78" t="s">
        <v>3335</v>
      </c>
      <c r="I266" s="4" t="s">
        <v>3348</v>
      </c>
      <c r="J266" s="5" t="s">
        <v>3349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325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2679</v>
      </c>
      <c r="AF266" s="278" t="s">
        <v>2687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653</v>
      </c>
      <c r="D267" s="2" t="s">
        <v>2696</v>
      </c>
      <c r="F267" s="2" t="s">
        <v>3184</v>
      </c>
      <c r="G267" s="2" t="s">
        <v>3334</v>
      </c>
      <c r="H267" s="78" t="s">
        <v>3335</v>
      </c>
      <c r="I267" s="4" t="s">
        <v>3350</v>
      </c>
      <c r="J267" s="5" t="s">
        <v>3351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325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2679</v>
      </c>
      <c r="AF267" s="278" t="s">
        <v>2687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649</v>
      </c>
      <c r="D268" s="2" t="s">
        <v>2689</v>
      </c>
      <c r="F268" s="2" t="s">
        <v>3184</v>
      </c>
      <c r="G268" s="2" t="s">
        <v>3334</v>
      </c>
      <c r="H268" s="78" t="s">
        <v>3335</v>
      </c>
      <c r="I268" s="4" t="s">
        <v>3352</v>
      </c>
      <c r="J268" s="5" t="s">
        <v>3353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325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2687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831</v>
      </c>
      <c r="D269" s="2" t="s">
        <v>2681</v>
      </c>
      <c r="F269" s="2" t="s">
        <v>3184</v>
      </c>
      <c r="G269" s="2" t="s">
        <v>3334</v>
      </c>
      <c r="H269" s="78" t="s">
        <v>3335</v>
      </c>
      <c r="I269" s="4" t="s">
        <v>3354</v>
      </c>
      <c r="J269" s="5" t="s">
        <v>3355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325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2687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874</v>
      </c>
      <c r="D270" s="2" t="s">
        <v>2689</v>
      </c>
      <c r="F270" s="2" t="s">
        <v>3184</v>
      </c>
      <c r="G270" s="2" t="s">
        <v>3334</v>
      </c>
      <c r="H270" s="78" t="s">
        <v>3335</v>
      </c>
      <c r="I270" s="4" t="s">
        <v>3356</v>
      </c>
      <c r="J270" s="5" t="s">
        <v>3357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325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2679</v>
      </c>
      <c r="AF270" s="278" t="s">
        <v>2687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257</v>
      </c>
      <c r="D271" s="2"/>
      <c r="F271" s="2"/>
      <c r="G271" s="2"/>
      <c r="H271" s="78"/>
      <c r="J271" s="5" t="s">
        <v>3358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325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2687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254</v>
      </c>
      <c r="D272" s="2"/>
      <c r="F272" s="2"/>
      <c r="G272" s="2"/>
      <c r="H272" s="78"/>
      <c r="J272" s="4" t="s">
        <v>3359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325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2687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3360</v>
      </c>
      <c r="D273" s="2"/>
      <c r="F273" s="2"/>
      <c r="G273" s="2"/>
      <c r="H273" s="78"/>
      <c r="J273" s="4" t="s">
        <v>3359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325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2687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202</v>
      </c>
      <c r="J274" s="5" t="s">
        <v>3361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325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2687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196</v>
      </c>
      <c r="J275" s="5" t="s">
        <v>3362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325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2687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3363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325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2687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3364</v>
      </c>
      <c r="J277" s="5" t="s">
        <v>3365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325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3366</v>
      </c>
      <c r="J278" s="5" t="s">
        <v>3367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325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3368</v>
      </c>
      <c r="J279" s="5" t="s">
        <v>3369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325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3370</v>
      </c>
      <c r="J280" s="5" t="s">
        <v>3371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325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3372</v>
      </c>
      <c r="J281" s="5" t="s">
        <v>3373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325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3374</v>
      </c>
      <c r="J282" s="5" t="s">
        <v>3375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325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3376</v>
      </c>
      <c r="J283" s="5" t="s">
        <v>3377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325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3378</v>
      </c>
      <c r="J284" s="5" t="s">
        <v>3379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325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3380</v>
      </c>
      <c r="J285" s="5" t="s">
        <v>3381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325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3382</v>
      </c>
      <c r="J286" s="5" t="s">
        <v>3383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325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3384</v>
      </c>
      <c r="J287" s="5" t="s">
        <v>3385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325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3386</v>
      </c>
      <c r="J288" s="5" t="s">
        <v>3387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325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3388</v>
      </c>
      <c r="J289" s="5" t="s">
        <v>3389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325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3390</v>
      </c>
      <c r="J290" s="5" t="s">
        <v>3391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325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3392</v>
      </c>
      <c r="J291" s="5" t="s">
        <v>3393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325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3394</v>
      </c>
      <c r="J292" s="5" t="s">
        <v>3395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325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3396</v>
      </c>
      <c r="J293" s="5" t="s">
        <v>3397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325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3398</v>
      </c>
      <c r="J294" s="5" t="s">
        <v>3399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325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3400</v>
      </c>
      <c r="J295" s="5" t="s">
        <v>3401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325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3402</v>
      </c>
      <c r="J296" s="5" t="s">
        <v>3403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325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3404</v>
      </c>
      <c r="J297" s="5" t="s">
        <v>3405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325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3406</v>
      </c>
      <c r="J298" s="5" t="s">
        <v>3407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325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3408</v>
      </c>
      <c r="J299" s="5" t="s">
        <v>3409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325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3410</v>
      </c>
      <c r="J300" s="5" t="s">
        <v>3411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325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3412</v>
      </c>
      <c r="J301" s="5" t="s">
        <v>3413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325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3414</v>
      </c>
      <c r="J302" s="5" t="s">
        <v>3415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325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3416</v>
      </c>
      <c r="J303" s="5" t="s">
        <v>3417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325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3418</v>
      </c>
      <c r="J304" s="5" t="s">
        <v>3419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325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3420</v>
      </c>
      <c r="J305" s="5" t="s">
        <v>3421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325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3422</v>
      </c>
      <c r="J306" s="5" t="s">
        <v>3423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325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3424</v>
      </c>
      <c r="J307" s="5" t="s">
        <v>3425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325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3426</v>
      </c>
      <c r="J308" s="5" t="s">
        <v>3427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325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3428</v>
      </c>
      <c r="J309" s="5" t="s">
        <v>3429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325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3" type="noConversion"/>
  <conditionalFormatting sqref="C1">
    <cfRule type="duplicateValues" dxfId="334" priority="60"/>
  </conditionalFormatting>
  <conditionalFormatting sqref="B1">
    <cfRule type="duplicateValues" dxfId="333" priority="58"/>
    <cfRule type="duplicateValues" dxfId="332" priority="59"/>
  </conditionalFormatting>
  <conditionalFormatting sqref="B149">
    <cfRule type="duplicateValues" dxfId="331" priority="55"/>
  </conditionalFormatting>
  <conditionalFormatting sqref="AB1:AB7 AB9:AB18 AB20:AB31 AB33:AB60 AB62:AB65 AB67:AB70 AB72:AB74 AB77:AB79 AB81 AB83:AB87 AB89 AB91:AB100 AB102:AB151 AB153:AB181 AB184:AB200 AB207:AB309">
    <cfRule type="expression" dxfId="330" priority="18">
      <formula>AB2&lt;&gt;C2</formula>
    </cfRule>
  </conditionalFormatting>
  <conditionalFormatting sqref="AB201">
    <cfRule type="expression" dxfId="329" priority="17">
      <formula>AB202&lt;&gt;C202</formula>
    </cfRule>
  </conditionalFormatting>
  <conditionalFormatting sqref="AB80">
    <cfRule type="expression" dxfId="328" priority="529">
      <formula>#REF!&lt;&gt;#REF!</formula>
    </cfRule>
  </conditionalFormatting>
  <conditionalFormatting sqref="AB182 AB202">
    <cfRule type="expression" dxfId="327" priority="15">
      <formula>AB184&lt;&gt;C184</formula>
    </cfRule>
  </conditionalFormatting>
  <conditionalFormatting sqref="C202">
    <cfRule type="duplicateValues" dxfId="326" priority="16"/>
  </conditionalFormatting>
  <conditionalFormatting sqref="AB204">
    <cfRule type="expression" dxfId="325" priority="13">
      <formula>AB205&lt;&gt;C205</formula>
    </cfRule>
  </conditionalFormatting>
  <conditionalFormatting sqref="C204">
    <cfRule type="duplicateValues" dxfId="324" priority="14"/>
  </conditionalFormatting>
  <conditionalFormatting sqref="AB205">
    <cfRule type="expression" dxfId="323" priority="11">
      <formula>AB206&lt;&gt;C206</formula>
    </cfRule>
  </conditionalFormatting>
  <conditionalFormatting sqref="C205">
    <cfRule type="duplicateValues" dxfId="322" priority="12"/>
  </conditionalFormatting>
  <conditionalFormatting sqref="AB8">
    <cfRule type="expression" dxfId="321" priority="532">
      <formula>#REF!&lt;&gt;#REF!</formula>
    </cfRule>
  </conditionalFormatting>
  <conditionalFormatting sqref="AB206">
    <cfRule type="expression" dxfId="320" priority="9">
      <formula>AB207&lt;&gt;C207</formula>
    </cfRule>
  </conditionalFormatting>
  <conditionalFormatting sqref="C206">
    <cfRule type="duplicateValues" dxfId="319" priority="10"/>
  </conditionalFormatting>
  <conditionalFormatting sqref="C207">
    <cfRule type="duplicateValues" dxfId="318" priority="8"/>
  </conditionalFormatting>
  <conditionalFormatting sqref="AB19 AB75 AB152">
    <cfRule type="expression" dxfId="317" priority="556">
      <formula>#REF!&lt;&gt;#REF!</formula>
    </cfRule>
  </conditionalFormatting>
  <conditionalFormatting sqref="C2:C182 C184:C201">
    <cfRule type="duplicateValues" dxfId="316" priority="571"/>
  </conditionalFormatting>
  <conditionalFormatting sqref="B2:B182 B184:B191">
    <cfRule type="duplicateValues" dxfId="315" priority="573"/>
    <cfRule type="duplicateValues" dxfId="314" priority="574"/>
  </conditionalFormatting>
  <conditionalFormatting sqref="AB203">
    <cfRule type="expression" dxfId="313" priority="5">
      <formula>AB204&lt;&gt;C204</formula>
    </cfRule>
  </conditionalFormatting>
  <conditionalFormatting sqref="C203">
    <cfRule type="duplicateValues" dxfId="312" priority="6"/>
  </conditionalFormatting>
  <conditionalFormatting sqref="AB183">
    <cfRule type="expression" dxfId="311" priority="1">
      <formula>AB184&lt;&gt;C184</formula>
    </cfRule>
  </conditionalFormatting>
  <conditionalFormatting sqref="C183">
    <cfRule type="duplicateValues" dxfId="310" priority="2"/>
  </conditionalFormatting>
  <conditionalFormatting sqref="B183">
    <cfRule type="duplicateValues" dxfId="309" priority="3"/>
    <cfRule type="duplicateValues" dxfId="308" priority="4"/>
  </conditionalFormatting>
  <conditionalFormatting sqref="AB32 AB61 AB66 AB71 AB76 AB82 AB88 AB90 AB101">
    <cfRule type="expression" dxfId="307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3" width="8.796875" style="286" customWidth="1"/>
    <col min="164" max="16384" width="8.796875" style="286"/>
  </cols>
  <sheetData>
    <row r="1" spans="1:5">
      <c r="A1" s="289" t="s">
        <v>1082</v>
      </c>
      <c r="B1" s="289" t="s">
        <v>3430</v>
      </c>
      <c r="C1" s="289" t="s">
        <v>3431</v>
      </c>
      <c r="D1" s="289" t="s">
        <v>3432</v>
      </c>
      <c r="E1" s="289" t="s">
        <v>3433</v>
      </c>
    </row>
    <row r="2" spans="1:5">
      <c r="A2" s="287" t="s">
        <v>3434</v>
      </c>
      <c r="B2" s="287" t="s">
        <v>3435</v>
      </c>
      <c r="C2" s="334" t="s">
        <v>3436</v>
      </c>
      <c r="D2" s="334" t="s">
        <v>3437</v>
      </c>
      <c r="E2" s="334" t="s">
        <v>3438</v>
      </c>
    </row>
    <row r="3" spans="1:5">
      <c r="A3" s="287" t="s">
        <v>3434</v>
      </c>
      <c r="B3" s="287" t="s">
        <v>3435</v>
      </c>
      <c r="C3" s="287" t="s">
        <v>3439</v>
      </c>
      <c r="D3" s="287" t="s">
        <v>3440</v>
      </c>
      <c r="E3" s="287" t="s">
        <v>3441</v>
      </c>
    </row>
    <row r="4" spans="1:5">
      <c r="A4" s="287" t="s">
        <v>3434</v>
      </c>
      <c r="B4" s="287" t="s">
        <v>3435</v>
      </c>
      <c r="C4" s="287" t="s">
        <v>3442</v>
      </c>
      <c r="D4" s="287" t="s">
        <v>3443</v>
      </c>
      <c r="E4" s="287" t="s">
        <v>3444</v>
      </c>
    </row>
    <row r="5" spans="1:5">
      <c r="A5" s="287" t="s">
        <v>3434</v>
      </c>
      <c r="B5" s="287" t="s">
        <v>3435</v>
      </c>
      <c r="C5" s="287" t="s">
        <v>3445</v>
      </c>
      <c r="D5" s="287" t="s">
        <v>3446</v>
      </c>
      <c r="E5" s="287" t="s">
        <v>3447</v>
      </c>
    </row>
    <row r="6" spans="1:5">
      <c r="A6" s="287" t="s">
        <v>3434</v>
      </c>
      <c r="B6" s="287" t="s">
        <v>3435</v>
      </c>
      <c r="C6" s="287" t="s">
        <v>3448</v>
      </c>
      <c r="D6" s="287" t="s">
        <v>3449</v>
      </c>
      <c r="E6" s="287" t="s">
        <v>3450</v>
      </c>
    </row>
    <row r="7" spans="1:5">
      <c r="A7" s="287" t="s">
        <v>3434</v>
      </c>
      <c r="B7" s="287" t="s">
        <v>3435</v>
      </c>
      <c r="C7" s="287" t="s">
        <v>3451</v>
      </c>
      <c r="D7" s="287" t="s">
        <v>3452</v>
      </c>
      <c r="E7" s="287" t="s">
        <v>3453</v>
      </c>
    </row>
    <row r="8" spans="1:5">
      <c r="A8" s="287" t="s">
        <v>3434</v>
      </c>
      <c r="B8" s="287" t="s">
        <v>3435</v>
      </c>
      <c r="C8" s="287" t="s">
        <v>3454</v>
      </c>
      <c r="D8" s="287" t="s">
        <v>3455</v>
      </c>
      <c r="E8" s="287" t="s">
        <v>3456</v>
      </c>
    </row>
    <row r="9" spans="1:5">
      <c r="A9" s="287" t="s">
        <v>3434</v>
      </c>
      <c r="B9" s="287" t="s">
        <v>3435</v>
      </c>
      <c r="C9" s="287" t="s">
        <v>3457</v>
      </c>
      <c r="D9" s="287" t="s">
        <v>3458</v>
      </c>
      <c r="E9" s="287" t="s">
        <v>3459</v>
      </c>
    </row>
    <row r="10" spans="1:5">
      <c r="A10" s="287" t="s">
        <v>3434</v>
      </c>
      <c r="B10" s="287" t="s">
        <v>3435</v>
      </c>
      <c r="C10" s="287" t="s">
        <v>3460</v>
      </c>
      <c r="D10" s="287" t="s">
        <v>3461</v>
      </c>
      <c r="E10" s="287" t="s">
        <v>3462</v>
      </c>
    </row>
    <row r="11" spans="1:5">
      <c r="A11" s="287" t="s">
        <v>3434</v>
      </c>
      <c r="B11" s="287" t="s">
        <v>3435</v>
      </c>
      <c r="C11" s="287" t="s">
        <v>3463</v>
      </c>
      <c r="D11" s="287" t="s">
        <v>3464</v>
      </c>
      <c r="E11" s="287" t="s">
        <v>3465</v>
      </c>
    </row>
    <row r="12" spans="1:5">
      <c r="A12" s="287" t="s">
        <v>3434</v>
      </c>
      <c r="B12" s="287" t="s">
        <v>3466</v>
      </c>
      <c r="C12" s="287" t="s">
        <v>3467</v>
      </c>
      <c r="D12" s="287" t="s">
        <v>3468</v>
      </c>
      <c r="E12" s="287" t="s">
        <v>3469</v>
      </c>
    </row>
    <row r="13" spans="1:5">
      <c r="A13" s="287" t="s">
        <v>3434</v>
      </c>
      <c r="B13" s="287" t="s">
        <v>3466</v>
      </c>
      <c r="C13" s="287" t="s">
        <v>3470</v>
      </c>
      <c r="D13" s="287" t="s">
        <v>3471</v>
      </c>
      <c r="E13" s="287" t="s">
        <v>3472</v>
      </c>
    </row>
    <row r="14" spans="1:5">
      <c r="A14" s="287" t="s">
        <v>3434</v>
      </c>
      <c r="B14" s="287" t="s">
        <v>3466</v>
      </c>
      <c r="C14" s="287" t="s">
        <v>3473</v>
      </c>
      <c r="D14" s="287" t="s">
        <v>3474</v>
      </c>
      <c r="E14" s="287" t="s">
        <v>3475</v>
      </c>
    </row>
    <row r="15" spans="1:5">
      <c r="A15" s="287" t="s">
        <v>3434</v>
      </c>
      <c r="B15" s="287" t="s">
        <v>3466</v>
      </c>
      <c r="C15" s="287" t="s">
        <v>3476</v>
      </c>
      <c r="D15" s="287" t="s">
        <v>3477</v>
      </c>
      <c r="E15" s="287" t="s">
        <v>3478</v>
      </c>
    </row>
    <row r="16" spans="1:5">
      <c r="A16" s="287" t="s">
        <v>3434</v>
      </c>
      <c r="B16" s="287" t="s">
        <v>3466</v>
      </c>
      <c r="C16" s="287" t="s">
        <v>3479</v>
      </c>
      <c r="D16" s="287" t="s">
        <v>3480</v>
      </c>
      <c r="E16" s="287" t="s">
        <v>3481</v>
      </c>
    </row>
    <row r="17" spans="1:5">
      <c r="A17" s="287" t="s">
        <v>3434</v>
      </c>
      <c r="B17" s="287" t="s">
        <v>3466</v>
      </c>
      <c r="C17" s="287" t="s">
        <v>3482</v>
      </c>
      <c r="D17" s="287" t="s">
        <v>3483</v>
      </c>
      <c r="E17" s="287" t="s">
        <v>3484</v>
      </c>
    </row>
    <row r="18" spans="1:5">
      <c r="A18" s="287" t="s">
        <v>3434</v>
      </c>
      <c r="B18" s="287" t="s">
        <v>3466</v>
      </c>
      <c r="C18" s="287" t="s">
        <v>3485</v>
      </c>
      <c r="D18" s="287">
        <v>4401949290</v>
      </c>
      <c r="E18" s="287" t="s">
        <v>3486</v>
      </c>
    </row>
    <row r="19" spans="1:5">
      <c r="A19" s="287" t="s">
        <v>3434</v>
      </c>
      <c r="B19" s="287" t="s">
        <v>3466</v>
      </c>
      <c r="C19" s="287" t="s">
        <v>3487</v>
      </c>
      <c r="D19" s="287" t="s">
        <v>3488</v>
      </c>
      <c r="E19" s="287" t="s">
        <v>3489</v>
      </c>
    </row>
    <row r="20" spans="1:5">
      <c r="A20" s="287" t="s">
        <v>3434</v>
      </c>
      <c r="B20" s="287" t="s">
        <v>3490</v>
      </c>
      <c r="C20" s="287" t="s">
        <v>3491</v>
      </c>
      <c r="D20" s="287" t="s">
        <v>3492</v>
      </c>
      <c r="E20" s="287" t="s">
        <v>3493</v>
      </c>
    </row>
    <row r="21" spans="1:5">
      <c r="A21" s="287" t="s">
        <v>3434</v>
      </c>
      <c r="B21" s="287" t="s">
        <v>3490</v>
      </c>
      <c r="C21" s="287" t="s">
        <v>3494</v>
      </c>
      <c r="D21" s="287" t="s">
        <v>3495</v>
      </c>
      <c r="E21" s="287" t="s">
        <v>3496</v>
      </c>
    </row>
    <row r="22" spans="1:5">
      <c r="A22" s="287" t="s">
        <v>3434</v>
      </c>
      <c r="B22" s="287" t="s">
        <v>3490</v>
      </c>
      <c r="C22" s="287" t="s">
        <v>3497</v>
      </c>
      <c r="D22" s="287" t="s">
        <v>3498</v>
      </c>
      <c r="E22" s="287" t="s">
        <v>3499</v>
      </c>
    </row>
    <row r="23" spans="1:5">
      <c r="A23" s="287" t="s">
        <v>3434</v>
      </c>
      <c r="B23" s="287" t="s">
        <v>3490</v>
      </c>
      <c r="C23" s="287" t="s">
        <v>3500</v>
      </c>
      <c r="D23" s="287" t="s">
        <v>3501</v>
      </c>
      <c r="E23" s="287" t="s">
        <v>3502</v>
      </c>
    </row>
    <row r="24" spans="1:5">
      <c r="A24" s="287" t="s">
        <v>3434</v>
      </c>
      <c r="B24" s="287" t="s">
        <v>3490</v>
      </c>
      <c r="C24" s="287" t="s">
        <v>3503</v>
      </c>
      <c r="D24" s="287" t="s">
        <v>3504</v>
      </c>
      <c r="E24" s="287" t="s">
        <v>3505</v>
      </c>
    </row>
    <row r="25" spans="1:5">
      <c r="A25" s="287" t="s">
        <v>3434</v>
      </c>
      <c r="B25" s="287" t="s">
        <v>3490</v>
      </c>
      <c r="C25" s="287" t="s">
        <v>3506</v>
      </c>
      <c r="D25" s="287" t="s">
        <v>3507</v>
      </c>
      <c r="E25" s="287" t="s">
        <v>3508</v>
      </c>
    </row>
    <row r="26" spans="1:5">
      <c r="A26" s="287" t="s">
        <v>3434</v>
      </c>
      <c r="B26" s="287" t="s">
        <v>3509</v>
      </c>
      <c r="C26" s="287" t="s">
        <v>3510</v>
      </c>
      <c r="D26" s="287" t="s">
        <v>3511</v>
      </c>
      <c r="E26" s="287" t="s">
        <v>3512</v>
      </c>
    </row>
    <row r="27" spans="1:5">
      <c r="A27" s="287" t="s">
        <v>3434</v>
      </c>
      <c r="B27" s="287" t="s">
        <v>3509</v>
      </c>
      <c r="C27" s="287" t="s">
        <v>3513</v>
      </c>
      <c r="D27" s="287" t="s">
        <v>3514</v>
      </c>
      <c r="E27" s="287" t="s">
        <v>3515</v>
      </c>
    </row>
    <row r="28" spans="1:5">
      <c r="A28" s="287" t="s">
        <v>3434</v>
      </c>
      <c r="B28" s="287" t="s">
        <v>3509</v>
      </c>
      <c r="C28" s="287" t="s">
        <v>3516</v>
      </c>
      <c r="D28" s="287" t="s">
        <v>3517</v>
      </c>
      <c r="E28" s="287" t="s">
        <v>3518</v>
      </c>
    </row>
    <row r="29" spans="1:5">
      <c r="A29" s="287" t="s">
        <v>3434</v>
      </c>
      <c r="B29" s="287" t="s">
        <v>3509</v>
      </c>
      <c r="C29" s="287" t="s">
        <v>3519</v>
      </c>
      <c r="D29" s="287" t="s">
        <v>3520</v>
      </c>
      <c r="E29" s="287" t="s">
        <v>3521</v>
      </c>
    </row>
    <row r="30" spans="1:5">
      <c r="A30" s="287" t="s">
        <v>3434</v>
      </c>
      <c r="B30" s="287" t="s">
        <v>3522</v>
      </c>
      <c r="C30" s="287" t="s">
        <v>3523</v>
      </c>
      <c r="D30" s="287" t="s">
        <v>3524</v>
      </c>
      <c r="E30" s="287" t="s">
        <v>3525</v>
      </c>
    </row>
    <row r="31" spans="1:5">
      <c r="A31" s="288" t="s">
        <v>3526</v>
      </c>
      <c r="B31" s="287" t="s">
        <v>3435</v>
      </c>
      <c r="C31" s="334" t="s">
        <v>3436</v>
      </c>
      <c r="D31" s="334" t="s">
        <v>3527</v>
      </c>
      <c r="E31" s="334" t="s">
        <v>3438</v>
      </c>
    </row>
    <row r="32" spans="1:5">
      <c r="A32" s="288" t="s">
        <v>3526</v>
      </c>
      <c r="B32" s="287" t="s">
        <v>3435</v>
      </c>
      <c r="C32" s="287" t="s">
        <v>3528</v>
      </c>
      <c r="D32" s="287" t="s">
        <v>3529</v>
      </c>
      <c r="E32" s="287" t="s">
        <v>3441</v>
      </c>
    </row>
    <row r="33" spans="1:5">
      <c r="A33" s="288" t="s">
        <v>3526</v>
      </c>
      <c r="B33" s="287" t="s">
        <v>3435</v>
      </c>
      <c r="C33" s="287" t="s">
        <v>3442</v>
      </c>
      <c r="D33" s="287" t="s">
        <v>3443</v>
      </c>
      <c r="E33" s="287" t="s">
        <v>3444</v>
      </c>
    </row>
    <row r="34" spans="1:5">
      <c r="A34" s="288" t="s">
        <v>3526</v>
      </c>
      <c r="B34" s="287" t="s">
        <v>3435</v>
      </c>
      <c r="C34" s="287" t="s">
        <v>3445</v>
      </c>
      <c r="D34" s="287" t="s">
        <v>3446</v>
      </c>
      <c r="E34" s="287" t="s">
        <v>3447</v>
      </c>
    </row>
    <row r="35" spans="1:5">
      <c r="A35" s="288" t="s">
        <v>3526</v>
      </c>
      <c r="B35" s="287" t="s">
        <v>3435</v>
      </c>
      <c r="C35" s="287" t="s">
        <v>3448</v>
      </c>
      <c r="D35" s="287" t="s">
        <v>3449</v>
      </c>
      <c r="E35" s="287" t="s">
        <v>3450</v>
      </c>
    </row>
    <row r="36" spans="1:5">
      <c r="A36" s="288" t="s">
        <v>3526</v>
      </c>
      <c r="B36" s="287" t="s">
        <v>3435</v>
      </c>
      <c r="C36" s="287" t="s">
        <v>3451</v>
      </c>
      <c r="D36" s="287" t="s">
        <v>3452</v>
      </c>
      <c r="E36" s="287" t="s">
        <v>3453</v>
      </c>
    </row>
    <row r="37" spans="1:5">
      <c r="A37" s="288" t="s">
        <v>3526</v>
      </c>
      <c r="B37" s="287" t="s">
        <v>3435</v>
      </c>
      <c r="C37" s="287" t="s">
        <v>3454</v>
      </c>
      <c r="D37" s="287" t="s">
        <v>3455</v>
      </c>
      <c r="E37" s="287" t="s">
        <v>3456</v>
      </c>
    </row>
    <row r="38" spans="1:5">
      <c r="A38" s="288" t="s">
        <v>3526</v>
      </c>
      <c r="B38" s="287" t="s">
        <v>3435</v>
      </c>
      <c r="C38" s="287" t="s">
        <v>3457</v>
      </c>
      <c r="D38" s="287" t="s">
        <v>3458</v>
      </c>
      <c r="E38" s="287" t="s">
        <v>3459</v>
      </c>
    </row>
    <row r="39" spans="1:5">
      <c r="A39" s="288" t="s">
        <v>3526</v>
      </c>
      <c r="B39" s="287" t="s">
        <v>3435</v>
      </c>
      <c r="C39" s="287" t="s">
        <v>3460</v>
      </c>
      <c r="D39" s="287" t="s">
        <v>3461</v>
      </c>
      <c r="E39" s="287" t="s">
        <v>3462</v>
      </c>
    </row>
    <row r="40" spans="1:5">
      <c r="A40" s="288" t="s">
        <v>3526</v>
      </c>
      <c r="B40" s="287" t="s">
        <v>3435</v>
      </c>
      <c r="C40" s="287" t="s">
        <v>3463</v>
      </c>
      <c r="D40" s="287" t="s">
        <v>3464</v>
      </c>
      <c r="E40" s="287" t="s">
        <v>3465</v>
      </c>
    </row>
    <row r="41" spans="1:5">
      <c r="A41" s="288" t="s">
        <v>3526</v>
      </c>
      <c r="B41" s="287" t="s">
        <v>3466</v>
      </c>
      <c r="C41" s="287" t="s">
        <v>3467</v>
      </c>
      <c r="D41" s="287" t="s">
        <v>3530</v>
      </c>
      <c r="E41" s="287" t="s">
        <v>3531</v>
      </c>
    </row>
    <row r="42" spans="1:5">
      <c r="A42" s="288" t="s">
        <v>3526</v>
      </c>
      <c r="B42" s="287" t="s">
        <v>3466</v>
      </c>
      <c r="C42" s="287" t="s">
        <v>3470</v>
      </c>
      <c r="D42" s="287" t="s">
        <v>3532</v>
      </c>
      <c r="E42" s="287" t="s">
        <v>3472</v>
      </c>
    </row>
    <row r="43" spans="1:5">
      <c r="A43" s="288" t="s">
        <v>3526</v>
      </c>
      <c r="B43" s="287" t="s">
        <v>3466</v>
      </c>
      <c r="C43" s="287" t="s">
        <v>3473</v>
      </c>
      <c r="D43" s="287" t="s">
        <v>3474</v>
      </c>
      <c r="E43" s="287" t="s">
        <v>3475</v>
      </c>
    </row>
    <row r="44" spans="1:5">
      <c r="A44" s="288" t="s">
        <v>3526</v>
      </c>
      <c r="B44" s="287" t="s">
        <v>3466</v>
      </c>
      <c r="C44" s="287" t="s">
        <v>3476</v>
      </c>
      <c r="D44" s="287" t="s">
        <v>3477</v>
      </c>
      <c r="E44" s="287" t="s">
        <v>3478</v>
      </c>
    </row>
    <row r="45" spans="1:5">
      <c r="A45" s="288" t="s">
        <v>3526</v>
      </c>
      <c r="B45" s="287" t="s">
        <v>3466</v>
      </c>
      <c r="C45" s="287" t="s">
        <v>3479</v>
      </c>
      <c r="D45" s="287" t="s">
        <v>3480</v>
      </c>
      <c r="E45" s="287" t="s">
        <v>3481</v>
      </c>
    </row>
    <row r="46" spans="1:5">
      <c r="A46" s="288" t="s">
        <v>3526</v>
      </c>
      <c r="B46" s="287" t="s">
        <v>3466</v>
      </c>
      <c r="C46" s="287" t="s">
        <v>3482</v>
      </c>
      <c r="D46" s="287" t="s">
        <v>3533</v>
      </c>
      <c r="E46" s="287" t="s">
        <v>3534</v>
      </c>
    </row>
    <row r="47" spans="1:5">
      <c r="A47" s="288" t="s">
        <v>3526</v>
      </c>
      <c r="B47" s="287" t="s">
        <v>3466</v>
      </c>
      <c r="C47" s="287" t="s">
        <v>3485</v>
      </c>
      <c r="D47" s="287">
        <v>4401949290</v>
      </c>
      <c r="E47" s="287" t="s">
        <v>3486</v>
      </c>
    </row>
    <row r="48" spans="1:5">
      <c r="A48" s="288" t="s">
        <v>3526</v>
      </c>
      <c r="B48" s="287" t="s">
        <v>3466</v>
      </c>
      <c r="C48" s="287" t="s">
        <v>3487</v>
      </c>
      <c r="D48" s="287" t="s">
        <v>3488</v>
      </c>
      <c r="E48" s="287" t="s">
        <v>3489</v>
      </c>
    </row>
    <row r="49" spans="1:5">
      <c r="A49" s="288" t="s">
        <v>3526</v>
      </c>
      <c r="B49" s="287" t="s">
        <v>3490</v>
      </c>
      <c r="C49" s="287" t="s">
        <v>3491</v>
      </c>
      <c r="D49" s="287" t="s">
        <v>3492</v>
      </c>
      <c r="E49" s="287" t="s">
        <v>3493</v>
      </c>
    </row>
    <row r="50" spans="1:5">
      <c r="A50" s="288" t="s">
        <v>3526</v>
      </c>
      <c r="B50" s="287" t="s">
        <v>3490</v>
      </c>
      <c r="C50" s="287" t="s">
        <v>3494</v>
      </c>
      <c r="D50" s="287" t="s">
        <v>3495</v>
      </c>
      <c r="E50" s="287" t="s">
        <v>3496</v>
      </c>
    </row>
    <row r="51" spans="1:5">
      <c r="A51" s="288" t="s">
        <v>3526</v>
      </c>
      <c r="B51" s="287" t="s">
        <v>3490</v>
      </c>
      <c r="C51" s="287" t="s">
        <v>3497</v>
      </c>
      <c r="D51" s="287" t="s">
        <v>3498</v>
      </c>
      <c r="E51" s="287" t="s">
        <v>3499</v>
      </c>
    </row>
    <row r="52" spans="1:5">
      <c r="A52" s="288" t="s">
        <v>3526</v>
      </c>
      <c r="B52" s="287" t="s">
        <v>3490</v>
      </c>
      <c r="C52" s="287" t="s">
        <v>3500</v>
      </c>
      <c r="D52" s="287" t="s">
        <v>3501</v>
      </c>
      <c r="E52" s="287" t="s">
        <v>3502</v>
      </c>
    </row>
    <row r="53" spans="1:5">
      <c r="A53" s="288" t="s">
        <v>3526</v>
      </c>
      <c r="B53" s="287" t="s">
        <v>3490</v>
      </c>
      <c r="C53" s="287" t="s">
        <v>3503</v>
      </c>
      <c r="D53" s="287" t="s">
        <v>3504</v>
      </c>
      <c r="E53" s="287" t="s">
        <v>3505</v>
      </c>
    </row>
    <row r="54" spans="1:5">
      <c r="A54" s="288" t="s">
        <v>3526</v>
      </c>
      <c r="B54" s="287" t="s">
        <v>3490</v>
      </c>
      <c r="C54" s="287" t="s">
        <v>3506</v>
      </c>
      <c r="D54" s="287" t="s">
        <v>3507</v>
      </c>
      <c r="E54" s="287" t="s">
        <v>3508</v>
      </c>
    </row>
    <row r="55" spans="1:5">
      <c r="A55" s="288" t="s">
        <v>3526</v>
      </c>
      <c r="B55" s="287" t="s">
        <v>3509</v>
      </c>
      <c r="C55" s="287" t="s">
        <v>3510</v>
      </c>
      <c r="D55" s="287" t="s">
        <v>3511</v>
      </c>
      <c r="E55" s="287" t="s">
        <v>3512</v>
      </c>
    </row>
    <row r="56" spans="1:5">
      <c r="A56" s="288" t="s">
        <v>3526</v>
      </c>
      <c r="B56" s="287" t="s">
        <v>3509</v>
      </c>
      <c r="C56" s="287" t="s">
        <v>3513</v>
      </c>
      <c r="D56" s="287" t="s">
        <v>3514</v>
      </c>
      <c r="E56" s="287" t="s">
        <v>3515</v>
      </c>
    </row>
    <row r="57" spans="1:5">
      <c r="A57" s="288" t="s">
        <v>3526</v>
      </c>
      <c r="B57" s="287" t="s">
        <v>3509</v>
      </c>
      <c r="C57" s="287" t="s">
        <v>3516</v>
      </c>
      <c r="D57" s="287" t="s">
        <v>3517</v>
      </c>
      <c r="E57" s="287" t="s">
        <v>3518</v>
      </c>
    </row>
    <row r="58" spans="1:5">
      <c r="A58" s="288" t="s">
        <v>3526</v>
      </c>
      <c r="B58" s="287" t="s">
        <v>3509</v>
      </c>
      <c r="C58" s="287" t="s">
        <v>3519</v>
      </c>
      <c r="D58" s="287" t="s">
        <v>3520</v>
      </c>
      <c r="E58" s="287" t="s">
        <v>3521</v>
      </c>
    </row>
    <row r="59" spans="1:5">
      <c r="A59" s="288" t="s">
        <v>3526</v>
      </c>
      <c r="B59" s="287" t="s">
        <v>3522</v>
      </c>
      <c r="C59" s="287" t="s">
        <v>3523</v>
      </c>
      <c r="D59" s="287" t="s">
        <v>3524</v>
      </c>
      <c r="E59" s="287" t="s">
        <v>3525</v>
      </c>
    </row>
    <row r="60" spans="1:5">
      <c r="A60" s="287" t="s">
        <v>3535</v>
      </c>
      <c r="B60" s="287" t="s">
        <v>3435</v>
      </c>
      <c r="C60" s="334" t="s">
        <v>3436</v>
      </c>
      <c r="D60" s="334" t="s">
        <v>3536</v>
      </c>
      <c r="E60" s="334" t="s">
        <v>3438</v>
      </c>
    </row>
    <row r="61" spans="1:5">
      <c r="A61" s="287" t="s">
        <v>3535</v>
      </c>
      <c r="B61" s="287" t="s">
        <v>3435</v>
      </c>
      <c r="C61" s="287" t="s">
        <v>3528</v>
      </c>
      <c r="D61" s="287" t="s">
        <v>3537</v>
      </c>
      <c r="E61" s="287" t="s">
        <v>3538</v>
      </c>
    </row>
    <row r="62" spans="1:5">
      <c r="A62" s="287" t="s">
        <v>3535</v>
      </c>
      <c r="B62" s="287" t="s">
        <v>3435</v>
      </c>
      <c r="C62" s="287" t="s">
        <v>3442</v>
      </c>
      <c r="D62" s="287" t="s">
        <v>3443</v>
      </c>
      <c r="E62" s="287" t="s">
        <v>3444</v>
      </c>
    </row>
    <row r="63" spans="1:5">
      <c r="A63" s="287" t="s">
        <v>3535</v>
      </c>
      <c r="B63" s="287" t="s">
        <v>3435</v>
      </c>
      <c r="C63" s="287" t="s">
        <v>3445</v>
      </c>
      <c r="D63" s="287" t="s">
        <v>3446</v>
      </c>
      <c r="E63" s="287" t="s">
        <v>3447</v>
      </c>
    </row>
    <row r="64" spans="1:5">
      <c r="A64" s="287" t="s">
        <v>3535</v>
      </c>
      <c r="B64" s="287" t="s">
        <v>3435</v>
      </c>
      <c r="C64" s="287" t="s">
        <v>3448</v>
      </c>
      <c r="D64" s="287" t="s">
        <v>3449</v>
      </c>
      <c r="E64" s="287" t="s">
        <v>3450</v>
      </c>
    </row>
    <row r="65" spans="1:5">
      <c r="A65" s="287" t="s">
        <v>3535</v>
      </c>
      <c r="B65" s="287" t="s">
        <v>3435</v>
      </c>
      <c r="C65" s="287" t="s">
        <v>3451</v>
      </c>
      <c r="D65" s="287" t="s">
        <v>3452</v>
      </c>
      <c r="E65" s="287" t="s">
        <v>3453</v>
      </c>
    </row>
    <row r="66" spans="1:5">
      <c r="A66" s="287" t="s">
        <v>3535</v>
      </c>
      <c r="B66" s="287" t="s">
        <v>3435</v>
      </c>
      <c r="C66" s="287" t="s">
        <v>3454</v>
      </c>
      <c r="D66" s="287" t="s">
        <v>3539</v>
      </c>
      <c r="E66" s="287" t="s">
        <v>3540</v>
      </c>
    </row>
    <row r="67" spans="1:5">
      <c r="A67" s="287" t="s">
        <v>3535</v>
      </c>
      <c r="B67" s="287" t="s">
        <v>3435</v>
      </c>
      <c r="C67" s="287" t="s">
        <v>3457</v>
      </c>
      <c r="D67" s="287" t="s">
        <v>3541</v>
      </c>
      <c r="E67" s="287" t="s">
        <v>3542</v>
      </c>
    </row>
    <row r="68" spans="1:5">
      <c r="A68" s="287" t="s">
        <v>3535</v>
      </c>
      <c r="B68" s="287" t="s">
        <v>3435</v>
      </c>
      <c r="C68" s="287" t="s">
        <v>3460</v>
      </c>
      <c r="D68" s="287" t="s">
        <v>3543</v>
      </c>
      <c r="E68" s="287" t="s">
        <v>3544</v>
      </c>
    </row>
    <row r="69" spans="1:5">
      <c r="A69" s="287" t="s">
        <v>3535</v>
      </c>
      <c r="B69" s="287" t="s">
        <v>3435</v>
      </c>
      <c r="C69" s="287" t="s">
        <v>3463</v>
      </c>
      <c r="D69" s="287" t="s">
        <v>3545</v>
      </c>
      <c r="E69" s="287" t="s">
        <v>3546</v>
      </c>
    </row>
    <row r="70" spans="1:5">
      <c r="A70" s="287" t="s">
        <v>3535</v>
      </c>
      <c r="B70" s="287" t="s">
        <v>3466</v>
      </c>
      <c r="C70" s="287" t="s">
        <v>3467</v>
      </c>
      <c r="D70" s="287" t="s">
        <v>3547</v>
      </c>
      <c r="E70" s="287" t="s">
        <v>3548</v>
      </c>
    </row>
    <row r="71" spans="1:5">
      <c r="A71" s="287" t="s">
        <v>3535</v>
      </c>
      <c r="B71" s="287" t="s">
        <v>3466</v>
      </c>
      <c r="C71" s="287" t="s">
        <v>3470</v>
      </c>
      <c r="D71" s="287" t="s">
        <v>3549</v>
      </c>
      <c r="E71" s="287" t="s">
        <v>3550</v>
      </c>
    </row>
    <row r="72" spans="1:5">
      <c r="A72" s="287" t="s">
        <v>3535</v>
      </c>
      <c r="B72" s="287" t="s">
        <v>3466</v>
      </c>
      <c r="C72" s="287" t="s">
        <v>3473</v>
      </c>
      <c r="D72" s="287" t="s">
        <v>3551</v>
      </c>
      <c r="E72" s="287" t="s">
        <v>3552</v>
      </c>
    </row>
    <row r="73" spans="1:5">
      <c r="A73" s="287" t="s">
        <v>3535</v>
      </c>
      <c r="B73" s="287" t="s">
        <v>3466</v>
      </c>
      <c r="C73" s="287" t="s">
        <v>3476</v>
      </c>
      <c r="D73" s="287" t="s">
        <v>3553</v>
      </c>
      <c r="E73" s="287" t="s">
        <v>3554</v>
      </c>
    </row>
    <row r="74" spans="1:5">
      <c r="A74" s="287" t="s">
        <v>3535</v>
      </c>
      <c r="B74" s="287" t="s">
        <v>3466</v>
      </c>
      <c r="C74" s="287" t="s">
        <v>3479</v>
      </c>
      <c r="D74" s="287" t="s">
        <v>3555</v>
      </c>
      <c r="E74" s="287" t="s">
        <v>3556</v>
      </c>
    </row>
    <row r="75" spans="1:5">
      <c r="A75" s="287" t="s">
        <v>3535</v>
      </c>
      <c r="B75" s="287" t="s">
        <v>3466</v>
      </c>
      <c r="C75" s="287" t="s">
        <v>3482</v>
      </c>
      <c r="D75" s="287" t="s">
        <v>3557</v>
      </c>
      <c r="E75" s="287" t="s">
        <v>3558</v>
      </c>
    </row>
    <row r="76" spans="1:5">
      <c r="A76" s="287" t="s">
        <v>3535</v>
      </c>
      <c r="B76" s="287" t="s">
        <v>3466</v>
      </c>
      <c r="C76" s="287" t="s">
        <v>3559</v>
      </c>
      <c r="D76" s="287" t="s">
        <v>3560</v>
      </c>
      <c r="E76" s="287" t="s">
        <v>3561</v>
      </c>
    </row>
    <row r="77" spans="1:5">
      <c r="A77" s="287" t="s">
        <v>3535</v>
      </c>
      <c r="B77" s="287" t="s">
        <v>3490</v>
      </c>
      <c r="C77" s="287" t="s">
        <v>3562</v>
      </c>
      <c r="D77" s="287" t="s">
        <v>3563</v>
      </c>
      <c r="E77" s="287" t="s">
        <v>3564</v>
      </c>
    </row>
    <row r="78" spans="1:5">
      <c r="A78" s="287" t="s">
        <v>3535</v>
      </c>
      <c r="B78" s="287" t="s">
        <v>3490</v>
      </c>
      <c r="C78" s="287" t="s">
        <v>3565</v>
      </c>
      <c r="D78" s="287" t="s">
        <v>3492</v>
      </c>
      <c r="E78" s="287" t="s">
        <v>3493</v>
      </c>
    </row>
    <row r="79" spans="1:5">
      <c r="A79" s="287" t="s">
        <v>3535</v>
      </c>
      <c r="B79" s="287" t="s">
        <v>3490</v>
      </c>
      <c r="C79" s="287" t="s">
        <v>3566</v>
      </c>
      <c r="D79" s="287" t="s">
        <v>3567</v>
      </c>
      <c r="E79" s="287" t="s">
        <v>3568</v>
      </c>
    </row>
    <row r="80" spans="1:5">
      <c r="A80" s="287" t="s">
        <v>3535</v>
      </c>
      <c r="B80" s="287" t="s">
        <v>3490</v>
      </c>
      <c r="C80" s="287" t="s">
        <v>3500</v>
      </c>
      <c r="D80" s="287" t="s">
        <v>3501</v>
      </c>
      <c r="E80" s="287" t="s">
        <v>3502</v>
      </c>
    </row>
    <row r="81" spans="1:5">
      <c r="A81" s="287" t="s">
        <v>3535</v>
      </c>
      <c r="B81" s="287" t="s">
        <v>3490</v>
      </c>
      <c r="C81" s="287" t="s">
        <v>3569</v>
      </c>
      <c r="D81" s="287" t="s">
        <v>3570</v>
      </c>
      <c r="E81" s="287" t="s">
        <v>3571</v>
      </c>
    </row>
    <row r="82" spans="1:5">
      <c r="A82" s="287" t="s">
        <v>3535</v>
      </c>
      <c r="B82" s="287" t="s">
        <v>3509</v>
      </c>
      <c r="C82" s="287" t="s">
        <v>3510</v>
      </c>
      <c r="D82" s="287" t="s">
        <v>3511</v>
      </c>
      <c r="E82" s="287" t="s">
        <v>3512</v>
      </c>
    </row>
    <row r="83" spans="1:5">
      <c r="A83" s="287" t="s">
        <v>3535</v>
      </c>
      <c r="B83" s="287" t="s">
        <v>3509</v>
      </c>
      <c r="C83" s="287" t="s">
        <v>3513</v>
      </c>
      <c r="D83" s="287" t="s">
        <v>3514</v>
      </c>
      <c r="E83" s="287" t="s">
        <v>3515</v>
      </c>
    </row>
    <row r="84" spans="1:5">
      <c r="A84" s="287" t="s">
        <v>3535</v>
      </c>
      <c r="B84" s="287" t="s">
        <v>3509</v>
      </c>
      <c r="C84" s="287" t="s">
        <v>3516</v>
      </c>
      <c r="D84" s="287" t="s">
        <v>3517</v>
      </c>
      <c r="E84" s="287" t="s">
        <v>3518</v>
      </c>
    </row>
    <row r="85" spans="1:5">
      <c r="A85" s="287" t="s">
        <v>3535</v>
      </c>
      <c r="B85" s="287" t="s">
        <v>3509</v>
      </c>
      <c r="C85" s="287" t="s">
        <v>3519</v>
      </c>
      <c r="D85" s="287" t="s">
        <v>3520</v>
      </c>
      <c r="E85" s="287" t="s">
        <v>3521</v>
      </c>
    </row>
    <row r="86" spans="1:5">
      <c r="A86" s="287" t="s">
        <v>3535</v>
      </c>
      <c r="B86" s="287" t="s">
        <v>3522</v>
      </c>
      <c r="C86" s="287" t="s">
        <v>3523</v>
      </c>
      <c r="D86" s="287" t="s">
        <v>3524</v>
      </c>
      <c r="E86" s="287" t="s">
        <v>3525</v>
      </c>
    </row>
    <row r="87" spans="1:5">
      <c r="A87" s="287" t="s">
        <v>3572</v>
      </c>
      <c r="B87" s="287" t="s">
        <v>3435</v>
      </c>
      <c r="C87" s="334" t="s">
        <v>3436</v>
      </c>
      <c r="D87" s="334" t="s">
        <v>3573</v>
      </c>
      <c r="E87" s="334" t="s">
        <v>3574</v>
      </c>
    </row>
    <row r="88" spans="1:5">
      <c r="A88" s="287" t="s">
        <v>3572</v>
      </c>
      <c r="B88" s="287" t="s">
        <v>3435</v>
      </c>
      <c r="C88" s="334" t="s">
        <v>3436</v>
      </c>
      <c r="D88" s="334" t="s">
        <v>3575</v>
      </c>
      <c r="E88" s="334" t="s">
        <v>3576</v>
      </c>
    </row>
    <row r="89" spans="1:5">
      <c r="A89" s="287" t="s">
        <v>3572</v>
      </c>
      <c r="B89" s="287" t="s">
        <v>3435</v>
      </c>
      <c r="C89" s="287" t="s">
        <v>3577</v>
      </c>
      <c r="D89" s="287" t="s">
        <v>3578</v>
      </c>
      <c r="E89" s="287" t="s">
        <v>3579</v>
      </c>
    </row>
    <row r="90" spans="1:5">
      <c r="A90" s="287" t="s">
        <v>3572</v>
      </c>
      <c r="B90" s="287" t="s">
        <v>3435</v>
      </c>
      <c r="C90" s="287" t="s">
        <v>3448</v>
      </c>
      <c r="D90" s="287" t="s">
        <v>3580</v>
      </c>
      <c r="E90" s="287" t="s">
        <v>3450</v>
      </c>
    </row>
    <row r="91" spans="1:5">
      <c r="A91" s="287" t="s">
        <v>3572</v>
      </c>
      <c r="B91" s="287" t="s">
        <v>3435</v>
      </c>
      <c r="C91" s="287" t="s">
        <v>3451</v>
      </c>
      <c r="D91" s="287" t="s">
        <v>3581</v>
      </c>
      <c r="E91" s="287" t="s">
        <v>3582</v>
      </c>
    </row>
    <row r="92" spans="1:5">
      <c r="A92" s="287" t="s">
        <v>3572</v>
      </c>
      <c r="B92" s="287" t="s">
        <v>3435</v>
      </c>
      <c r="C92" s="287" t="s">
        <v>3583</v>
      </c>
      <c r="D92" s="287" t="s">
        <v>3584</v>
      </c>
      <c r="E92" s="287" t="s">
        <v>3585</v>
      </c>
    </row>
    <row r="93" spans="1:5">
      <c r="A93" s="287" t="s">
        <v>3572</v>
      </c>
      <c r="B93" s="287" t="s">
        <v>3466</v>
      </c>
      <c r="C93" s="287" t="s">
        <v>3586</v>
      </c>
      <c r="D93" s="287" t="s">
        <v>3587</v>
      </c>
      <c r="E93" s="287" t="s">
        <v>3588</v>
      </c>
    </row>
    <row r="94" spans="1:5">
      <c r="A94" s="287" t="s">
        <v>3572</v>
      </c>
      <c r="B94" s="287" t="s">
        <v>3466</v>
      </c>
      <c r="C94" s="287" t="s">
        <v>3589</v>
      </c>
      <c r="D94" s="287" t="s">
        <v>3590</v>
      </c>
      <c r="E94" s="287" t="s">
        <v>3591</v>
      </c>
    </row>
    <row r="95" spans="1:5">
      <c r="A95" s="287" t="s">
        <v>3572</v>
      </c>
      <c r="B95" s="287" t="s">
        <v>3466</v>
      </c>
      <c r="C95" s="287" t="s">
        <v>3592</v>
      </c>
      <c r="D95" s="287" t="s">
        <v>3593</v>
      </c>
      <c r="E95" s="287" t="s">
        <v>3594</v>
      </c>
    </row>
    <row r="96" spans="1:5">
      <c r="A96" s="287" t="s">
        <v>3572</v>
      </c>
      <c r="B96" s="287" t="s">
        <v>3466</v>
      </c>
      <c r="C96" s="287" t="s">
        <v>3595</v>
      </c>
      <c r="D96" s="287" t="s">
        <v>3596</v>
      </c>
      <c r="E96" s="287" t="s">
        <v>3597</v>
      </c>
    </row>
    <row r="97" spans="1:5">
      <c r="A97" s="287" t="s">
        <v>3572</v>
      </c>
      <c r="B97" s="287" t="s">
        <v>3466</v>
      </c>
      <c r="C97" s="287" t="s">
        <v>3598</v>
      </c>
      <c r="D97" s="287" t="s">
        <v>3599</v>
      </c>
      <c r="E97" s="287" t="s">
        <v>3597</v>
      </c>
    </row>
    <row r="98" spans="1:5">
      <c r="A98" s="287" t="s">
        <v>3572</v>
      </c>
      <c r="B98" s="287" t="s">
        <v>3466</v>
      </c>
      <c r="C98" s="287" t="s">
        <v>3600</v>
      </c>
      <c r="D98" s="287" t="s">
        <v>3601</v>
      </c>
      <c r="E98" s="287" t="s">
        <v>3602</v>
      </c>
    </row>
    <row r="99" spans="1:5">
      <c r="A99" s="287" t="s">
        <v>3572</v>
      </c>
      <c r="B99" s="287" t="s">
        <v>3466</v>
      </c>
      <c r="C99" s="287" t="s">
        <v>3603</v>
      </c>
      <c r="D99" s="287" t="s">
        <v>3604</v>
      </c>
      <c r="E99" s="287" t="s">
        <v>3605</v>
      </c>
    </row>
    <row r="100" spans="1:5">
      <c r="A100" s="287" t="s">
        <v>3572</v>
      </c>
      <c r="B100" s="287" t="s">
        <v>3466</v>
      </c>
      <c r="C100" s="287" t="s">
        <v>3606</v>
      </c>
      <c r="D100" s="287" t="s">
        <v>3607</v>
      </c>
      <c r="E100" s="287" t="s">
        <v>3608</v>
      </c>
    </row>
    <row r="101" spans="1:5">
      <c r="A101" s="287" t="s">
        <v>3572</v>
      </c>
      <c r="B101" s="287" t="s">
        <v>3490</v>
      </c>
      <c r="C101" s="287" t="s">
        <v>3565</v>
      </c>
      <c r="D101" s="287" t="s">
        <v>3609</v>
      </c>
      <c r="E101" s="287" t="s">
        <v>3610</v>
      </c>
    </row>
    <row r="102" spans="1:5">
      <c r="A102" s="287" t="s">
        <v>3572</v>
      </c>
      <c r="B102" s="287" t="s">
        <v>3490</v>
      </c>
      <c r="C102" s="287" t="s">
        <v>3562</v>
      </c>
      <c r="D102" s="287" t="s">
        <v>3611</v>
      </c>
      <c r="E102" s="287" t="s">
        <v>3612</v>
      </c>
    </row>
    <row r="103" spans="1:5">
      <c r="A103" s="287" t="s">
        <v>3572</v>
      </c>
      <c r="B103" s="287" t="s">
        <v>3490</v>
      </c>
      <c r="C103" s="287" t="s">
        <v>3613</v>
      </c>
      <c r="D103" s="287" t="s">
        <v>3614</v>
      </c>
      <c r="E103" s="287" t="s">
        <v>3615</v>
      </c>
    </row>
    <row r="104" spans="1:5">
      <c r="A104" s="287" t="s">
        <v>3572</v>
      </c>
      <c r="B104" s="287" t="s">
        <v>3490</v>
      </c>
      <c r="C104" s="287" t="s">
        <v>3616</v>
      </c>
      <c r="D104" s="287" t="s">
        <v>3617</v>
      </c>
      <c r="E104" s="287" t="s">
        <v>3618</v>
      </c>
    </row>
    <row r="105" spans="1:5">
      <c r="A105" s="287" t="s">
        <v>3572</v>
      </c>
      <c r="B105" s="287" t="s">
        <v>3490</v>
      </c>
      <c r="C105" s="287" t="s">
        <v>3619</v>
      </c>
      <c r="D105" s="287" t="s">
        <v>3620</v>
      </c>
      <c r="E105" s="287" t="s">
        <v>3621</v>
      </c>
    </row>
    <row r="106" spans="1:5">
      <c r="A106" s="287" t="s">
        <v>3572</v>
      </c>
      <c r="B106" s="287" t="s">
        <v>3490</v>
      </c>
      <c r="C106" s="287" t="s">
        <v>3622</v>
      </c>
      <c r="D106" s="287" t="s">
        <v>3623</v>
      </c>
      <c r="E106" s="287" t="s">
        <v>3624</v>
      </c>
    </row>
    <row r="107" spans="1:5">
      <c r="A107" s="287" t="s">
        <v>3572</v>
      </c>
      <c r="B107" s="287" t="s">
        <v>3509</v>
      </c>
      <c r="C107" s="287" t="s">
        <v>3510</v>
      </c>
      <c r="D107" s="287" t="s">
        <v>3511</v>
      </c>
      <c r="E107" s="287" t="s">
        <v>3512</v>
      </c>
    </row>
    <row r="108" spans="1:5">
      <c r="A108" s="287" t="s">
        <v>3572</v>
      </c>
      <c r="B108" s="287" t="s">
        <v>3509</v>
      </c>
      <c r="C108" s="287" t="s">
        <v>3513</v>
      </c>
      <c r="D108" s="287" t="s">
        <v>3514</v>
      </c>
      <c r="E108" s="287" t="s">
        <v>3515</v>
      </c>
    </row>
    <row r="109" spans="1:5">
      <c r="A109" s="287" t="s">
        <v>3572</v>
      </c>
      <c r="B109" s="287" t="s">
        <v>3509</v>
      </c>
      <c r="C109" s="287" t="s">
        <v>3516</v>
      </c>
      <c r="D109" s="287" t="s">
        <v>3517</v>
      </c>
      <c r="E109" s="287" t="s">
        <v>3518</v>
      </c>
    </row>
    <row r="110" spans="1:5">
      <c r="A110" s="287" t="s">
        <v>3572</v>
      </c>
      <c r="B110" s="287" t="s">
        <v>3509</v>
      </c>
      <c r="C110" s="287" t="s">
        <v>3519</v>
      </c>
      <c r="D110" s="287" t="s">
        <v>3520</v>
      </c>
      <c r="E110" s="287" t="s">
        <v>3521</v>
      </c>
    </row>
    <row r="111" spans="1:5">
      <c r="A111" s="287" t="s">
        <v>3625</v>
      </c>
      <c r="B111" s="287" t="s">
        <v>3435</v>
      </c>
      <c r="C111" s="334" t="s">
        <v>3436</v>
      </c>
      <c r="D111" s="334" t="s">
        <v>3626</v>
      </c>
      <c r="E111" s="334" t="s">
        <v>3627</v>
      </c>
    </row>
    <row r="112" spans="1:5">
      <c r="A112" s="287" t="s">
        <v>3625</v>
      </c>
      <c r="B112" s="287" t="s">
        <v>3435</v>
      </c>
      <c r="C112" s="287" t="s">
        <v>3577</v>
      </c>
      <c r="D112" s="287" t="s">
        <v>3628</v>
      </c>
      <c r="E112" s="287" t="s">
        <v>3629</v>
      </c>
    </row>
    <row r="113" spans="1:9">
      <c r="A113" s="287" t="s">
        <v>3625</v>
      </c>
      <c r="B113" s="287" t="s">
        <v>3435</v>
      </c>
      <c r="C113" s="287" t="s">
        <v>3448</v>
      </c>
      <c r="D113" s="287" t="s">
        <v>3580</v>
      </c>
      <c r="E113" s="287" t="s">
        <v>3450</v>
      </c>
    </row>
    <row r="114" spans="1:9">
      <c r="A114" s="287" t="s">
        <v>3625</v>
      </c>
      <c r="B114" s="287" t="s">
        <v>3435</v>
      </c>
      <c r="C114" s="287" t="s">
        <v>3451</v>
      </c>
      <c r="D114" s="287" t="s">
        <v>3581</v>
      </c>
      <c r="E114" s="287" t="s">
        <v>3582</v>
      </c>
    </row>
    <row r="115" spans="1:9">
      <c r="A115" s="287" t="s">
        <v>3625</v>
      </c>
      <c r="B115" s="287" t="s">
        <v>3435</v>
      </c>
      <c r="C115" s="287" t="s">
        <v>3583</v>
      </c>
      <c r="D115" s="287" t="s">
        <v>3630</v>
      </c>
      <c r="E115" s="287" t="s">
        <v>3631</v>
      </c>
    </row>
    <row r="116" spans="1:9">
      <c r="A116" s="287" t="s">
        <v>3625</v>
      </c>
      <c r="B116" s="287" t="s">
        <v>3466</v>
      </c>
      <c r="C116" s="287" t="s">
        <v>3586</v>
      </c>
      <c r="D116" s="287" t="s">
        <v>3587</v>
      </c>
      <c r="E116" s="287" t="s">
        <v>3588</v>
      </c>
    </row>
    <row r="117" spans="1:9">
      <c r="A117" s="287" t="s">
        <v>3625</v>
      </c>
      <c r="B117" s="287" t="s">
        <v>3466</v>
      </c>
      <c r="C117" s="287" t="s">
        <v>3589</v>
      </c>
      <c r="D117" s="287" t="s">
        <v>3590</v>
      </c>
      <c r="E117" s="287" t="s">
        <v>3591</v>
      </c>
    </row>
    <row r="118" spans="1:9">
      <c r="A118" s="287" t="s">
        <v>3625</v>
      </c>
      <c r="B118" s="287" t="s">
        <v>3466</v>
      </c>
      <c r="C118" s="287" t="s">
        <v>3592</v>
      </c>
      <c r="D118" s="287" t="s">
        <v>3593</v>
      </c>
      <c r="E118" s="287" t="s">
        <v>3594</v>
      </c>
    </row>
    <row r="119" spans="1:9">
      <c r="A119" s="287" t="s">
        <v>3625</v>
      </c>
      <c r="B119" s="287" t="s">
        <v>3466</v>
      </c>
      <c r="C119" s="287" t="s">
        <v>3595</v>
      </c>
      <c r="D119" s="287" t="s">
        <v>3596</v>
      </c>
      <c r="E119" s="287" t="s">
        <v>3597</v>
      </c>
    </row>
    <row r="120" spans="1:9">
      <c r="A120" s="287" t="s">
        <v>3625</v>
      </c>
      <c r="B120" s="287" t="s">
        <v>3466</v>
      </c>
      <c r="C120" s="287" t="s">
        <v>3598</v>
      </c>
      <c r="D120" s="287" t="s">
        <v>3599</v>
      </c>
      <c r="E120" s="287" t="s">
        <v>3597</v>
      </c>
      <c r="I120" s="302"/>
    </row>
    <row r="121" spans="1:9">
      <c r="A121" s="287" t="s">
        <v>3625</v>
      </c>
      <c r="B121" s="287" t="s">
        <v>3466</v>
      </c>
      <c r="C121" s="287" t="s">
        <v>3600</v>
      </c>
      <c r="D121" s="287" t="s">
        <v>3601</v>
      </c>
      <c r="E121" s="287" t="s">
        <v>3602</v>
      </c>
    </row>
    <row r="122" spans="1:9">
      <c r="A122" s="287" t="s">
        <v>3625</v>
      </c>
      <c r="B122" s="287" t="s">
        <v>3466</v>
      </c>
      <c r="C122" s="287" t="s">
        <v>3603</v>
      </c>
      <c r="D122" s="287" t="s">
        <v>3604</v>
      </c>
      <c r="E122" s="287" t="s">
        <v>3605</v>
      </c>
    </row>
    <row r="123" spans="1:9">
      <c r="A123" s="287" t="s">
        <v>3625</v>
      </c>
      <c r="B123" s="287" t="s">
        <v>3466</v>
      </c>
      <c r="C123" s="287" t="s">
        <v>3606</v>
      </c>
      <c r="D123" s="287" t="s">
        <v>3607</v>
      </c>
      <c r="E123" s="287" t="s">
        <v>3608</v>
      </c>
    </row>
    <row r="124" spans="1:9">
      <c r="A124" s="287" t="s">
        <v>3625</v>
      </c>
      <c r="B124" s="287" t="s">
        <v>3490</v>
      </c>
      <c r="C124" s="287" t="s">
        <v>3565</v>
      </c>
      <c r="D124" s="287" t="s">
        <v>3609</v>
      </c>
      <c r="E124" s="287" t="s">
        <v>3610</v>
      </c>
    </row>
    <row r="125" spans="1:9">
      <c r="A125" s="287" t="s">
        <v>3625</v>
      </c>
      <c r="B125" s="287" t="s">
        <v>3490</v>
      </c>
      <c r="C125" s="287" t="s">
        <v>3562</v>
      </c>
      <c r="D125" s="287" t="s">
        <v>3611</v>
      </c>
      <c r="E125" s="287" t="s">
        <v>3612</v>
      </c>
    </row>
    <row r="126" spans="1:9">
      <c r="A126" s="287" t="s">
        <v>3625</v>
      </c>
      <c r="B126" s="287" t="s">
        <v>3490</v>
      </c>
      <c r="C126" s="287" t="s">
        <v>3613</v>
      </c>
      <c r="D126" s="287" t="s">
        <v>3614</v>
      </c>
      <c r="E126" s="287" t="s">
        <v>3615</v>
      </c>
    </row>
    <row r="127" spans="1:9">
      <c r="A127" s="287" t="s">
        <v>3625</v>
      </c>
      <c r="B127" s="287" t="s">
        <v>3490</v>
      </c>
      <c r="C127" s="287" t="s">
        <v>3616</v>
      </c>
      <c r="D127" s="287" t="s">
        <v>3617</v>
      </c>
      <c r="E127" s="287" t="s">
        <v>3618</v>
      </c>
    </row>
    <row r="128" spans="1:9">
      <c r="A128" s="287" t="s">
        <v>3625</v>
      </c>
      <c r="B128" s="287" t="s">
        <v>3490</v>
      </c>
      <c r="C128" s="287" t="s">
        <v>3619</v>
      </c>
      <c r="D128" s="287" t="s">
        <v>3620</v>
      </c>
      <c r="E128" s="287" t="s">
        <v>3621</v>
      </c>
    </row>
    <row r="129" spans="1:5">
      <c r="A129" s="287" t="s">
        <v>3625</v>
      </c>
      <c r="B129" s="287" t="s">
        <v>3490</v>
      </c>
      <c r="C129" s="287" t="s">
        <v>3622</v>
      </c>
      <c r="D129" s="287" t="s">
        <v>3623</v>
      </c>
      <c r="E129" s="287" t="s">
        <v>3624</v>
      </c>
    </row>
    <row r="130" spans="1:5">
      <c r="A130" s="287" t="s">
        <v>3625</v>
      </c>
      <c r="B130" s="287" t="s">
        <v>3509</v>
      </c>
      <c r="C130" s="287" t="s">
        <v>3510</v>
      </c>
      <c r="D130" s="287" t="s">
        <v>3511</v>
      </c>
      <c r="E130" s="287" t="s">
        <v>3512</v>
      </c>
    </row>
    <row r="131" spans="1:5">
      <c r="A131" s="287" t="s">
        <v>3625</v>
      </c>
      <c r="B131" s="287" t="s">
        <v>3509</v>
      </c>
      <c r="C131" s="287" t="s">
        <v>3513</v>
      </c>
      <c r="D131" s="287" t="s">
        <v>3514</v>
      </c>
      <c r="E131" s="287" t="s">
        <v>3515</v>
      </c>
    </row>
    <row r="132" spans="1:5">
      <c r="A132" s="287" t="s">
        <v>3625</v>
      </c>
      <c r="B132" s="287" t="s">
        <v>3509</v>
      </c>
      <c r="C132" s="287" t="s">
        <v>3516</v>
      </c>
      <c r="D132" s="287" t="s">
        <v>3517</v>
      </c>
      <c r="E132" s="287" t="s">
        <v>3518</v>
      </c>
    </row>
    <row r="133" spans="1:5">
      <c r="A133" s="287" t="s">
        <v>3625</v>
      </c>
      <c r="B133" s="287" t="s">
        <v>3509</v>
      </c>
      <c r="C133" s="287" t="s">
        <v>3519</v>
      </c>
      <c r="D133" s="287" t="s">
        <v>3520</v>
      </c>
      <c r="E133" s="287" t="s">
        <v>3521</v>
      </c>
    </row>
    <row r="134" spans="1:5">
      <c r="A134" s="300" t="s">
        <v>3632</v>
      </c>
      <c r="B134" s="301" t="s">
        <v>3435</v>
      </c>
      <c r="C134" s="334" t="s">
        <v>3436</v>
      </c>
      <c r="D134" s="301" t="s">
        <v>3527</v>
      </c>
      <c r="E134" s="334" t="s">
        <v>3633</v>
      </c>
    </row>
    <row r="135" spans="1:5">
      <c r="A135" s="300" t="s">
        <v>3632</v>
      </c>
      <c r="B135" s="301" t="s">
        <v>3435</v>
      </c>
      <c r="C135" s="334" t="s">
        <v>3436</v>
      </c>
      <c r="D135" s="301" t="s">
        <v>3437</v>
      </c>
      <c r="E135" s="334" t="s">
        <v>3634</v>
      </c>
    </row>
    <row r="136" spans="1:5">
      <c r="A136" s="300" t="s">
        <v>3632</v>
      </c>
      <c r="B136" s="301" t="s">
        <v>3435</v>
      </c>
      <c r="C136" s="287" t="s">
        <v>3439</v>
      </c>
      <c r="D136" s="301" t="s">
        <v>3635</v>
      </c>
    </row>
    <row r="137" spans="1:5">
      <c r="A137" s="300" t="s">
        <v>3632</v>
      </c>
      <c r="B137" s="301" t="s">
        <v>3435</v>
      </c>
      <c r="C137" s="301" t="s">
        <v>3636</v>
      </c>
      <c r="D137" s="301" t="s">
        <v>3637</v>
      </c>
    </row>
    <row r="138" spans="1:5">
      <c r="A138" s="300" t="s">
        <v>3632</v>
      </c>
      <c r="B138" s="301" t="s">
        <v>3435</v>
      </c>
      <c r="C138" s="301" t="s">
        <v>3448</v>
      </c>
      <c r="D138" s="301" t="s">
        <v>3449</v>
      </c>
    </row>
    <row r="139" spans="1:5">
      <c r="A139" s="300" t="s">
        <v>3632</v>
      </c>
      <c r="B139" s="301" t="s">
        <v>3435</v>
      </c>
      <c r="C139" s="287" t="s">
        <v>3451</v>
      </c>
      <c r="D139" s="287" t="s">
        <v>3452</v>
      </c>
    </row>
    <row r="140" spans="1:5">
      <c r="A140" s="300" t="s">
        <v>3632</v>
      </c>
      <c r="B140" s="300" t="s">
        <v>3466</v>
      </c>
      <c r="C140" s="287" t="s">
        <v>3454</v>
      </c>
      <c r="D140" s="287" t="s">
        <v>3638</v>
      </c>
    </row>
    <row r="141" spans="1:5">
      <c r="A141" s="300" t="s">
        <v>3632</v>
      </c>
      <c r="B141" s="300" t="s">
        <v>3466</v>
      </c>
      <c r="C141" s="287" t="s">
        <v>3457</v>
      </c>
      <c r="D141" s="287" t="s">
        <v>3639</v>
      </c>
    </row>
    <row r="142" spans="1:5">
      <c r="A142" s="300" t="s">
        <v>3632</v>
      </c>
      <c r="B142" s="300" t="s">
        <v>3466</v>
      </c>
      <c r="C142" s="287" t="s">
        <v>3460</v>
      </c>
      <c r="D142" s="287" t="s">
        <v>3640</v>
      </c>
    </row>
    <row r="143" spans="1:5">
      <c r="A143" s="300" t="s">
        <v>3632</v>
      </c>
      <c r="B143" s="300" t="s">
        <v>3466</v>
      </c>
      <c r="C143" s="287" t="s">
        <v>3463</v>
      </c>
      <c r="D143" s="287" t="s">
        <v>3641</v>
      </c>
    </row>
    <row r="144" spans="1:5">
      <c r="A144" s="300" t="s">
        <v>3632</v>
      </c>
      <c r="B144" s="300" t="s">
        <v>3466</v>
      </c>
      <c r="C144" s="287" t="s">
        <v>3467</v>
      </c>
      <c r="D144" s="287" t="s">
        <v>3642</v>
      </c>
    </row>
    <row r="145" spans="1:4">
      <c r="A145" s="300" t="s">
        <v>3632</v>
      </c>
      <c r="B145" s="300" t="s">
        <v>3466</v>
      </c>
      <c r="C145" s="287" t="s">
        <v>3470</v>
      </c>
      <c r="D145" s="287" t="s">
        <v>3643</v>
      </c>
    </row>
    <row r="146" spans="1:4">
      <c r="A146" s="300" t="s">
        <v>3632</v>
      </c>
      <c r="B146" s="300" t="s">
        <v>3466</v>
      </c>
      <c r="C146" s="287" t="s">
        <v>3644</v>
      </c>
      <c r="D146" s="287" t="s">
        <v>3645</v>
      </c>
    </row>
    <row r="147" spans="1:4">
      <c r="A147" s="300" t="s">
        <v>3632</v>
      </c>
      <c r="B147" s="300" t="s">
        <v>3466</v>
      </c>
      <c r="C147" s="287" t="s">
        <v>3482</v>
      </c>
      <c r="D147" s="287" t="s">
        <v>3646</v>
      </c>
    </row>
    <row r="148" spans="1:4">
      <c r="A148" s="300" t="s">
        <v>3632</v>
      </c>
      <c r="B148" s="300" t="s">
        <v>3466</v>
      </c>
      <c r="C148" s="287" t="s">
        <v>3485</v>
      </c>
      <c r="D148" s="287" t="s">
        <v>3647</v>
      </c>
    </row>
    <row r="149" spans="1:4">
      <c r="A149" s="300" t="s">
        <v>3632</v>
      </c>
      <c r="B149" s="300" t="s">
        <v>3466</v>
      </c>
      <c r="C149" s="287" t="s">
        <v>3487</v>
      </c>
      <c r="D149" s="287" t="s">
        <v>3648</v>
      </c>
    </row>
    <row r="150" spans="1:4">
      <c r="A150" s="300" t="s">
        <v>3632</v>
      </c>
      <c r="B150" s="300" t="s">
        <v>3490</v>
      </c>
      <c r="C150" s="287" t="s">
        <v>3491</v>
      </c>
      <c r="D150" s="287" t="s">
        <v>3649</v>
      </c>
    </row>
    <row r="151" spans="1:4">
      <c r="A151" s="300" t="s">
        <v>3632</v>
      </c>
      <c r="B151" s="300" t="s">
        <v>3490</v>
      </c>
      <c r="C151" s="287" t="s">
        <v>3613</v>
      </c>
      <c r="D151" s="287" t="s">
        <v>3650</v>
      </c>
    </row>
    <row r="152" spans="1:4">
      <c r="A152" s="300" t="s">
        <v>3632</v>
      </c>
      <c r="B152" s="300" t="s">
        <v>3490</v>
      </c>
      <c r="C152" s="287" t="s">
        <v>3622</v>
      </c>
      <c r="D152" s="287" t="s">
        <v>3651</v>
      </c>
    </row>
    <row r="153" spans="1:4">
      <c r="A153" s="300" t="s">
        <v>3632</v>
      </c>
      <c r="B153" s="300" t="s">
        <v>3490</v>
      </c>
      <c r="C153" s="287" t="s">
        <v>3619</v>
      </c>
      <c r="D153" s="287" t="s">
        <v>3652</v>
      </c>
    </row>
    <row r="154" spans="1:4">
      <c r="A154" s="300" t="s">
        <v>3632</v>
      </c>
      <c r="B154" s="300" t="s">
        <v>3509</v>
      </c>
      <c r="C154" s="287" t="s">
        <v>3510</v>
      </c>
      <c r="D154" s="287" t="s">
        <v>3511</v>
      </c>
    </row>
    <row r="155" spans="1:4">
      <c r="A155" s="300" t="s">
        <v>3632</v>
      </c>
      <c r="B155" s="300" t="s">
        <v>3509</v>
      </c>
      <c r="C155" s="287" t="s">
        <v>3513</v>
      </c>
      <c r="D155" s="287" t="s">
        <v>3514</v>
      </c>
    </row>
    <row r="156" spans="1:4">
      <c r="A156" s="300" t="s">
        <v>3632</v>
      </c>
      <c r="B156" s="300" t="s">
        <v>3509</v>
      </c>
      <c r="C156" s="287" t="s">
        <v>3516</v>
      </c>
      <c r="D156" s="287" t="s">
        <v>3517</v>
      </c>
    </row>
    <row r="157" spans="1:4">
      <c r="A157" s="300" t="s">
        <v>3632</v>
      </c>
      <c r="B157" s="300" t="s">
        <v>3509</v>
      </c>
      <c r="C157" s="287" t="s">
        <v>3519</v>
      </c>
      <c r="D157" s="287" t="s">
        <v>3520</v>
      </c>
    </row>
    <row r="158" spans="1:4">
      <c r="A158" s="300" t="s">
        <v>3632</v>
      </c>
      <c r="B158" s="300" t="s">
        <v>3509</v>
      </c>
      <c r="C158" s="287" t="s">
        <v>3653</v>
      </c>
      <c r="D158" s="287" t="s">
        <v>3654</v>
      </c>
    </row>
    <row r="159" spans="1:4">
      <c r="A159" s="300" t="s">
        <v>3632</v>
      </c>
      <c r="B159" s="300" t="s">
        <v>3522</v>
      </c>
      <c r="C159" s="287" t="s">
        <v>3523</v>
      </c>
      <c r="D159" s="287" t="s">
        <v>3524</v>
      </c>
    </row>
  </sheetData>
  <phoneticPr fontId="43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2" width="10.59765625" style="154" customWidth="1"/>
    <col min="333" max="16384" width="10.59765625" style="154"/>
  </cols>
  <sheetData>
    <row r="1" spans="1:14" ht="25.05" customHeight="1">
      <c r="A1" s="153" t="s">
        <v>3655</v>
      </c>
      <c r="B1" s="153" t="s">
        <v>3656</v>
      </c>
      <c r="C1" s="153" t="s">
        <v>27</v>
      </c>
      <c r="D1" s="153"/>
      <c r="E1" s="153" t="s">
        <v>114</v>
      </c>
      <c r="F1" s="153" t="s">
        <v>3657</v>
      </c>
      <c r="G1" s="153" t="s">
        <v>3658</v>
      </c>
      <c r="H1" s="153" t="s">
        <v>3659</v>
      </c>
      <c r="I1" s="153" t="s">
        <v>3660</v>
      </c>
      <c r="J1" s="153" t="s">
        <v>2643</v>
      </c>
      <c r="K1" s="153" t="s">
        <v>3661</v>
      </c>
      <c r="L1" s="153" t="s">
        <v>144</v>
      </c>
      <c r="M1" s="153" t="s">
        <v>3662</v>
      </c>
    </row>
    <row r="2" spans="1:14" ht="22.95" customHeight="1">
      <c r="A2" s="155" t="s">
        <v>3663</v>
      </c>
      <c r="B2" s="155">
        <v>4259</v>
      </c>
      <c r="C2" s="156" t="s">
        <v>2692</v>
      </c>
      <c r="D2" s="156" t="str">
        <f t="shared" ref="D2:D65" si="0">C2&amp;E2</f>
        <v>八里水灣店1</v>
      </c>
      <c r="E2" s="155">
        <v>1</v>
      </c>
      <c r="F2" s="155" t="s">
        <v>3664</v>
      </c>
      <c r="G2" s="156" t="s">
        <v>3665</v>
      </c>
      <c r="H2" s="155" t="s">
        <v>3666</v>
      </c>
      <c r="I2" s="157" t="s">
        <v>3667</v>
      </c>
      <c r="J2" s="158" t="s">
        <v>5</v>
      </c>
      <c r="K2" s="159" t="s">
        <v>3668</v>
      </c>
      <c r="L2" s="155"/>
      <c r="M2" s="158"/>
      <c r="N2" s="210" t="s">
        <v>3669</v>
      </c>
    </row>
    <row r="3" spans="1:14" ht="22.95" customHeight="1">
      <c r="A3" s="155" t="s">
        <v>3670</v>
      </c>
      <c r="B3" s="155">
        <v>4259</v>
      </c>
      <c r="C3" s="156" t="s">
        <v>2692</v>
      </c>
      <c r="D3" s="156" t="str">
        <f t="shared" si="0"/>
        <v>八里水灣店2</v>
      </c>
      <c r="E3" s="155">
        <v>2</v>
      </c>
      <c r="F3" s="155" t="s">
        <v>3671</v>
      </c>
      <c r="G3" s="156" t="s">
        <v>3672</v>
      </c>
      <c r="H3" s="155" t="s">
        <v>3673</v>
      </c>
      <c r="I3" s="157" t="s">
        <v>3674</v>
      </c>
      <c r="J3" s="158" t="s">
        <v>5</v>
      </c>
      <c r="K3" s="159" t="s">
        <v>3668</v>
      </c>
      <c r="L3" s="155"/>
      <c r="M3" s="158"/>
      <c r="N3" s="210" t="s">
        <v>3669</v>
      </c>
    </row>
    <row r="4" spans="1:14" ht="22.95" customHeight="1">
      <c r="A4" s="155" t="s">
        <v>3675</v>
      </c>
      <c r="B4" s="155">
        <v>2306</v>
      </c>
      <c r="C4" s="156" t="s">
        <v>2680</v>
      </c>
      <c r="D4" s="156" t="str">
        <f t="shared" si="0"/>
        <v>八里凱旋門1</v>
      </c>
      <c r="E4" s="155">
        <v>1</v>
      </c>
      <c r="F4" s="155" t="s">
        <v>3676</v>
      </c>
      <c r="G4" s="156" t="s">
        <v>3677</v>
      </c>
      <c r="H4" s="155" t="s">
        <v>3666</v>
      </c>
      <c r="I4" s="157" t="s">
        <v>3674</v>
      </c>
      <c r="J4" s="158" t="s">
        <v>5</v>
      </c>
      <c r="K4" s="159" t="s">
        <v>3668</v>
      </c>
      <c r="L4" s="155"/>
      <c r="M4" s="158"/>
      <c r="N4" s="210" t="s">
        <v>3669</v>
      </c>
    </row>
    <row r="5" spans="1:14" ht="22.95" customHeight="1">
      <c r="A5" s="155" t="s">
        <v>3678</v>
      </c>
      <c r="B5" s="155">
        <v>2306</v>
      </c>
      <c r="C5" s="156" t="s">
        <v>2680</v>
      </c>
      <c r="D5" s="156" t="str">
        <f t="shared" si="0"/>
        <v>八里凱旋門2</v>
      </c>
      <c r="E5" s="155">
        <v>2</v>
      </c>
      <c r="F5" s="155" t="s">
        <v>3679</v>
      </c>
      <c r="G5" s="156" t="s">
        <v>3680</v>
      </c>
      <c r="H5" s="155" t="s">
        <v>3666</v>
      </c>
      <c r="I5" s="157" t="s">
        <v>3674</v>
      </c>
      <c r="J5" s="158" t="s">
        <v>5</v>
      </c>
      <c r="K5" s="159" t="s">
        <v>3668</v>
      </c>
      <c r="L5" s="155"/>
      <c r="M5" s="158"/>
      <c r="N5" s="210" t="s">
        <v>3669</v>
      </c>
    </row>
    <row r="6" spans="1:14" ht="22.95" customHeight="1">
      <c r="A6" s="155" t="s">
        <v>3681</v>
      </c>
      <c r="B6" s="155">
        <v>4243</v>
      </c>
      <c r="C6" s="156" t="s">
        <v>2711</v>
      </c>
      <c r="D6" s="156" t="str">
        <f t="shared" si="0"/>
        <v>八里聖心店1</v>
      </c>
      <c r="E6" s="155">
        <v>1</v>
      </c>
      <c r="F6" s="155" t="s">
        <v>3682</v>
      </c>
      <c r="G6" s="156" t="s">
        <v>3683</v>
      </c>
      <c r="H6" s="155" t="s">
        <v>3666</v>
      </c>
      <c r="I6" s="157" t="s">
        <v>3674</v>
      </c>
      <c r="J6" s="158" t="s">
        <v>5</v>
      </c>
      <c r="K6" s="159" t="s">
        <v>3668</v>
      </c>
      <c r="L6" s="155"/>
      <c r="M6" s="158"/>
      <c r="N6" s="210" t="s">
        <v>3669</v>
      </c>
    </row>
    <row r="7" spans="1:14" ht="22.95" customHeight="1">
      <c r="A7" s="155" t="s">
        <v>3684</v>
      </c>
      <c r="B7" s="155">
        <v>4243</v>
      </c>
      <c r="C7" s="156" t="s">
        <v>2711</v>
      </c>
      <c r="D7" s="156" t="str">
        <f t="shared" si="0"/>
        <v>八里聖心店2</v>
      </c>
      <c r="E7" s="155">
        <v>2</v>
      </c>
      <c r="F7" s="155" t="s">
        <v>3685</v>
      </c>
      <c r="G7" s="156" t="s">
        <v>3686</v>
      </c>
      <c r="H7" s="155" t="s">
        <v>3666</v>
      </c>
      <c r="I7" s="157" t="s">
        <v>3674</v>
      </c>
      <c r="J7" s="158" t="s">
        <v>5</v>
      </c>
      <c r="K7" s="159" t="s">
        <v>3668</v>
      </c>
      <c r="L7" s="155"/>
      <c r="M7" s="158"/>
      <c r="N7" s="210" t="s">
        <v>3669</v>
      </c>
    </row>
    <row r="8" spans="1:14" ht="22.95" customHeight="1">
      <c r="A8" s="155" t="s">
        <v>3687</v>
      </c>
      <c r="B8" s="155">
        <v>3458</v>
      </c>
      <c r="C8" s="156" t="s">
        <v>2705</v>
      </c>
      <c r="D8" s="156" t="str">
        <f t="shared" si="0"/>
        <v>八里龍米店2</v>
      </c>
      <c r="E8" s="155">
        <v>2</v>
      </c>
      <c r="F8" s="155" t="s">
        <v>3688</v>
      </c>
      <c r="G8" s="156" t="s">
        <v>3689</v>
      </c>
      <c r="H8" s="155" t="s">
        <v>3673</v>
      </c>
      <c r="I8" s="157" t="s">
        <v>3674</v>
      </c>
      <c r="J8" s="158" t="s">
        <v>5</v>
      </c>
      <c r="K8" s="159" t="s">
        <v>3668</v>
      </c>
      <c r="L8" s="155"/>
      <c r="M8" s="158"/>
      <c r="N8" s="210" t="s">
        <v>3669</v>
      </c>
    </row>
    <row r="9" spans="1:14" ht="22.95" customHeight="1">
      <c r="A9" s="155" t="s">
        <v>3690</v>
      </c>
      <c r="B9" s="155">
        <v>2442</v>
      </c>
      <c r="C9" s="156" t="s">
        <v>2688</v>
      </c>
      <c r="D9" s="156" t="str">
        <f t="shared" si="0"/>
        <v>北縣商港店1</v>
      </c>
      <c r="E9" s="155">
        <v>1</v>
      </c>
      <c r="F9" s="155" t="s">
        <v>3691</v>
      </c>
      <c r="G9" s="156" t="s">
        <v>3692</v>
      </c>
      <c r="H9" s="155" t="s">
        <v>3666</v>
      </c>
      <c r="I9" s="157" t="s">
        <v>3674</v>
      </c>
      <c r="J9" s="158" t="s">
        <v>5</v>
      </c>
      <c r="K9" s="159" t="s">
        <v>3668</v>
      </c>
      <c r="L9" s="155"/>
      <c r="M9" s="158"/>
      <c r="N9" s="210" t="s">
        <v>3669</v>
      </c>
    </row>
    <row r="10" spans="1:14" ht="22.95" customHeight="1">
      <c r="A10" s="155" t="s">
        <v>3693</v>
      </c>
      <c r="B10" s="155">
        <v>2442</v>
      </c>
      <c r="C10" s="156" t="s">
        <v>2688</v>
      </c>
      <c r="D10" s="156" t="str">
        <f t="shared" si="0"/>
        <v>北縣商港店2</v>
      </c>
      <c r="E10" s="155">
        <v>2</v>
      </c>
      <c r="F10" s="155" t="s">
        <v>3694</v>
      </c>
      <c r="G10" s="156" t="s">
        <v>3695</v>
      </c>
      <c r="H10" s="155" t="s">
        <v>3666</v>
      </c>
      <c r="I10" s="157" t="s">
        <v>3674</v>
      </c>
      <c r="J10" s="158" t="s">
        <v>5</v>
      </c>
      <c r="K10" s="159" t="s">
        <v>3668</v>
      </c>
      <c r="L10" s="155"/>
      <c r="M10" s="158"/>
      <c r="N10" s="210" t="s">
        <v>3669</v>
      </c>
    </row>
    <row r="11" spans="1:14" ht="22.95" customHeight="1">
      <c r="A11" s="155" t="s">
        <v>3696</v>
      </c>
      <c r="B11" s="155">
        <v>2237</v>
      </c>
      <c r="C11" s="156" t="s">
        <v>3697</v>
      </c>
      <c r="D11" s="156" t="str">
        <f t="shared" si="0"/>
        <v>北縣芝蘭店1</v>
      </c>
      <c r="E11" s="155">
        <v>1</v>
      </c>
      <c r="F11" s="155" t="s">
        <v>3698</v>
      </c>
      <c r="G11" s="156" t="s">
        <v>3699</v>
      </c>
      <c r="H11" s="155" t="s">
        <v>3666</v>
      </c>
      <c r="I11" s="157" t="s">
        <v>3674</v>
      </c>
      <c r="J11" s="158" t="s">
        <v>2</v>
      </c>
      <c r="K11" s="159" t="s">
        <v>3668</v>
      </c>
      <c r="L11" s="155"/>
      <c r="M11" s="158"/>
      <c r="N11" s="210" t="s">
        <v>3669</v>
      </c>
    </row>
    <row r="12" spans="1:14" ht="22.95" customHeight="1">
      <c r="A12" s="155" t="s">
        <v>3700</v>
      </c>
      <c r="B12" s="155">
        <v>2237</v>
      </c>
      <c r="C12" s="156" t="s">
        <v>3697</v>
      </c>
      <c r="D12" s="156" t="str">
        <f t="shared" si="0"/>
        <v>北縣芝蘭店2</v>
      </c>
      <c r="E12" s="155">
        <v>2</v>
      </c>
      <c r="F12" s="155" t="s">
        <v>3701</v>
      </c>
      <c r="G12" s="156" t="s">
        <v>3702</v>
      </c>
      <c r="H12" s="155" t="s">
        <v>3666</v>
      </c>
      <c r="I12" s="157" t="s">
        <v>3674</v>
      </c>
      <c r="J12" s="158" t="s">
        <v>2</v>
      </c>
      <c r="K12" s="159" t="s">
        <v>3668</v>
      </c>
      <c r="L12" s="155"/>
      <c r="M12" s="158"/>
      <c r="N12" s="210" t="s">
        <v>3669</v>
      </c>
    </row>
    <row r="13" spans="1:14" ht="22.95" customHeight="1">
      <c r="A13" s="155" t="s">
        <v>3703</v>
      </c>
      <c r="B13" s="155">
        <v>3359</v>
      </c>
      <c r="C13" s="156" t="s">
        <v>3188</v>
      </c>
      <c r="D13" s="156" t="str">
        <f t="shared" si="0"/>
        <v>三重金陵店1</v>
      </c>
      <c r="E13" s="155">
        <v>1</v>
      </c>
      <c r="F13" s="155" t="s">
        <v>3704</v>
      </c>
      <c r="G13" s="156" t="s">
        <v>3705</v>
      </c>
      <c r="H13" s="155" t="s">
        <v>3673</v>
      </c>
      <c r="I13" s="157" t="s">
        <v>3706</v>
      </c>
      <c r="J13" s="158" t="s">
        <v>7</v>
      </c>
      <c r="K13" s="159" t="s">
        <v>3668</v>
      </c>
      <c r="L13" s="155" t="s">
        <v>57</v>
      </c>
      <c r="M13" s="158"/>
      <c r="N13" s="210" t="s">
        <v>3669</v>
      </c>
    </row>
    <row r="14" spans="1:14" ht="22.95" customHeight="1">
      <c r="A14" s="155" t="s">
        <v>3707</v>
      </c>
      <c r="B14" s="155">
        <v>3359</v>
      </c>
      <c r="C14" s="156" t="s">
        <v>3188</v>
      </c>
      <c r="D14" s="156" t="str">
        <f t="shared" si="0"/>
        <v>三重金陵店2</v>
      </c>
      <c r="E14" s="155">
        <v>2</v>
      </c>
      <c r="F14" s="155" t="s">
        <v>3708</v>
      </c>
      <c r="G14" s="156" t="s">
        <v>3709</v>
      </c>
      <c r="H14" s="155" t="s">
        <v>3673</v>
      </c>
      <c r="I14" s="157" t="s">
        <v>3706</v>
      </c>
      <c r="J14" s="158" t="s">
        <v>7</v>
      </c>
      <c r="K14" s="159" t="s">
        <v>3668</v>
      </c>
      <c r="L14" s="155" t="s">
        <v>57</v>
      </c>
      <c r="M14" s="158"/>
      <c r="N14" s="210" t="s">
        <v>3669</v>
      </c>
    </row>
    <row r="15" spans="1:14" ht="22.95" customHeight="1">
      <c r="A15" s="155" t="s">
        <v>3710</v>
      </c>
      <c r="B15" s="155" t="s">
        <v>48</v>
      </c>
      <c r="C15" s="156" t="s">
        <v>831</v>
      </c>
      <c r="D15" s="156" t="str">
        <f t="shared" si="0"/>
        <v>三重三民店1</v>
      </c>
      <c r="E15" s="155">
        <v>1</v>
      </c>
      <c r="F15" s="155" t="s">
        <v>3711</v>
      </c>
      <c r="G15" s="156" t="s">
        <v>3712</v>
      </c>
      <c r="H15" s="155" t="s">
        <v>3666</v>
      </c>
      <c r="I15" s="157" t="s">
        <v>3674</v>
      </c>
      <c r="J15" s="158" t="s">
        <v>7</v>
      </c>
      <c r="K15" s="159" t="s">
        <v>3668</v>
      </c>
      <c r="L15" s="155"/>
      <c r="M15" s="158"/>
      <c r="N15" s="210" t="s">
        <v>3669</v>
      </c>
    </row>
    <row r="16" spans="1:14" ht="22.95" customHeight="1">
      <c r="A16" s="155" t="s">
        <v>3713</v>
      </c>
      <c r="B16" s="155" t="s">
        <v>48</v>
      </c>
      <c r="C16" s="156" t="s">
        <v>831</v>
      </c>
      <c r="D16" s="156" t="str">
        <f t="shared" si="0"/>
        <v>三重三民店2</v>
      </c>
      <c r="E16" s="155">
        <v>2</v>
      </c>
      <c r="F16" s="155" t="s">
        <v>3714</v>
      </c>
      <c r="G16" s="156" t="s">
        <v>3715</v>
      </c>
      <c r="H16" s="155" t="s">
        <v>3716</v>
      </c>
      <c r="I16" s="157" t="s">
        <v>3667</v>
      </c>
      <c r="J16" s="158" t="s">
        <v>7</v>
      </c>
      <c r="K16" s="159" t="s">
        <v>3668</v>
      </c>
      <c r="L16" s="155"/>
      <c r="M16" s="158"/>
      <c r="N16" s="210" t="s">
        <v>3669</v>
      </c>
    </row>
    <row r="17" spans="1:14" ht="22.95" customHeight="1">
      <c r="A17" s="155" t="s">
        <v>3717</v>
      </c>
      <c r="B17" s="155">
        <v>2303</v>
      </c>
      <c r="C17" s="156" t="s">
        <v>3236</v>
      </c>
      <c r="D17" s="156" t="str">
        <f t="shared" si="0"/>
        <v>三重三和夜市1</v>
      </c>
      <c r="E17" s="155">
        <v>1</v>
      </c>
      <c r="F17" s="155" t="s">
        <v>3718</v>
      </c>
      <c r="G17" s="156" t="s">
        <v>3719</v>
      </c>
      <c r="H17" s="155" t="s">
        <v>3666</v>
      </c>
      <c r="I17" s="157" t="s">
        <v>3706</v>
      </c>
      <c r="J17" s="158" t="s">
        <v>7</v>
      </c>
      <c r="K17" s="159" t="s">
        <v>3668</v>
      </c>
      <c r="L17" s="155"/>
      <c r="M17" s="158"/>
      <c r="N17" s="210" t="s">
        <v>3669</v>
      </c>
    </row>
    <row r="18" spans="1:14" ht="22.95" customHeight="1">
      <c r="A18" s="155" t="s">
        <v>3720</v>
      </c>
      <c r="B18" s="155">
        <v>2303</v>
      </c>
      <c r="C18" s="156" t="s">
        <v>3236</v>
      </c>
      <c r="D18" s="156" t="str">
        <f t="shared" si="0"/>
        <v>三重三和夜市2</v>
      </c>
      <c r="E18" s="155">
        <v>2</v>
      </c>
      <c r="F18" s="155" t="s">
        <v>3721</v>
      </c>
      <c r="G18" s="156" t="s">
        <v>3722</v>
      </c>
      <c r="H18" s="155" t="s">
        <v>3666</v>
      </c>
      <c r="I18" s="157" t="s">
        <v>3706</v>
      </c>
      <c r="J18" s="158" t="s">
        <v>7</v>
      </c>
      <c r="K18" s="159" t="s">
        <v>3668</v>
      </c>
      <c r="L18" s="155"/>
      <c r="M18" s="158"/>
      <c r="N18" s="210" t="s">
        <v>3669</v>
      </c>
    </row>
    <row r="19" spans="1:14" ht="22.95" customHeight="1">
      <c r="A19" s="155" t="s">
        <v>3723</v>
      </c>
      <c r="B19" s="155">
        <v>2543</v>
      </c>
      <c r="C19" s="156" t="s">
        <v>3267</v>
      </c>
      <c r="D19" s="156" t="str">
        <f t="shared" si="0"/>
        <v>三重大仁店1</v>
      </c>
      <c r="E19" s="155">
        <v>1</v>
      </c>
      <c r="F19" s="155" t="s">
        <v>3724</v>
      </c>
      <c r="G19" s="156" t="s">
        <v>3725</v>
      </c>
      <c r="H19" s="155" t="s">
        <v>3666</v>
      </c>
      <c r="I19" s="157" t="s">
        <v>3674</v>
      </c>
      <c r="J19" s="158" t="s">
        <v>7</v>
      </c>
      <c r="K19" s="159" t="s">
        <v>3668</v>
      </c>
      <c r="L19" s="155"/>
      <c r="M19" s="158"/>
      <c r="N19" s="210" t="s">
        <v>3669</v>
      </c>
    </row>
    <row r="20" spans="1:14" ht="22.95" customHeight="1">
      <c r="A20" s="155" t="s">
        <v>3726</v>
      </c>
      <c r="B20" s="155">
        <v>2543</v>
      </c>
      <c r="C20" s="156" t="s">
        <v>3267</v>
      </c>
      <c r="D20" s="156" t="str">
        <f t="shared" si="0"/>
        <v>三重大仁店2</v>
      </c>
      <c r="E20" s="155">
        <v>2</v>
      </c>
      <c r="F20" s="155" t="s">
        <v>3727</v>
      </c>
      <c r="G20" s="156" t="s">
        <v>3728</v>
      </c>
      <c r="H20" s="155" t="s">
        <v>3666</v>
      </c>
      <c r="I20" s="157" t="s">
        <v>3674</v>
      </c>
      <c r="J20" s="158" t="s">
        <v>7</v>
      </c>
      <c r="K20" s="159" t="s">
        <v>3668</v>
      </c>
      <c r="L20" s="155"/>
      <c r="M20" s="158"/>
      <c r="N20" s="210" t="s">
        <v>3669</v>
      </c>
    </row>
    <row r="21" spans="1:14" ht="22.95" customHeight="1">
      <c r="A21" s="155" t="s">
        <v>3729</v>
      </c>
      <c r="B21" s="155">
        <v>4134</v>
      </c>
      <c r="C21" s="156" t="s">
        <v>661</v>
      </c>
      <c r="D21" s="156" t="str">
        <f t="shared" si="0"/>
        <v>三重大同南1</v>
      </c>
      <c r="E21" s="155">
        <v>1</v>
      </c>
      <c r="F21" s="155" t="s">
        <v>3730</v>
      </c>
      <c r="G21" s="156" t="s">
        <v>3731</v>
      </c>
      <c r="H21" s="155" t="s">
        <v>3673</v>
      </c>
      <c r="I21" s="157" t="s">
        <v>3674</v>
      </c>
      <c r="J21" s="158" t="s">
        <v>7</v>
      </c>
      <c r="K21" s="159" t="s">
        <v>3668</v>
      </c>
      <c r="L21" s="155"/>
      <c r="M21" s="158"/>
      <c r="N21" s="210" t="s">
        <v>3669</v>
      </c>
    </row>
    <row r="22" spans="1:14" ht="22.95" customHeight="1">
      <c r="A22" s="155" t="s">
        <v>3732</v>
      </c>
      <c r="B22" s="155">
        <v>4134</v>
      </c>
      <c r="C22" s="156" t="s">
        <v>661</v>
      </c>
      <c r="D22" s="156" t="str">
        <f t="shared" si="0"/>
        <v>三重大同南2</v>
      </c>
      <c r="E22" s="155">
        <v>2</v>
      </c>
      <c r="F22" s="155" t="s">
        <v>3733</v>
      </c>
      <c r="G22" s="156" t="s">
        <v>3734</v>
      </c>
      <c r="H22" s="155" t="s">
        <v>3673</v>
      </c>
      <c r="I22" s="157" t="s">
        <v>3674</v>
      </c>
      <c r="J22" s="158" t="s">
        <v>7</v>
      </c>
      <c r="K22" s="159" t="s">
        <v>3668</v>
      </c>
      <c r="L22" s="155"/>
      <c r="M22" s="158"/>
      <c r="N22" s="210" t="s">
        <v>3669</v>
      </c>
    </row>
    <row r="23" spans="1:14" ht="22.95" customHeight="1">
      <c r="A23" s="155" t="s">
        <v>3735</v>
      </c>
      <c r="B23" s="155" t="s">
        <v>47</v>
      </c>
      <c r="C23" s="156" t="s">
        <v>365</v>
      </c>
      <c r="D23" s="156" t="str">
        <f t="shared" si="0"/>
        <v>三重大有店1</v>
      </c>
      <c r="E23" s="155">
        <v>1</v>
      </c>
      <c r="F23" s="155" t="s">
        <v>3736</v>
      </c>
      <c r="G23" s="156" t="s">
        <v>3737</v>
      </c>
      <c r="H23" s="155" t="s">
        <v>3673</v>
      </c>
      <c r="I23" s="157" t="s">
        <v>3674</v>
      </c>
      <c r="J23" s="158" t="s">
        <v>7</v>
      </c>
      <c r="K23" s="159" t="s">
        <v>3668</v>
      </c>
      <c r="L23" s="155"/>
      <c r="M23" s="158"/>
      <c r="N23" s="210" t="s">
        <v>3669</v>
      </c>
    </row>
    <row r="24" spans="1:14" ht="22.95" customHeight="1">
      <c r="A24" s="155" t="s">
        <v>3738</v>
      </c>
      <c r="B24" s="155" t="s">
        <v>47</v>
      </c>
      <c r="C24" s="156" t="s">
        <v>365</v>
      </c>
      <c r="D24" s="156" t="str">
        <f t="shared" si="0"/>
        <v>三重大有店2</v>
      </c>
      <c r="E24" s="155">
        <v>2</v>
      </c>
      <c r="F24" s="155" t="s">
        <v>3739</v>
      </c>
      <c r="G24" s="156" t="s">
        <v>3740</v>
      </c>
      <c r="H24" s="155" t="s">
        <v>3673</v>
      </c>
      <c r="I24" s="157" t="s">
        <v>3667</v>
      </c>
      <c r="J24" s="158" t="s">
        <v>7</v>
      </c>
      <c r="K24" s="159" t="s">
        <v>3668</v>
      </c>
      <c r="L24" s="155"/>
      <c r="M24" s="158"/>
      <c r="N24" s="210" t="s">
        <v>3669</v>
      </c>
    </row>
    <row r="25" spans="1:14" ht="22.95" customHeight="1">
      <c r="A25" s="155" t="s">
        <v>3741</v>
      </c>
      <c r="B25" s="155">
        <v>4560</v>
      </c>
      <c r="C25" s="156" t="s">
        <v>3321</v>
      </c>
      <c r="D25" s="156" t="str">
        <f t="shared" si="0"/>
        <v>三重大院店1</v>
      </c>
      <c r="E25" s="155">
        <v>1</v>
      </c>
      <c r="F25" s="155" t="s">
        <v>3742</v>
      </c>
      <c r="G25" s="156" t="s">
        <v>3743</v>
      </c>
      <c r="H25" s="155" t="s">
        <v>3673</v>
      </c>
      <c r="I25" s="157" t="s">
        <v>3667</v>
      </c>
      <c r="J25" s="158" t="s">
        <v>7</v>
      </c>
      <c r="K25" s="159" t="s">
        <v>3668</v>
      </c>
      <c r="L25" s="155"/>
      <c r="M25" s="158"/>
      <c r="N25" s="210" t="s">
        <v>3669</v>
      </c>
    </row>
    <row r="26" spans="1:14" ht="22.95" customHeight="1">
      <c r="A26" s="155" t="s">
        <v>3744</v>
      </c>
      <c r="B26" s="155">
        <v>4560</v>
      </c>
      <c r="C26" s="156" t="s">
        <v>3321</v>
      </c>
      <c r="D26" s="156" t="str">
        <f t="shared" si="0"/>
        <v>三重大院店2</v>
      </c>
      <c r="E26" s="155">
        <v>2</v>
      </c>
      <c r="F26" s="155" t="s">
        <v>3745</v>
      </c>
      <c r="G26" s="156" t="s">
        <v>3746</v>
      </c>
      <c r="H26" s="155" t="s">
        <v>3673</v>
      </c>
      <c r="I26" s="157" t="s">
        <v>3674</v>
      </c>
      <c r="J26" s="158" t="s">
        <v>7</v>
      </c>
      <c r="K26" s="159" t="s">
        <v>3668</v>
      </c>
      <c r="L26" s="155"/>
      <c r="M26" s="158"/>
      <c r="N26" s="210" t="s">
        <v>3669</v>
      </c>
    </row>
    <row r="27" spans="1:14" ht="22.95" customHeight="1">
      <c r="A27" s="155" t="s">
        <v>3747</v>
      </c>
      <c r="B27" s="155">
        <v>2619</v>
      </c>
      <c r="C27" s="156" t="s">
        <v>244</v>
      </c>
      <c r="D27" s="156" t="str">
        <f t="shared" si="0"/>
        <v>三重大榮店1</v>
      </c>
      <c r="E27" s="155">
        <v>1</v>
      </c>
      <c r="F27" s="155" t="s">
        <v>3748</v>
      </c>
      <c r="G27" s="156" t="s">
        <v>3749</v>
      </c>
      <c r="H27" s="155" t="s">
        <v>3666</v>
      </c>
      <c r="I27" s="157" t="s">
        <v>3674</v>
      </c>
      <c r="J27" s="158" t="s">
        <v>7</v>
      </c>
      <c r="K27" s="159" t="s">
        <v>3668</v>
      </c>
      <c r="L27" s="155"/>
      <c r="M27" s="158"/>
      <c r="N27" s="210" t="s">
        <v>3669</v>
      </c>
    </row>
    <row r="28" spans="1:14" ht="22.95" customHeight="1">
      <c r="A28" s="155" t="s">
        <v>3750</v>
      </c>
      <c r="B28" s="155">
        <v>2619</v>
      </c>
      <c r="C28" s="156" t="s">
        <v>244</v>
      </c>
      <c r="D28" s="156" t="str">
        <f t="shared" si="0"/>
        <v>三重大榮店2</v>
      </c>
      <c r="E28" s="155">
        <v>2</v>
      </c>
      <c r="F28" s="155" t="s">
        <v>3751</v>
      </c>
      <c r="G28" s="156" t="s">
        <v>3752</v>
      </c>
      <c r="H28" s="155" t="s">
        <v>3673</v>
      </c>
      <c r="I28" s="157" t="s">
        <v>3674</v>
      </c>
      <c r="J28" s="158" t="s">
        <v>7</v>
      </c>
      <c r="K28" s="159" t="s">
        <v>3668</v>
      </c>
      <c r="L28" s="155"/>
      <c r="M28" s="158"/>
      <c r="N28" s="210" t="s">
        <v>3669</v>
      </c>
    </row>
    <row r="29" spans="1:14" ht="22.95" customHeight="1">
      <c r="A29" s="155" t="s">
        <v>3753</v>
      </c>
      <c r="B29" s="155">
        <v>2042</v>
      </c>
      <c r="C29" s="156" t="s">
        <v>3308</v>
      </c>
      <c r="D29" s="156" t="str">
        <f t="shared" si="0"/>
        <v>三重中央北店1</v>
      </c>
      <c r="E29" s="155">
        <v>1</v>
      </c>
      <c r="F29" s="155" t="s">
        <v>3754</v>
      </c>
      <c r="G29" s="156" t="s">
        <v>3755</v>
      </c>
      <c r="H29" s="155" t="s">
        <v>3666</v>
      </c>
      <c r="I29" s="157" t="s">
        <v>3674</v>
      </c>
      <c r="J29" s="158" t="s">
        <v>7</v>
      </c>
      <c r="K29" s="159" t="s">
        <v>3668</v>
      </c>
      <c r="L29" s="155"/>
      <c r="M29" s="158"/>
      <c r="N29" s="210" t="s">
        <v>3669</v>
      </c>
    </row>
    <row r="30" spans="1:14" ht="22.95" customHeight="1">
      <c r="A30" s="155" t="s">
        <v>3756</v>
      </c>
      <c r="B30" s="155">
        <v>2042</v>
      </c>
      <c r="C30" s="156" t="s">
        <v>3308</v>
      </c>
      <c r="D30" s="156" t="str">
        <f t="shared" si="0"/>
        <v>三重中央北店2</v>
      </c>
      <c r="E30" s="155">
        <v>2</v>
      </c>
      <c r="F30" s="155" t="s">
        <v>3757</v>
      </c>
      <c r="G30" s="156" t="s">
        <v>3758</v>
      </c>
      <c r="H30" s="155" t="s">
        <v>3666</v>
      </c>
      <c r="I30" s="157" t="s">
        <v>3667</v>
      </c>
      <c r="J30" s="158" t="s">
        <v>7</v>
      </c>
      <c r="K30" s="159" t="s">
        <v>3668</v>
      </c>
      <c r="L30" s="155"/>
      <c r="M30" s="158"/>
      <c r="N30" s="210" t="s">
        <v>3669</v>
      </c>
    </row>
    <row r="31" spans="1:14" ht="22.95" customHeight="1">
      <c r="A31" s="155" t="s">
        <v>3759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3760</v>
      </c>
      <c r="G31" s="156" t="s">
        <v>3761</v>
      </c>
      <c r="H31" s="155" t="s">
        <v>3716</v>
      </c>
      <c r="I31" s="157" t="s">
        <v>3674</v>
      </c>
      <c r="J31" s="158" t="s">
        <v>7</v>
      </c>
      <c r="K31" s="159" t="s">
        <v>3668</v>
      </c>
      <c r="L31" s="155"/>
      <c r="M31" s="158"/>
      <c r="N31" s="210" t="s">
        <v>3669</v>
      </c>
    </row>
    <row r="32" spans="1:14" ht="22.95" customHeight="1">
      <c r="A32" s="155" t="s">
        <v>3762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3763</v>
      </c>
      <c r="G32" s="156" t="s">
        <v>3764</v>
      </c>
      <c r="H32" s="155" t="s">
        <v>3716</v>
      </c>
      <c r="I32" s="157" t="s">
        <v>3674</v>
      </c>
      <c r="J32" s="158" t="s">
        <v>7</v>
      </c>
      <c r="K32" s="159" t="s">
        <v>3668</v>
      </c>
      <c r="L32" s="155"/>
      <c r="M32" s="158"/>
      <c r="N32" s="210" t="s">
        <v>3669</v>
      </c>
    </row>
    <row r="33" spans="1:14" ht="22.95" customHeight="1">
      <c r="A33" s="155" t="s">
        <v>3765</v>
      </c>
      <c r="B33" s="155">
        <v>2014</v>
      </c>
      <c r="C33" s="156" t="s">
        <v>3766</v>
      </c>
      <c r="D33" s="156" t="str">
        <f t="shared" si="0"/>
        <v>三重中陽二店1</v>
      </c>
      <c r="E33" s="155">
        <v>1</v>
      </c>
      <c r="F33" s="155" t="s">
        <v>3767</v>
      </c>
      <c r="G33" s="156" t="s">
        <v>3768</v>
      </c>
      <c r="H33" s="155" t="s">
        <v>3666</v>
      </c>
      <c r="I33" s="157" t="s">
        <v>3667</v>
      </c>
      <c r="J33" s="158" t="s">
        <v>7</v>
      </c>
      <c r="K33" s="159" t="s">
        <v>3668</v>
      </c>
      <c r="L33" s="155"/>
      <c r="M33" s="158"/>
      <c r="N33" s="210" t="s">
        <v>3669</v>
      </c>
    </row>
    <row r="34" spans="1:14" ht="22.95" customHeight="1">
      <c r="A34" s="155" t="s">
        <v>3769</v>
      </c>
      <c r="B34" s="155">
        <v>2014</v>
      </c>
      <c r="C34" s="156" t="s">
        <v>3766</v>
      </c>
      <c r="D34" s="156" t="str">
        <f t="shared" si="0"/>
        <v>三重中陽二店2</v>
      </c>
      <c r="E34" s="155">
        <v>2</v>
      </c>
      <c r="F34" s="155" t="s">
        <v>3770</v>
      </c>
      <c r="G34" s="156" t="s">
        <v>3771</v>
      </c>
      <c r="H34" s="155" t="s">
        <v>3666</v>
      </c>
      <c r="I34" s="157" t="s">
        <v>3706</v>
      </c>
      <c r="J34" s="158" t="s">
        <v>7</v>
      </c>
      <c r="K34" s="159" t="s">
        <v>3668</v>
      </c>
      <c r="L34" s="155"/>
      <c r="M34" s="158"/>
      <c r="N34" s="210" t="s">
        <v>3669</v>
      </c>
    </row>
    <row r="35" spans="1:14" ht="22.95" customHeight="1">
      <c r="A35" s="155" t="s">
        <v>3772</v>
      </c>
      <c r="B35" s="155" t="s">
        <v>56</v>
      </c>
      <c r="C35" s="156" t="s">
        <v>797</v>
      </c>
      <c r="D35" s="156" t="str">
        <f t="shared" si="0"/>
        <v>三重中興北2</v>
      </c>
      <c r="E35" s="155">
        <v>2</v>
      </c>
      <c r="F35" s="155" t="s">
        <v>3773</v>
      </c>
      <c r="G35" s="156" t="s">
        <v>3774</v>
      </c>
      <c r="H35" s="155" t="s">
        <v>3673</v>
      </c>
      <c r="I35" s="157" t="s">
        <v>3674</v>
      </c>
      <c r="J35" s="158" t="s">
        <v>7</v>
      </c>
      <c r="K35" s="159" t="s">
        <v>3668</v>
      </c>
      <c r="L35" s="155"/>
      <c r="M35" s="158"/>
      <c r="N35" s="210" t="s">
        <v>3669</v>
      </c>
    </row>
    <row r="36" spans="1:14" ht="22.95" customHeight="1">
      <c r="A36" s="155" t="s">
        <v>3775</v>
      </c>
      <c r="B36" s="155" t="s">
        <v>49</v>
      </c>
      <c r="C36" s="156" t="s">
        <v>3205</v>
      </c>
      <c r="D36" s="156" t="str">
        <f t="shared" si="0"/>
        <v>三重中興北二1</v>
      </c>
      <c r="E36" s="155">
        <v>1</v>
      </c>
      <c r="F36" s="155" t="s">
        <v>3776</v>
      </c>
      <c r="G36" s="156" t="s">
        <v>3777</v>
      </c>
      <c r="H36" s="155" t="s">
        <v>3673</v>
      </c>
      <c r="I36" s="157" t="s">
        <v>3706</v>
      </c>
      <c r="J36" s="158" t="s">
        <v>7</v>
      </c>
      <c r="K36" s="159" t="s">
        <v>3668</v>
      </c>
      <c r="L36" s="155"/>
      <c r="M36" s="158"/>
      <c r="N36" s="210" t="s">
        <v>3669</v>
      </c>
    </row>
    <row r="37" spans="1:14" ht="22.95" customHeight="1">
      <c r="A37" s="155" t="s">
        <v>3778</v>
      </c>
      <c r="B37" s="155" t="s">
        <v>49</v>
      </c>
      <c r="C37" s="156" t="s">
        <v>3205</v>
      </c>
      <c r="D37" s="156" t="str">
        <f t="shared" si="0"/>
        <v>三重中興北二2</v>
      </c>
      <c r="E37" s="155">
        <v>2</v>
      </c>
      <c r="F37" s="155" t="s">
        <v>3779</v>
      </c>
      <c r="G37" s="156" t="s">
        <v>3780</v>
      </c>
      <c r="H37" s="155" t="s">
        <v>3673</v>
      </c>
      <c r="I37" s="157" t="s">
        <v>3706</v>
      </c>
      <c r="J37" s="158" t="s">
        <v>7</v>
      </c>
      <c r="K37" s="159" t="s">
        <v>3668</v>
      </c>
      <c r="L37" s="155"/>
      <c r="M37" s="158"/>
      <c r="N37" s="210" t="s">
        <v>3669</v>
      </c>
    </row>
    <row r="38" spans="1:14" ht="22.95" customHeight="1">
      <c r="A38" s="155" t="s">
        <v>3781</v>
      </c>
      <c r="B38" s="155">
        <v>2759</v>
      </c>
      <c r="C38" s="156" t="s">
        <v>3270</v>
      </c>
      <c r="D38" s="156" t="str">
        <f t="shared" si="0"/>
        <v>三重仁化店1</v>
      </c>
      <c r="E38" s="155">
        <v>1</v>
      </c>
      <c r="F38" s="155" t="s">
        <v>3782</v>
      </c>
      <c r="G38" s="156" t="s">
        <v>3783</v>
      </c>
      <c r="H38" s="155" t="s">
        <v>3673</v>
      </c>
      <c r="I38" s="157" t="s">
        <v>3674</v>
      </c>
      <c r="J38" s="158" t="s">
        <v>7</v>
      </c>
      <c r="K38" s="159" t="s">
        <v>3668</v>
      </c>
      <c r="L38" s="155"/>
      <c r="M38" s="158"/>
      <c r="N38" s="210" t="s">
        <v>3669</v>
      </c>
    </row>
    <row r="39" spans="1:14" ht="22.95" customHeight="1">
      <c r="A39" s="155" t="s">
        <v>3784</v>
      </c>
      <c r="B39" s="155">
        <v>2759</v>
      </c>
      <c r="C39" s="156" t="s">
        <v>3270</v>
      </c>
      <c r="D39" s="156" t="str">
        <f t="shared" si="0"/>
        <v>三重仁化店2</v>
      </c>
      <c r="E39" s="155">
        <v>2</v>
      </c>
      <c r="F39" s="155" t="s">
        <v>3785</v>
      </c>
      <c r="G39" s="156" t="s">
        <v>3786</v>
      </c>
      <c r="H39" s="155" t="s">
        <v>3673</v>
      </c>
      <c r="I39" s="157" t="s">
        <v>3674</v>
      </c>
      <c r="J39" s="158" t="s">
        <v>7</v>
      </c>
      <c r="K39" s="159" t="s">
        <v>3668</v>
      </c>
      <c r="L39" s="155"/>
      <c r="M39" s="158"/>
      <c r="N39" s="210" t="s">
        <v>3669</v>
      </c>
    </row>
    <row r="40" spans="1:14" ht="22.95" customHeight="1">
      <c r="A40" s="155" t="s">
        <v>3787</v>
      </c>
      <c r="B40" s="155">
        <v>4397</v>
      </c>
      <c r="C40" s="156" t="s">
        <v>681</v>
      </c>
      <c r="D40" s="156" t="str">
        <f t="shared" si="0"/>
        <v>三重仁旺店1</v>
      </c>
      <c r="E40" s="155">
        <v>1</v>
      </c>
      <c r="F40" s="155" t="s">
        <v>3788</v>
      </c>
      <c r="G40" s="156" t="s">
        <v>3789</v>
      </c>
      <c r="H40" s="155" t="s">
        <v>3666</v>
      </c>
      <c r="I40" s="157" t="s">
        <v>3674</v>
      </c>
      <c r="J40" s="158" t="s">
        <v>7</v>
      </c>
      <c r="K40" s="159" t="s">
        <v>3668</v>
      </c>
      <c r="L40" s="155"/>
      <c r="M40" s="158"/>
      <c r="N40" s="210" t="s">
        <v>3669</v>
      </c>
    </row>
    <row r="41" spans="1:14" ht="22.95" customHeight="1">
      <c r="A41" s="155" t="s">
        <v>3790</v>
      </c>
      <c r="B41" s="155">
        <v>4397</v>
      </c>
      <c r="C41" s="156" t="s">
        <v>681</v>
      </c>
      <c r="D41" s="156" t="str">
        <f t="shared" si="0"/>
        <v>三重仁旺店2</v>
      </c>
      <c r="E41" s="155">
        <v>2</v>
      </c>
      <c r="F41" s="155" t="s">
        <v>3791</v>
      </c>
      <c r="G41" s="156" t="s">
        <v>3792</v>
      </c>
      <c r="H41" s="155" t="s">
        <v>3666</v>
      </c>
      <c r="I41" s="157" t="s">
        <v>3674</v>
      </c>
      <c r="J41" s="158" t="s">
        <v>7</v>
      </c>
      <c r="K41" s="159" t="s">
        <v>3668</v>
      </c>
      <c r="L41" s="155"/>
      <c r="M41" s="158"/>
      <c r="N41" s="210" t="s">
        <v>3669</v>
      </c>
    </row>
    <row r="42" spans="1:14" ht="22.95" customHeight="1">
      <c r="A42" s="155" t="s">
        <v>3793</v>
      </c>
      <c r="B42" s="155">
        <v>4098</v>
      </c>
      <c r="C42" s="156" t="s">
        <v>3219</v>
      </c>
      <c r="D42" s="156" t="str">
        <f t="shared" si="0"/>
        <v>三重仁美店1</v>
      </c>
      <c r="E42" s="155">
        <v>1</v>
      </c>
      <c r="F42" s="155" t="s">
        <v>3794</v>
      </c>
      <c r="G42" s="156" t="s">
        <v>3795</v>
      </c>
      <c r="H42" s="155" t="s">
        <v>3673</v>
      </c>
      <c r="I42" s="157" t="s">
        <v>3674</v>
      </c>
      <c r="J42" s="158" t="s">
        <v>7</v>
      </c>
      <c r="K42" s="159" t="s">
        <v>3668</v>
      </c>
      <c r="L42" s="155"/>
      <c r="M42" s="158"/>
      <c r="N42" s="210" t="s">
        <v>3669</v>
      </c>
    </row>
    <row r="43" spans="1:14" ht="22.95" customHeight="1">
      <c r="A43" s="155" t="s">
        <v>3796</v>
      </c>
      <c r="B43" s="155">
        <v>4241</v>
      </c>
      <c r="C43" s="156" t="s">
        <v>693</v>
      </c>
      <c r="D43" s="156" t="str">
        <f t="shared" si="0"/>
        <v>三重仁義店1</v>
      </c>
      <c r="E43" s="155">
        <v>1</v>
      </c>
      <c r="F43" s="155" t="s">
        <v>3797</v>
      </c>
      <c r="G43" s="156" t="s">
        <v>3798</v>
      </c>
      <c r="H43" s="155" t="s">
        <v>3673</v>
      </c>
      <c r="I43" s="157" t="s">
        <v>3674</v>
      </c>
      <c r="J43" s="158" t="s">
        <v>7</v>
      </c>
      <c r="K43" s="159" t="s">
        <v>3668</v>
      </c>
      <c r="L43" s="155"/>
      <c r="M43" s="158"/>
      <c r="N43" s="210" t="s">
        <v>3669</v>
      </c>
    </row>
    <row r="44" spans="1:14" ht="22.95" customHeight="1">
      <c r="A44" s="155" t="s">
        <v>3799</v>
      </c>
      <c r="B44" s="155">
        <v>4241</v>
      </c>
      <c r="C44" s="156" t="s">
        <v>693</v>
      </c>
      <c r="D44" s="156" t="str">
        <f t="shared" si="0"/>
        <v>三重仁義店2</v>
      </c>
      <c r="E44" s="155">
        <v>2</v>
      </c>
      <c r="F44" s="155" t="s">
        <v>3800</v>
      </c>
      <c r="G44" s="156" t="s">
        <v>3801</v>
      </c>
      <c r="H44" s="155" t="s">
        <v>3673</v>
      </c>
      <c r="I44" s="157" t="s">
        <v>3674</v>
      </c>
      <c r="J44" s="158" t="s">
        <v>7</v>
      </c>
      <c r="K44" s="159" t="s">
        <v>3668</v>
      </c>
      <c r="L44" s="155"/>
      <c r="M44" s="158"/>
      <c r="N44" s="210" t="s">
        <v>3669</v>
      </c>
    </row>
    <row r="45" spans="1:14" ht="22.95" customHeight="1">
      <c r="A45" s="155" t="s">
        <v>3802</v>
      </c>
      <c r="B45" s="155">
        <v>4184</v>
      </c>
      <c r="C45" s="156" t="s">
        <v>3281</v>
      </c>
      <c r="D45" s="156" t="str">
        <f t="shared" si="0"/>
        <v>三重今大店1</v>
      </c>
      <c r="E45" s="155">
        <v>1</v>
      </c>
      <c r="F45" s="155" t="s">
        <v>3803</v>
      </c>
      <c r="G45" s="156" t="s">
        <v>3804</v>
      </c>
      <c r="H45" s="155" t="s">
        <v>3716</v>
      </c>
      <c r="I45" s="157" t="s">
        <v>3706</v>
      </c>
      <c r="J45" s="158" t="s">
        <v>7</v>
      </c>
      <c r="K45" s="159" t="s">
        <v>3668</v>
      </c>
      <c r="L45" s="155"/>
      <c r="M45" s="158"/>
      <c r="N45" s="210" t="s">
        <v>3669</v>
      </c>
    </row>
    <row r="46" spans="1:14" ht="22.95" customHeight="1">
      <c r="A46" s="155" t="s">
        <v>3805</v>
      </c>
      <c r="B46" s="155">
        <v>4352</v>
      </c>
      <c r="C46" s="156" t="s">
        <v>689</v>
      </c>
      <c r="D46" s="156" t="str">
        <f t="shared" si="0"/>
        <v>三重公園店1</v>
      </c>
      <c r="E46" s="155">
        <v>1</v>
      </c>
      <c r="F46" s="155" t="s">
        <v>3806</v>
      </c>
      <c r="G46" s="156" t="s">
        <v>3807</v>
      </c>
      <c r="H46" s="155" t="s">
        <v>3673</v>
      </c>
      <c r="I46" s="157" t="s">
        <v>3674</v>
      </c>
      <c r="J46" s="158" t="s">
        <v>7</v>
      </c>
      <c r="K46" s="159" t="s">
        <v>3668</v>
      </c>
      <c r="L46" s="155"/>
      <c r="M46" s="158"/>
      <c r="N46" s="210" t="s">
        <v>3669</v>
      </c>
    </row>
    <row r="47" spans="1:14" ht="22.95" customHeight="1">
      <c r="A47" s="155" t="s">
        <v>3808</v>
      </c>
      <c r="B47" s="155">
        <v>4352</v>
      </c>
      <c r="C47" s="156" t="s">
        <v>689</v>
      </c>
      <c r="D47" s="156" t="str">
        <f t="shared" si="0"/>
        <v>三重公園店2</v>
      </c>
      <c r="E47" s="155">
        <v>2</v>
      </c>
      <c r="F47" s="155" t="s">
        <v>3809</v>
      </c>
      <c r="G47" s="156" t="s">
        <v>3810</v>
      </c>
      <c r="H47" s="155" t="s">
        <v>3673</v>
      </c>
      <c r="I47" s="157" t="s">
        <v>3674</v>
      </c>
      <c r="J47" s="158" t="s">
        <v>7</v>
      </c>
      <c r="K47" s="159" t="s">
        <v>3668</v>
      </c>
      <c r="L47" s="155"/>
      <c r="M47" s="158"/>
      <c r="N47" s="210" t="s">
        <v>3669</v>
      </c>
    </row>
    <row r="48" spans="1:14" ht="22.95" customHeight="1">
      <c r="A48" s="155" t="s">
        <v>3811</v>
      </c>
      <c r="B48" s="155">
        <v>4968</v>
      </c>
      <c r="C48" s="156" t="s">
        <v>849</v>
      </c>
      <c r="D48" s="156" t="str">
        <f t="shared" si="0"/>
        <v>三重太璞宮1</v>
      </c>
      <c r="E48" s="155">
        <v>1</v>
      </c>
      <c r="F48" s="155" t="s">
        <v>3812</v>
      </c>
      <c r="G48" s="156" t="s">
        <v>3813</v>
      </c>
      <c r="H48" s="155" t="s">
        <v>3716</v>
      </c>
      <c r="I48" s="157" t="s">
        <v>3814</v>
      </c>
      <c r="J48" s="158" t="s">
        <v>7</v>
      </c>
      <c r="K48" s="159" t="s">
        <v>3668</v>
      </c>
      <c r="L48" s="155"/>
      <c r="M48" s="158"/>
      <c r="N48" s="210" t="s">
        <v>3669</v>
      </c>
    </row>
    <row r="49" spans="1:14" ht="22.95" customHeight="1">
      <c r="A49" s="155" t="s">
        <v>3815</v>
      </c>
      <c r="B49" s="155">
        <v>4312</v>
      </c>
      <c r="C49" s="156" t="s">
        <v>902</v>
      </c>
      <c r="D49" s="156" t="str">
        <f t="shared" si="0"/>
        <v>三重文化北1</v>
      </c>
      <c r="E49" s="155">
        <v>1</v>
      </c>
      <c r="F49" s="155" t="s">
        <v>3816</v>
      </c>
      <c r="G49" s="156" t="s">
        <v>3817</v>
      </c>
      <c r="H49" s="155" t="s">
        <v>3716</v>
      </c>
      <c r="I49" s="157" t="s">
        <v>3674</v>
      </c>
      <c r="J49" s="158" t="s">
        <v>7</v>
      </c>
      <c r="K49" s="159" t="s">
        <v>3668</v>
      </c>
      <c r="L49" s="155"/>
      <c r="M49" s="158"/>
      <c r="N49" s="210" t="s">
        <v>3669</v>
      </c>
    </row>
    <row r="50" spans="1:14" ht="22.95" customHeight="1">
      <c r="A50" s="155" t="s">
        <v>3818</v>
      </c>
      <c r="B50" s="155">
        <v>4312</v>
      </c>
      <c r="C50" s="156" t="s">
        <v>902</v>
      </c>
      <c r="D50" s="156" t="str">
        <f t="shared" si="0"/>
        <v>三重文化北2</v>
      </c>
      <c r="E50" s="155">
        <v>2</v>
      </c>
      <c r="F50" s="155" t="s">
        <v>3819</v>
      </c>
      <c r="G50" s="156" t="s">
        <v>3820</v>
      </c>
      <c r="H50" s="155" t="s">
        <v>3716</v>
      </c>
      <c r="I50" s="157" t="s">
        <v>3674</v>
      </c>
      <c r="J50" s="158" t="s">
        <v>7</v>
      </c>
      <c r="K50" s="159" t="s">
        <v>3668</v>
      </c>
      <c r="L50" s="155"/>
      <c r="M50" s="158"/>
      <c r="N50" s="210" t="s">
        <v>3669</v>
      </c>
    </row>
    <row r="51" spans="1:14" ht="22.95" customHeight="1">
      <c r="A51" s="155" t="s">
        <v>3821</v>
      </c>
      <c r="B51" s="155" t="s">
        <v>52</v>
      </c>
      <c r="C51" s="156" t="s">
        <v>3329</v>
      </c>
      <c r="D51" s="156" t="str">
        <f t="shared" si="0"/>
        <v>三重正義北店1</v>
      </c>
      <c r="E51" s="155">
        <v>1</v>
      </c>
      <c r="F51" s="155" t="s">
        <v>3822</v>
      </c>
      <c r="G51" s="156" t="s">
        <v>3823</v>
      </c>
      <c r="H51" s="155" t="s">
        <v>3666</v>
      </c>
      <c r="I51" s="157" t="s">
        <v>3667</v>
      </c>
      <c r="J51" s="158" t="s">
        <v>7</v>
      </c>
      <c r="K51" s="159" t="s">
        <v>3668</v>
      </c>
      <c r="L51" s="155"/>
      <c r="M51" s="158"/>
      <c r="N51" s="210" t="s">
        <v>3669</v>
      </c>
    </row>
    <row r="52" spans="1:14" ht="22.95" customHeight="1">
      <c r="A52" s="155" t="s">
        <v>3824</v>
      </c>
      <c r="B52" s="155">
        <v>2349</v>
      </c>
      <c r="C52" s="156" t="s">
        <v>520</v>
      </c>
      <c r="D52" s="156" t="str">
        <f t="shared" si="0"/>
        <v>三重永福店1</v>
      </c>
      <c r="E52" s="155">
        <v>1</v>
      </c>
      <c r="F52" s="155" t="s">
        <v>3825</v>
      </c>
      <c r="G52" s="156" t="s">
        <v>3826</v>
      </c>
      <c r="H52" s="155" t="s">
        <v>3666</v>
      </c>
      <c r="I52" s="157" t="s">
        <v>3706</v>
      </c>
      <c r="J52" s="158" t="s">
        <v>7</v>
      </c>
      <c r="K52" s="159" t="s">
        <v>3668</v>
      </c>
      <c r="L52" s="155"/>
      <c r="M52" s="158"/>
      <c r="N52" s="210" t="s">
        <v>3669</v>
      </c>
    </row>
    <row r="53" spans="1:14" ht="22.95" customHeight="1">
      <c r="A53" s="155" t="s">
        <v>3827</v>
      </c>
      <c r="B53" s="155">
        <v>2349</v>
      </c>
      <c r="C53" s="156" t="s">
        <v>520</v>
      </c>
      <c r="D53" s="156" t="str">
        <f t="shared" si="0"/>
        <v>三重永福店2</v>
      </c>
      <c r="E53" s="155">
        <v>2</v>
      </c>
      <c r="F53" s="155" t="s">
        <v>3828</v>
      </c>
      <c r="G53" s="156" t="s">
        <v>3829</v>
      </c>
      <c r="H53" s="155" t="s">
        <v>3666</v>
      </c>
      <c r="I53" s="157" t="s">
        <v>3706</v>
      </c>
      <c r="J53" s="158" t="s">
        <v>7</v>
      </c>
      <c r="K53" s="159" t="s">
        <v>3668</v>
      </c>
      <c r="L53" s="155"/>
      <c r="M53" s="158"/>
      <c r="N53" s="210" t="s">
        <v>3669</v>
      </c>
    </row>
    <row r="54" spans="1:14" ht="22.95" customHeight="1">
      <c r="A54" s="155" t="s">
        <v>3830</v>
      </c>
      <c r="B54" s="155">
        <v>3676</v>
      </c>
      <c r="C54" s="156" t="s">
        <v>839</v>
      </c>
      <c r="D54" s="156" t="str">
        <f t="shared" si="0"/>
        <v>三重田心店1</v>
      </c>
      <c r="E54" s="155">
        <v>1</v>
      </c>
      <c r="F54" s="155" t="s">
        <v>3831</v>
      </c>
      <c r="G54" s="160" t="s">
        <v>3832</v>
      </c>
      <c r="H54" s="155" t="s">
        <v>3673</v>
      </c>
      <c r="I54" s="157" t="s">
        <v>3674</v>
      </c>
      <c r="J54" s="158" t="s">
        <v>7</v>
      </c>
      <c r="K54" s="159" t="s">
        <v>3668</v>
      </c>
      <c r="L54" s="155"/>
      <c r="M54" s="158"/>
      <c r="N54" s="210" t="s">
        <v>3669</v>
      </c>
    </row>
    <row r="55" spans="1:14" ht="22.95" customHeight="1">
      <c r="A55" s="155" t="s">
        <v>3833</v>
      </c>
      <c r="B55" s="155">
        <v>3676</v>
      </c>
      <c r="C55" s="156" t="s">
        <v>839</v>
      </c>
      <c r="D55" s="156" t="str">
        <f t="shared" si="0"/>
        <v>三重田心店2</v>
      </c>
      <c r="E55" s="155">
        <v>2</v>
      </c>
      <c r="F55" s="155" t="s">
        <v>3834</v>
      </c>
      <c r="G55" s="156" t="s">
        <v>3835</v>
      </c>
      <c r="H55" s="155" t="s">
        <v>3673</v>
      </c>
      <c r="I55" s="157" t="s">
        <v>3667</v>
      </c>
      <c r="J55" s="158" t="s">
        <v>7</v>
      </c>
      <c r="K55" s="159" t="s">
        <v>3668</v>
      </c>
      <c r="L55" s="155"/>
      <c r="M55" s="158"/>
      <c r="N55" s="210" t="s">
        <v>3669</v>
      </c>
    </row>
    <row r="56" spans="1:14" ht="22.95" customHeight="1">
      <c r="A56" s="155" t="s">
        <v>3836</v>
      </c>
      <c r="B56" s="155">
        <v>4539</v>
      </c>
      <c r="C56" s="156" t="s">
        <v>3318</v>
      </c>
      <c r="D56" s="156" t="str">
        <f t="shared" si="0"/>
        <v>三重自信店1</v>
      </c>
      <c r="E56" s="155">
        <v>1</v>
      </c>
      <c r="F56" s="155" t="s">
        <v>3837</v>
      </c>
      <c r="G56" s="156" t="s">
        <v>3838</v>
      </c>
      <c r="H56" s="155" t="s">
        <v>3673</v>
      </c>
      <c r="I56" s="157" t="s">
        <v>3674</v>
      </c>
      <c r="J56" s="158" t="s">
        <v>7</v>
      </c>
      <c r="K56" s="159" t="s">
        <v>3668</v>
      </c>
      <c r="L56" s="155"/>
      <c r="M56" s="158"/>
      <c r="N56" s="210" t="s">
        <v>3669</v>
      </c>
    </row>
    <row r="57" spans="1:14" ht="22.95" customHeight="1">
      <c r="A57" s="155" t="s">
        <v>3839</v>
      </c>
      <c r="B57" s="155">
        <v>4539</v>
      </c>
      <c r="C57" s="156" t="s">
        <v>3318</v>
      </c>
      <c r="D57" s="156" t="str">
        <f t="shared" si="0"/>
        <v>三重自信店2</v>
      </c>
      <c r="E57" s="155">
        <v>2</v>
      </c>
      <c r="F57" s="155" t="s">
        <v>3840</v>
      </c>
      <c r="G57" s="156" t="s">
        <v>3841</v>
      </c>
      <c r="H57" s="155" t="s">
        <v>3673</v>
      </c>
      <c r="I57" s="157" t="s">
        <v>3674</v>
      </c>
      <c r="J57" s="158" t="s">
        <v>7</v>
      </c>
      <c r="K57" s="159" t="s">
        <v>3668</v>
      </c>
      <c r="L57" s="155"/>
      <c r="M57" s="158"/>
      <c r="N57" s="210" t="s">
        <v>3669</v>
      </c>
    </row>
    <row r="58" spans="1:14" ht="22.95" customHeight="1">
      <c r="A58" s="155" t="s">
        <v>3842</v>
      </c>
      <c r="B58" s="155">
        <v>3623</v>
      </c>
      <c r="C58" s="156" t="s">
        <v>168</v>
      </c>
      <c r="D58" s="156" t="str">
        <f t="shared" si="0"/>
        <v>三重自強店1</v>
      </c>
      <c r="E58" s="155">
        <v>1</v>
      </c>
      <c r="F58" s="155" t="s">
        <v>3843</v>
      </c>
      <c r="G58" s="156" t="s">
        <v>3844</v>
      </c>
      <c r="H58" s="155" t="s">
        <v>3673</v>
      </c>
      <c r="I58" s="157" t="s">
        <v>3674</v>
      </c>
      <c r="J58" s="158" t="s">
        <v>7</v>
      </c>
      <c r="K58" s="159" t="s">
        <v>3668</v>
      </c>
      <c r="L58" s="155"/>
      <c r="M58" s="158"/>
      <c r="N58" s="210" t="s">
        <v>3669</v>
      </c>
    </row>
    <row r="59" spans="1:14" ht="22.95" customHeight="1">
      <c r="A59" s="155" t="s">
        <v>3845</v>
      </c>
      <c r="B59" s="155">
        <v>3623</v>
      </c>
      <c r="C59" s="156" t="s">
        <v>168</v>
      </c>
      <c r="D59" s="156" t="str">
        <f t="shared" si="0"/>
        <v>三重自強店2</v>
      </c>
      <c r="E59" s="155">
        <v>2</v>
      </c>
      <c r="F59" s="155" t="s">
        <v>3846</v>
      </c>
      <c r="G59" s="156" t="s">
        <v>3847</v>
      </c>
      <c r="H59" s="155" t="s">
        <v>3673</v>
      </c>
      <c r="I59" s="157" t="s">
        <v>3674</v>
      </c>
      <c r="J59" s="158" t="s">
        <v>7</v>
      </c>
      <c r="K59" s="159" t="s">
        <v>3668</v>
      </c>
      <c r="L59" s="155"/>
      <c r="M59" s="158"/>
      <c r="N59" s="210" t="s">
        <v>3669</v>
      </c>
    </row>
    <row r="60" spans="1:14" ht="22.95" customHeight="1">
      <c r="A60" s="155" t="s">
        <v>3848</v>
      </c>
      <c r="B60" s="155" t="s">
        <v>54</v>
      </c>
      <c r="C60" s="156" t="s">
        <v>194</v>
      </c>
      <c r="D60" s="156" t="str">
        <f t="shared" si="0"/>
        <v>三重車路頭1</v>
      </c>
      <c r="E60" s="155">
        <v>1</v>
      </c>
      <c r="F60" s="155" t="s">
        <v>3849</v>
      </c>
      <c r="G60" s="156" t="s">
        <v>3850</v>
      </c>
      <c r="H60" s="155" t="s">
        <v>3673</v>
      </c>
      <c r="I60" s="157" t="s">
        <v>3674</v>
      </c>
      <c r="J60" s="158" t="s">
        <v>7</v>
      </c>
      <c r="K60" s="159" t="s">
        <v>3668</v>
      </c>
      <c r="L60" s="155"/>
      <c r="M60" s="158"/>
      <c r="N60" s="210" t="s">
        <v>3669</v>
      </c>
    </row>
    <row r="61" spans="1:14" ht="22.95" customHeight="1">
      <c r="A61" s="155" t="s">
        <v>3851</v>
      </c>
      <c r="B61" s="155">
        <v>4977</v>
      </c>
      <c r="C61" s="156" t="s">
        <v>3200</v>
      </c>
      <c r="D61" s="156" t="str">
        <f t="shared" si="0"/>
        <v>三重初戀店1</v>
      </c>
      <c r="E61" s="155">
        <v>1</v>
      </c>
      <c r="F61" s="155" t="s">
        <v>3852</v>
      </c>
      <c r="G61" s="156" t="s">
        <v>3853</v>
      </c>
      <c r="H61" s="155" t="s">
        <v>3673</v>
      </c>
      <c r="I61" s="157" t="s">
        <v>3674</v>
      </c>
      <c r="J61" s="158" t="s">
        <v>7</v>
      </c>
      <c r="K61" s="159" t="s">
        <v>3668</v>
      </c>
      <c r="L61" s="155"/>
      <c r="M61" s="158"/>
      <c r="N61" s="210" t="s">
        <v>3669</v>
      </c>
    </row>
    <row r="62" spans="1:14" ht="22.95" customHeight="1">
      <c r="A62" s="155" t="s">
        <v>3854</v>
      </c>
      <c r="B62" s="155">
        <v>4977</v>
      </c>
      <c r="C62" s="156" t="s">
        <v>3200</v>
      </c>
      <c r="D62" s="156" t="str">
        <f t="shared" si="0"/>
        <v>三重初戀店2</v>
      </c>
      <c r="E62" s="155">
        <v>2</v>
      </c>
      <c r="F62" s="155" t="s">
        <v>3855</v>
      </c>
      <c r="G62" s="156" t="s">
        <v>3856</v>
      </c>
      <c r="H62" s="155" t="s">
        <v>3673</v>
      </c>
      <c r="I62" s="157" t="s">
        <v>3674</v>
      </c>
      <c r="J62" s="158" t="s">
        <v>7</v>
      </c>
      <c r="K62" s="159" t="s">
        <v>3668</v>
      </c>
      <c r="L62" s="155"/>
      <c r="M62" s="158"/>
      <c r="N62" s="210" t="s">
        <v>3669</v>
      </c>
    </row>
    <row r="63" spans="1:14" ht="22.95" customHeight="1">
      <c r="A63" s="155" t="s">
        <v>3857</v>
      </c>
      <c r="B63" s="155">
        <v>2935</v>
      </c>
      <c r="C63" s="156" t="s">
        <v>3313</v>
      </c>
      <c r="D63" s="156" t="str">
        <f t="shared" si="0"/>
        <v>三重夜市口1</v>
      </c>
      <c r="E63" s="155">
        <v>1</v>
      </c>
      <c r="F63" s="155" t="s">
        <v>3858</v>
      </c>
      <c r="G63" s="156" t="s">
        <v>3859</v>
      </c>
      <c r="H63" s="155" t="s">
        <v>3673</v>
      </c>
      <c r="I63" s="157" t="s">
        <v>3674</v>
      </c>
      <c r="J63" s="158" t="s">
        <v>7</v>
      </c>
      <c r="K63" s="159" t="s">
        <v>3668</v>
      </c>
      <c r="L63" s="155"/>
      <c r="M63" s="158"/>
      <c r="N63" s="210" t="s">
        <v>3669</v>
      </c>
    </row>
    <row r="64" spans="1:14" ht="22.95" customHeight="1">
      <c r="A64" s="155" t="s">
        <v>3860</v>
      </c>
      <c r="B64" s="155">
        <v>2935</v>
      </c>
      <c r="C64" s="156" t="s">
        <v>3313</v>
      </c>
      <c r="D64" s="156" t="str">
        <f t="shared" si="0"/>
        <v>三重夜市口2</v>
      </c>
      <c r="E64" s="155">
        <v>2</v>
      </c>
      <c r="F64" s="155" t="s">
        <v>3861</v>
      </c>
      <c r="G64" s="156" t="s">
        <v>3862</v>
      </c>
      <c r="H64" s="155" t="s">
        <v>3673</v>
      </c>
      <c r="I64" s="157" t="s">
        <v>3667</v>
      </c>
      <c r="J64" s="158" t="s">
        <v>7</v>
      </c>
      <c r="K64" s="159" t="s">
        <v>3668</v>
      </c>
      <c r="L64" s="155"/>
      <c r="M64" s="158"/>
      <c r="N64" s="210" t="s">
        <v>3669</v>
      </c>
    </row>
    <row r="65" spans="1:14" ht="22.95" customHeight="1">
      <c r="A65" s="155" t="s">
        <v>3863</v>
      </c>
      <c r="B65" s="155">
        <v>4084</v>
      </c>
      <c r="C65" s="156" t="s">
        <v>653</v>
      </c>
      <c r="D65" s="156" t="str">
        <f t="shared" si="0"/>
        <v>三重昌隆店1</v>
      </c>
      <c r="E65" s="155">
        <v>1</v>
      </c>
      <c r="F65" s="155" t="s">
        <v>3864</v>
      </c>
      <c r="G65" s="156" t="s">
        <v>3865</v>
      </c>
      <c r="H65" s="155" t="s">
        <v>3673</v>
      </c>
      <c r="I65" s="157" t="s">
        <v>3706</v>
      </c>
      <c r="J65" s="158" t="s">
        <v>7</v>
      </c>
      <c r="K65" s="159" t="s">
        <v>3668</v>
      </c>
      <c r="L65" s="155"/>
      <c r="M65" s="158"/>
      <c r="N65" s="210" t="s">
        <v>3669</v>
      </c>
    </row>
    <row r="66" spans="1:14" ht="22.95" customHeight="1">
      <c r="A66" s="155" t="s">
        <v>3866</v>
      </c>
      <c r="B66" s="155">
        <v>4084</v>
      </c>
      <c r="C66" s="156" t="s">
        <v>653</v>
      </c>
      <c r="D66" s="156" t="str">
        <f t="shared" ref="D66:D129" si="1">C66&amp;E66</f>
        <v>三重昌隆店2</v>
      </c>
      <c r="E66" s="155">
        <v>2</v>
      </c>
      <c r="F66" s="155" t="s">
        <v>3867</v>
      </c>
      <c r="G66" s="156" t="s">
        <v>3868</v>
      </c>
      <c r="H66" s="155" t="s">
        <v>3673</v>
      </c>
      <c r="I66" s="157" t="s">
        <v>3706</v>
      </c>
      <c r="J66" s="158" t="s">
        <v>7</v>
      </c>
      <c r="K66" s="159" t="s">
        <v>3668</v>
      </c>
      <c r="L66" s="155"/>
      <c r="M66" s="158"/>
      <c r="N66" s="210" t="s">
        <v>3669</v>
      </c>
    </row>
    <row r="67" spans="1:14" ht="22.95" customHeight="1">
      <c r="A67" s="155" t="s">
        <v>3869</v>
      </c>
      <c r="B67" s="155">
        <v>3983</v>
      </c>
      <c r="C67" s="156" t="s">
        <v>673</v>
      </c>
      <c r="D67" s="156" t="str">
        <f t="shared" si="1"/>
        <v>三重星光店1</v>
      </c>
      <c r="E67" s="155">
        <v>1</v>
      </c>
      <c r="F67" s="155" t="s">
        <v>3870</v>
      </c>
      <c r="G67" s="156" t="s">
        <v>3871</v>
      </c>
      <c r="H67" s="155" t="s">
        <v>3673</v>
      </c>
      <c r="I67" s="157" t="s">
        <v>3674</v>
      </c>
      <c r="J67" s="158" t="s">
        <v>7</v>
      </c>
      <c r="K67" s="159" t="s">
        <v>3668</v>
      </c>
      <c r="L67" s="155"/>
      <c r="M67" s="158"/>
      <c r="N67" s="210" t="s">
        <v>3669</v>
      </c>
    </row>
    <row r="68" spans="1:14" ht="22.95" customHeight="1">
      <c r="A68" s="155" t="s">
        <v>3872</v>
      </c>
      <c r="B68" s="155">
        <v>3890</v>
      </c>
      <c r="C68" s="156" t="s">
        <v>821</v>
      </c>
      <c r="D68" s="156" t="str">
        <f t="shared" si="1"/>
        <v>三重美堤店1</v>
      </c>
      <c r="E68" s="155">
        <v>1</v>
      </c>
      <c r="F68" s="155" t="s">
        <v>3873</v>
      </c>
      <c r="G68" s="156" t="s">
        <v>3874</v>
      </c>
      <c r="H68" s="155" t="s">
        <v>3673</v>
      </c>
      <c r="I68" s="157" t="s">
        <v>3875</v>
      </c>
      <c r="J68" s="158" t="s">
        <v>7</v>
      </c>
      <c r="K68" s="159" t="s">
        <v>3668</v>
      </c>
      <c r="L68" s="155"/>
      <c r="M68" s="158"/>
      <c r="N68" s="210" t="s">
        <v>3669</v>
      </c>
    </row>
    <row r="69" spans="1:14" ht="22.95" customHeight="1">
      <c r="A69" s="155" t="s">
        <v>3876</v>
      </c>
      <c r="B69" s="155">
        <v>3890</v>
      </c>
      <c r="C69" s="156" t="s">
        <v>821</v>
      </c>
      <c r="D69" s="156" t="str">
        <f t="shared" si="1"/>
        <v>三重美堤店2</v>
      </c>
      <c r="E69" s="155">
        <v>2</v>
      </c>
      <c r="F69" s="155" t="s">
        <v>3877</v>
      </c>
      <c r="G69" s="156" t="s">
        <v>3878</v>
      </c>
      <c r="H69" s="155" t="s">
        <v>3673</v>
      </c>
      <c r="I69" s="157" t="s">
        <v>3875</v>
      </c>
      <c r="J69" s="158" t="s">
        <v>7</v>
      </c>
      <c r="K69" s="159" t="s">
        <v>3668</v>
      </c>
      <c r="L69" s="155"/>
      <c r="M69" s="158"/>
      <c r="N69" s="210" t="s">
        <v>3669</v>
      </c>
    </row>
    <row r="70" spans="1:14" ht="22.95" customHeight="1">
      <c r="A70" s="155" t="s">
        <v>3879</v>
      </c>
      <c r="B70" s="155">
        <v>4260</v>
      </c>
      <c r="C70" s="156" t="s">
        <v>3880</v>
      </c>
      <c r="D70" s="156" t="str">
        <f t="shared" si="1"/>
        <v>三重重高店1</v>
      </c>
      <c r="E70" s="155">
        <v>1</v>
      </c>
      <c r="F70" s="155" t="s">
        <v>3881</v>
      </c>
      <c r="G70" s="156" t="s">
        <v>3882</v>
      </c>
      <c r="H70" s="155" t="s">
        <v>3673</v>
      </c>
      <c r="I70" s="157" t="s">
        <v>3674</v>
      </c>
      <c r="J70" s="158" t="s">
        <v>7</v>
      </c>
      <c r="K70" s="159" t="s">
        <v>3668</v>
      </c>
      <c r="L70" s="155"/>
      <c r="M70" s="158"/>
      <c r="N70" s="210" t="s">
        <v>3669</v>
      </c>
    </row>
    <row r="71" spans="1:14" ht="22.95" customHeight="1">
      <c r="A71" s="155" t="s">
        <v>3883</v>
      </c>
      <c r="B71" s="155">
        <v>4260</v>
      </c>
      <c r="C71" s="156" t="s">
        <v>3880</v>
      </c>
      <c r="D71" s="156" t="str">
        <f t="shared" si="1"/>
        <v>三重重高店2</v>
      </c>
      <c r="E71" s="155">
        <v>2</v>
      </c>
      <c r="F71" s="155" t="s">
        <v>3884</v>
      </c>
      <c r="G71" s="156" t="s">
        <v>3885</v>
      </c>
      <c r="H71" s="155" t="s">
        <v>3673</v>
      </c>
      <c r="I71" s="157" t="s">
        <v>3674</v>
      </c>
      <c r="J71" s="158" t="s">
        <v>7</v>
      </c>
      <c r="K71" s="159" t="s">
        <v>3668</v>
      </c>
      <c r="L71" s="155"/>
      <c r="M71" s="158"/>
      <c r="N71" s="210" t="s">
        <v>3669</v>
      </c>
    </row>
    <row r="72" spans="1:14" ht="22.95" customHeight="1">
      <c r="A72" s="155" t="s">
        <v>3886</v>
      </c>
      <c r="B72" s="155">
        <v>3741</v>
      </c>
      <c r="C72" s="156" t="s">
        <v>669</v>
      </c>
      <c r="D72" s="156" t="str">
        <f t="shared" si="1"/>
        <v>三重重新三1</v>
      </c>
      <c r="E72" s="155">
        <v>1</v>
      </c>
      <c r="F72" s="155" t="s">
        <v>3887</v>
      </c>
      <c r="G72" s="156" t="s">
        <v>3888</v>
      </c>
      <c r="H72" s="155" t="s">
        <v>3673</v>
      </c>
      <c r="I72" s="157" t="s">
        <v>3674</v>
      </c>
      <c r="J72" s="158" t="s">
        <v>7</v>
      </c>
      <c r="K72" s="159" t="s">
        <v>3668</v>
      </c>
      <c r="L72" s="155"/>
      <c r="M72" s="158"/>
      <c r="N72" s="210" t="s">
        <v>3669</v>
      </c>
    </row>
    <row r="73" spans="1:14" ht="22.95" customHeight="1">
      <c r="A73" s="155" t="s">
        <v>3889</v>
      </c>
      <c r="B73" s="155">
        <v>3741</v>
      </c>
      <c r="C73" s="156" t="s">
        <v>669</v>
      </c>
      <c r="D73" s="156" t="str">
        <f t="shared" si="1"/>
        <v>三重重新三2</v>
      </c>
      <c r="E73" s="155">
        <v>2</v>
      </c>
      <c r="F73" s="155" t="s">
        <v>3890</v>
      </c>
      <c r="G73" s="156" t="s">
        <v>3891</v>
      </c>
      <c r="H73" s="155" t="s">
        <v>3673</v>
      </c>
      <c r="I73" s="157" t="s">
        <v>3674</v>
      </c>
      <c r="J73" s="158" t="s">
        <v>7</v>
      </c>
      <c r="K73" s="159" t="s">
        <v>3668</v>
      </c>
      <c r="L73" s="155"/>
      <c r="M73" s="158"/>
      <c r="N73" s="210" t="s">
        <v>3669</v>
      </c>
    </row>
    <row r="74" spans="1:14" ht="22.95" customHeight="1">
      <c r="A74" s="155" t="s">
        <v>3892</v>
      </c>
      <c r="B74" s="155" t="s">
        <v>46</v>
      </c>
      <c r="C74" s="156" t="s">
        <v>874</v>
      </c>
      <c r="D74" s="156" t="str">
        <f t="shared" si="1"/>
        <v>三重重新店1</v>
      </c>
      <c r="E74" s="155">
        <v>1</v>
      </c>
      <c r="F74" s="155" t="s">
        <v>3893</v>
      </c>
      <c r="G74" s="156" t="s">
        <v>3894</v>
      </c>
      <c r="H74" s="155" t="s">
        <v>3673</v>
      </c>
      <c r="I74" s="157" t="s">
        <v>3706</v>
      </c>
      <c r="J74" s="158" t="s">
        <v>7</v>
      </c>
      <c r="K74" s="159" t="s">
        <v>3668</v>
      </c>
      <c r="L74" s="155"/>
      <c r="M74" s="158"/>
      <c r="N74" s="210" t="s">
        <v>3669</v>
      </c>
    </row>
    <row r="75" spans="1:14" ht="22.95" customHeight="1">
      <c r="A75" s="155" t="s">
        <v>3895</v>
      </c>
      <c r="B75" s="155" t="s">
        <v>46</v>
      </c>
      <c r="C75" s="156" t="s">
        <v>874</v>
      </c>
      <c r="D75" s="156" t="str">
        <f t="shared" si="1"/>
        <v>三重重新店2</v>
      </c>
      <c r="E75" s="155">
        <v>2</v>
      </c>
      <c r="F75" s="155" t="s">
        <v>3896</v>
      </c>
      <c r="G75" s="156" t="s">
        <v>3897</v>
      </c>
      <c r="H75" s="155" t="s">
        <v>3673</v>
      </c>
      <c r="I75" s="157" t="s">
        <v>3706</v>
      </c>
      <c r="J75" s="158" t="s">
        <v>7</v>
      </c>
      <c r="K75" s="159" t="s">
        <v>3668</v>
      </c>
      <c r="L75" s="155"/>
      <c r="M75" s="158"/>
      <c r="N75" s="210" t="s">
        <v>3669</v>
      </c>
    </row>
    <row r="76" spans="1:14" ht="22.95" customHeight="1">
      <c r="A76" s="155" t="s">
        <v>3898</v>
      </c>
      <c r="B76" s="155">
        <v>3627</v>
      </c>
      <c r="C76" s="156" t="s">
        <v>159</v>
      </c>
      <c r="D76" s="156" t="str">
        <f t="shared" si="1"/>
        <v>三重重新橋1</v>
      </c>
      <c r="E76" s="155">
        <v>1</v>
      </c>
      <c r="F76" s="155" t="s">
        <v>3899</v>
      </c>
      <c r="G76" s="156" t="s">
        <v>3900</v>
      </c>
      <c r="H76" s="155" t="s">
        <v>3666</v>
      </c>
      <c r="I76" s="157" t="s">
        <v>3674</v>
      </c>
      <c r="J76" s="158" t="s">
        <v>7</v>
      </c>
      <c r="K76" s="159" t="s">
        <v>3668</v>
      </c>
      <c r="L76" s="155"/>
      <c r="M76" s="158"/>
      <c r="N76" s="210" t="s">
        <v>3669</v>
      </c>
    </row>
    <row r="77" spans="1:14" ht="22.95" customHeight="1">
      <c r="A77" s="155" t="s">
        <v>3901</v>
      </c>
      <c r="B77" s="155">
        <v>3627</v>
      </c>
      <c r="C77" s="156" t="s">
        <v>159</v>
      </c>
      <c r="D77" s="156" t="str">
        <f t="shared" si="1"/>
        <v>三重重新橋2</v>
      </c>
      <c r="E77" s="155">
        <v>2</v>
      </c>
      <c r="F77" s="155" t="s">
        <v>3902</v>
      </c>
      <c r="G77" s="156" t="s">
        <v>3903</v>
      </c>
      <c r="H77" s="155" t="s">
        <v>3716</v>
      </c>
      <c r="I77" s="157" t="s">
        <v>3667</v>
      </c>
      <c r="J77" s="158" t="s">
        <v>7</v>
      </c>
      <c r="K77" s="159" t="s">
        <v>3668</v>
      </c>
      <c r="L77" s="155"/>
      <c r="M77" s="158"/>
      <c r="N77" s="210" t="s">
        <v>3669</v>
      </c>
    </row>
    <row r="78" spans="1:14" ht="22.95" customHeight="1">
      <c r="A78" s="155" t="s">
        <v>3904</v>
      </c>
      <c r="B78" s="155">
        <v>4804</v>
      </c>
      <c r="C78" s="156" t="s">
        <v>3326</v>
      </c>
      <c r="D78" s="156" t="str">
        <f t="shared" si="1"/>
        <v>三重國隆店1</v>
      </c>
      <c r="E78" s="155">
        <v>1</v>
      </c>
      <c r="F78" s="155" t="s">
        <v>3905</v>
      </c>
      <c r="G78" s="156" t="s">
        <v>3906</v>
      </c>
      <c r="H78" s="155" t="s">
        <v>3716</v>
      </c>
      <c r="I78" s="157" t="s">
        <v>3667</v>
      </c>
      <c r="J78" s="158" t="s">
        <v>7</v>
      </c>
      <c r="K78" s="159" t="s">
        <v>3668</v>
      </c>
      <c r="L78" s="155"/>
      <c r="M78" s="158"/>
      <c r="N78" s="210" t="s">
        <v>3669</v>
      </c>
    </row>
    <row r="79" spans="1:14" ht="22.95" customHeight="1">
      <c r="A79" s="155" t="s">
        <v>3907</v>
      </c>
      <c r="B79" s="155">
        <v>4804</v>
      </c>
      <c r="C79" s="156" t="s">
        <v>3326</v>
      </c>
      <c r="D79" s="156" t="str">
        <f t="shared" si="1"/>
        <v>三重國隆店2</v>
      </c>
      <c r="E79" s="155">
        <v>2</v>
      </c>
      <c r="F79" s="155" t="s">
        <v>3908</v>
      </c>
      <c r="G79" s="156" t="s">
        <v>3909</v>
      </c>
      <c r="H79" s="155" t="s">
        <v>3666</v>
      </c>
      <c r="I79" s="157" t="s">
        <v>3674</v>
      </c>
      <c r="J79" s="158" t="s">
        <v>7</v>
      </c>
      <c r="K79" s="159" t="s">
        <v>3668</v>
      </c>
      <c r="L79" s="155"/>
      <c r="M79" s="158"/>
      <c r="N79" s="210" t="s">
        <v>3669</v>
      </c>
    </row>
    <row r="80" spans="1:14" ht="22.95" customHeight="1">
      <c r="A80" s="155" t="s">
        <v>3910</v>
      </c>
      <c r="B80" s="155">
        <v>4698</v>
      </c>
      <c r="C80" s="156" t="s">
        <v>3197</v>
      </c>
      <c r="D80" s="156" t="str">
        <f t="shared" si="1"/>
        <v>三重頂崁店1</v>
      </c>
      <c r="E80" s="155">
        <v>1</v>
      </c>
      <c r="F80" s="155" t="s">
        <v>3911</v>
      </c>
      <c r="G80" s="156" t="s">
        <v>3912</v>
      </c>
      <c r="H80" s="155" t="s">
        <v>3716</v>
      </c>
      <c r="I80" s="157" t="s">
        <v>3674</v>
      </c>
      <c r="J80" s="158" t="s">
        <v>7</v>
      </c>
      <c r="K80" s="159" t="s">
        <v>3668</v>
      </c>
      <c r="L80" s="155"/>
      <c r="M80" s="158"/>
      <c r="N80" s="210" t="s">
        <v>3669</v>
      </c>
    </row>
    <row r="81" spans="1:14" ht="22.95" customHeight="1">
      <c r="A81" s="155" t="s">
        <v>3913</v>
      </c>
      <c r="B81" s="155">
        <v>4698</v>
      </c>
      <c r="C81" s="156" t="s">
        <v>3197</v>
      </c>
      <c r="D81" s="156" t="str">
        <f t="shared" si="1"/>
        <v>三重頂崁店2</v>
      </c>
      <c r="E81" s="155">
        <v>2</v>
      </c>
      <c r="F81" s="155" t="s">
        <v>3914</v>
      </c>
      <c r="G81" s="156" t="s">
        <v>3915</v>
      </c>
      <c r="H81" s="155" t="s">
        <v>3716</v>
      </c>
      <c r="I81" s="157" t="s">
        <v>3674</v>
      </c>
      <c r="J81" s="158" t="s">
        <v>7</v>
      </c>
      <c r="K81" s="159" t="s">
        <v>3668</v>
      </c>
      <c r="L81" s="155"/>
      <c r="M81" s="158"/>
      <c r="N81" s="210" t="s">
        <v>3669</v>
      </c>
    </row>
    <row r="82" spans="1:14" ht="22.95" customHeight="1">
      <c r="A82" s="155" t="s">
        <v>3916</v>
      </c>
      <c r="B82" s="155">
        <v>3796</v>
      </c>
      <c r="C82" s="156" t="s">
        <v>380</v>
      </c>
      <c r="D82" s="156" t="str">
        <f t="shared" si="1"/>
        <v>三重進安店1</v>
      </c>
      <c r="E82" s="155">
        <v>1</v>
      </c>
      <c r="F82" s="155" t="s">
        <v>3917</v>
      </c>
      <c r="G82" s="156" t="s">
        <v>3918</v>
      </c>
      <c r="H82" s="155" t="s">
        <v>3673</v>
      </c>
      <c r="I82" s="157" t="s">
        <v>3667</v>
      </c>
      <c r="J82" s="158" t="s">
        <v>7</v>
      </c>
      <c r="K82" s="159" t="s">
        <v>3668</v>
      </c>
      <c r="L82" s="155"/>
      <c r="M82" s="158"/>
      <c r="N82" s="210" t="s">
        <v>3669</v>
      </c>
    </row>
    <row r="83" spans="1:14" ht="22.95" customHeight="1">
      <c r="A83" s="155" t="s">
        <v>3919</v>
      </c>
      <c r="B83" s="155">
        <v>3796</v>
      </c>
      <c r="C83" s="156" t="s">
        <v>380</v>
      </c>
      <c r="D83" s="156" t="str">
        <f t="shared" si="1"/>
        <v>三重進安店2</v>
      </c>
      <c r="E83" s="155">
        <v>2</v>
      </c>
      <c r="F83" s="155" t="s">
        <v>3920</v>
      </c>
      <c r="G83" s="156" t="s">
        <v>3921</v>
      </c>
      <c r="H83" s="155" t="s">
        <v>3673</v>
      </c>
      <c r="I83" s="157" t="s">
        <v>3674</v>
      </c>
      <c r="J83" s="158" t="s">
        <v>7</v>
      </c>
      <c r="K83" s="159" t="s">
        <v>3668</v>
      </c>
      <c r="L83" s="155"/>
      <c r="M83" s="158"/>
      <c r="N83" s="210" t="s">
        <v>3669</v>
      </c>
    </row>
    <row r="84" spans="1:14" ht="22.95" customHeight="1">
      <c r="A84" s="155" t="s">
        <v>3922</v>
      </c>
      <c r="B84" s="155">
        <v>4191</v>
      </c>
      <c r="C84" s="156" t="s">
        <v>853</v>
      </c>
      <c r="D84" s="156" t="str">
        <f t="shared" si="1"/>
        <v>三重溪美店1</v>
      </c>
      <c r="E84" s="155">
        <v>1</v>
      </c>
      <c r="F84" s="155" t="s">
        <v>3923</v>
      </c>
      <c r="G84" s="156" t="s">
        <v>3924</v>
      </c>
      <c r="H84" s="155" t="s">
        <v>3666</v>
      </c>
      <c r="I84" s="157" t="s">
        <v>3706</v>
      </c>
      <c r="J84" s="158" t="s">
        <v>7</v>
      </c>
      <c r="K84" s="159" t="s">
        <v>3668</v>
      </c>
      <c r="L84" s="155"/>
      <c r="M84" s="158"/>
      <c r="N84" s="210" t="s">
        <v>3669</v>
      </c>
    </row>
    <row r="85" spans="1:14" ht="22.95" customHeight="1">
      <c r="A85" s="155" t="s">
        <v>3925</v>
      </c>
      <c r="B85" s="155">
        <v>4191</v>
      </c>
      <c r="C85" s="156" t="s">
        <v>853</v>
      </c>
      <c r="D85" s="156" t="str">
        <f t="shared" si="1"/>
        <v>三重溪美店2</v>
      </c>
      <c r="E85" s="155">
        <v>2</v>
      </c>
      <c r="F85" s="155" t="s">
        <v>3926</v>
      </c>
      <c r="G85" s="156" t="s">
        <v>3927</v>
      </c>
      <c r="H85" s="155" t="s">
        <v>3716</v>
      </c>
      <c r="I85" s="157" t="s">
        <v>3706</v>
      </c>
      <c r="J85" s="158" t="s">
        <v>7</v>
      </c>
      <c r="K85" s="159" t="s">
        <v>3668</v>
      </c>
      <c r="L85" s="155"/>
      <c r="M85" s="158"/>
      <c r="N85" s="210" t="s">
        <v>3669</v>
      </c>
    </row>
    <row r="86" spans="1:14" ht="22.95" customHeight="1">
      <c r="A86" s="155" t="s">
        <v>3928</v>
      </c>
      <c r="B86" s="155">
        <v>2222</v>
      </c>
      <c r="C86" s="156" t="s">
        <v>154</v>
      </c>
      <c r="D86" s="156" t="str">
        <f t="shared" si="1"/>
        <v>三重義天店1</v>
      </c>
      <c r="E86" s="155">
        <v>1</v>
      </c>
      <c r="F86" s="155" t="s">
        <v>3929</v>
      </c>
      <c r="G86" s="156" t="s">
        <v>3930</v>
      </c>
      <c r="H86" s="155" t="s">
        <v>3666</v>
      </c>
      <c r="I86" s="157" t="s">
        <v>3674</v>
      </c>
      <c r="J86" s="158" t="s">
        <v>7</v>
      </c>
      <c r="K86" s="159" t="s">
        <v>3668</v>
      </c>
      <c r="L86" s="155"/>
      <c r="M86" s="158"/>
      <c r="N86" s="210" t="s">
        <v>3669</v>
      </c>
    </row>
    <row r="87" spans="1:14" ht="22.95" customHeight="1">
      <c r="A87" s="155" t="s">
        <v>3931</v>
      </c>
      <c r="B87" s="155">
        <v>2222</v>
      </c>
      <c r="C87" s="156" t="s">
        <v>154</v>
      </c>
      <c r="D87" s="156" t="str">
        <f t="shared" si="1"/>
        <v>三重義天店2</v>
      </c>
      <c r="E87" s="155">
        <v>2</v>
      </c>
      <c r="F87" s="155" t="s">
        <v>3932</v>
      </c>
      <c r="G87" s="156" t="s">
        <v>3933</v>
      </c>
      <c r="H87" s="155" t="s">
        <v>3673</v>
      </c>
      <c r="I87" s="157" t="s">
        <v>3667</v>
      </c>
      <c r="J87" s="158" t="s">
        <v>7</v>
      </c>
      <c r="K87" s="159" t="s">
        <v>3668</v>
      </c>
      <c r="L87" s="155"/>
      <c r="M87" s="158"/>
      <c r="N87" s="210" t="s">
        <v>3669</v>
      </c>
    </row>
    <row r="88" spans="1:14" ht="22.95" customHeight="1">
      <c r="A88" s="155" t="s">
        <v>3934</v>
      </c>
      <c r="B88" s="155">
        <v>3811</v>
      </c>
      <c r="C88" s="156" t="s">
        <v>430</v>
      </c>
      <c r="D88" s="156" t="str">
        <f t="shared" si="1"/>
        <v>三重碧華公園1</v>
      </c>
      <c r="E88" s="155">
        <v>1</v>
      </c>
      <c r="F88" s="155" t="s">
        <v>3935</v>
      </c>
      <c r="G88" s="156" t="s">
        <v>3936</v>
      </c>
      <c r="H88" s="155" t="s">
        <v>3673</v>
      </c>
      <c r="I88" s="157" t="s">
        <v>3706</v>
      </c>
      <c r="J88" s="158" t="s">
        <v>7</v>
      </c>
      <c r="K88" s="159" t="s">
        <v>3668</v>
      </c>
      <c r="L88" s="155"/>
      <c r="M88" s="158"/>
      <c r="N88" s="210" t="s">
        <v>3669</v>
      </c>
    </row>
    <row r="89" spans="1:14" ht="22.95" customHeight="1">
      <c r="A89" s="155" t="s">
        <v>3937</v>
      </c>
      <c r="B89" s="155">
        <v>3811</v>
      </c>
      <c r="C89" s="156" t="s">
        <v>430</v>
      </c>
      <c r="D89" s="156" t="str">
        <f t="shared" si="1"/>
        <v>三重碧華公園2</v>
      </c>
      <c r="E89" s="155">
        <v>2</v>
      </c>
      <c r="F89" s="155" t="s">
        <v>3938</v>
      </c>
      <c r="G89" s="156" t="s">
        <v>3939</v>
      </c>
      <c r="H89" s="155" t="s">
        <v>3673</v>
      </c>
      <c r="I89" s="157" t="s">
        <v>3706</v>
      </c>
      <c r="J89" s="158" t="s">
        <v>7</v>
      </c>
      <c r="K89" s="159" t="s">
        <v>3668</v>
      </c>
      <c r="L89" s="155"/>
      <c r="M89" s="158"/>
      <c r="N89" s="210" t="s">
        <v>3669</v>
      </c>
    </row>
    <row r="90" spans="1:14" ht="22.95" customHeight="1">
      <c r="A90" s="155" t="s">
        <v>3940</v>
      </c>
      <c r="B90" s="155">
        <v>3957</v>
      </c>
      <c r="C90" s="156" t="s">
        <v>515</v>
      </c>
      <c r="D90" s="156" t="str">
        <f t="shared" si="1"/>
        <v>三重福仁店1</v>
      </c>
      <c r="E90" s="155">
        <v>1</v>
      </c>
      <c r="F90" s="155" t="s">
        <v>3941</v>
      </c>
      <c r="G90" s="156" t="s">
        <v>3942</v>
      </c>
      <c r="H90" s="155" t="s">
        <v>3673</v>
      </c>
      <c r="I90" s="157" t="s">
        <v>3674</v>
      </c>
      <c r="J90" s="158" t="s">
        <v>7</v>
      </c>
      <c r="K90" s="159" t="s">
        <v>3668</v>
      </c>
      <c r="L90" s="155"/>
      <c r="M90" s="158"/>
      <c r="N90" s="210" t="s">
        <v>3669</v>
      </c>
    </row>
    <row r="91" spans="1:14" ht="22.95" customHeight="1">
      <c r="A91" s="155" t="s">
        <v>3943</v>
      </c>
      <c r="B91" s="155">
        <v>3957</v>
      </c>
      <c r="C91" s="156" t="s">
        <v>515</v>
      </c>
      <c r="D91" s="156" t="str">
        <f t="shared" si="1"/>
        <v>三重福仁店2</v>
      </c>
      <c r="E91" s="155">
        <v>2</v>
      </c>
      <c r="F91" s="155" t="s">
        <v>3944</v>
      </c>
      <c r="G91" s="156" t="s">
        <v>3945</v>
      </c>
      <c r="H91" s="155" t="s">
        <v>3673</v>
      </c>
      <c r="I91" s="157" t="s">
        <v>3674</v>
      </c>
      <c r="J91" s="158" t="s">
        <v>7</v>
      </c>
      <c r="K91" s="159" t="s">
        <v>3668</v>
      </c>
      <c r="L91" s="155"/>
      <c r="M91" s="158"/>
      <c r="N91" s="210" t="s">
        <v>3669</v>
      </c>
    </row>
    <row r="92" spans="1:14" ht="22.95" customHeight="1">
      <c r="A92" s="155" t="s">
        <v>3946</v>
      </c>
      <c r="B92" s="155">
        <v>4210</v>
      </c>
      <c r="C92" s="156" t="s">
        <v>190</v>
      </c>
      <c r="D92" s="156" t="str">
        <f t="shared" si="1"/>
        <v>三重福華店1</v>
      </c>
      <c r="E92" s="155">
        <v>1</v>
      </c>
      <c r="F92" s="155" t="s">
        <v>3947</v>
      </c>
      <c r="G92" s="156" t="s">
        <v>3948</v>
      </c>
      <c r="H92" s="155" t="s">
        <v>3716</v>
      </c>
      <c r="I92" s="157" t="s">
        <v>3674</v>
      </c>
      <c r="J92" s="158" t="s">
        <v>7</v>
      </c>
      <c r="K92" s="159" t="s">
        <v>3668</v>
      </c>
      <c r="L92" s="155"/>
      <c r="M92" s="158"/>
      <c r="N92" s="210" t="s">
        <v>3669</v>
      </c>
    </row>
    <row r="93" spans="1:14" ht="22.95" customHeight="1">
      <c r="A93" s="155" t="s">
        <v>3949</v>
      </c>
      <c r="B93" s="155">
        <v>4210</v>
      </c>
      <c r="C93" s="156" t="s">
        <v>190</v>
      </c>
      <c r="D93" s="156" t="str">
        <f t="shared" si="1"/>
        <v>三重福華店2</v>
      </c>
      <c r="E93" s="155">
        <v>2</v>
      </c>
      <c r="F93" s="155" t="s">
        <v>3950</v>
      </c>
      <c r="G93" s="156" t="s">
        <v>3951</v>
      </c>
      <c r="H93" s="155" t="s">
        <v>3716</v>
      </c>
      <c r="I93" s="157" t="s">
        <v>3674</v>
      </c>
      <c r="J93" s="158" t="s">
        <v>7</v>
      </c>
      <c r="K93" s="159" t="s">
        <v>3668</v>
      </c>
      <c r="L93" s="155"/>
      <c r="M93" s="158"/>
      <c r="N93" s="210" t="s">
        <v>3669</v>
      </c>
    </row>
    <row r="94" spans="1:14" ht="22.95" customHeight="1">
      <c r="A94" s="155" t="s">
        <v>3952</v>
      </c>
      <c r="B94" s="155" t="s">
        <v>74</v>
      </c>
      <c r="C94" s="156" t="s">
        <v>547</v>
      </c>
      <c r="D94" s="156" t="str">
        <f t="shared" si="1"/>
        <v>三重維德店2</v>
      </c>
      <c r="E94" s="155">
        <v>2</v>
      </c>
      <c r="F94" s="155" t="s">
        <v>3953</v>
      </c>
      <c r="G94" s="156" t="s">
        <v>3954</v>
      </c>
      <c r="H94" s="155" t="s">
        <v>3673</v>
      </c>
      <c r="I94" s="157" t="s">
        <v>3674</v>
      </c>
      <c r="J94" s="158" t="s">
        <v>7</v>
      </c>
      <c r="K94" s="159" t="s">
        <v>3668</v>
      </c>
      <c r="L94" s="155"/>
      <c r="M94" s="158"/>
      <c r="N94" s="210" t="s">
        <v>3669</v>
      </c>
    </row>
    <row r="95" spans="1:14" ht="22.95" customHeight="1">
      <c r="A95" s="155" t="s">
        <v>3955</v>
      </c>
      <c r="B95" s="155">
        <v>4155</v>
      </c>
      <c r="C95" s="156" t="s">
        <v>3243</v>
      </c>
      <c r="D95" s="156" t="str">
        <f t="shared" si="1"/>
        <v>三重穀保店1</v>
      </c>
      <c r="E95" s="155">
        <v>1</v>
      </c>
      <c r="F95" s="155" t="s">
        <v>3956</v>
      </c>
      <c r="G95" s="156" t="s">
        <v>3957</v>
      </c>
      <c r="H95" s="155" t="s">
        <v>3666</v>
      </c>
      <c r="I95" s="157" t="s">
        <v>3674</v>
      </c>
      <c r="J95" s="158" t="s">
        <v>7</v>
      </c>
      <c r="K95" s="159" t="s">
        <v>3668</v>
      </c>
      <c r="L95" s="155"/>
      <c r="M95" s="158"/>
      <c r="N95" s="210" t="s">
        <v>3669</v>
      </c>
    </row>
    <row r="96" spans="1:14" ht="22.95" customHeight="1">
      <c r="A96" s="155" t="s">
        <v>3958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3959</v>
      </c>
      <c r="G96" s="156" t="s">
        <v>3960</v>
      </c>
      <c r="H96" s="155" t="s">
        <v>3673</v>
      </c>
      <c r="I96" s="157" t="s">
        <v>3674</v>
      </c>
      <c r="J96" s="158" t="s">
        <v>7</v>
      </c>
      <c r="K96" s="159" t="s">
        <v>3668</v>
      </c>
      <c r="L96" s="155"/>
      <c r="M96" s="158"/>
      <c r="N96" s="210" t="s">
        <v>3669</v>
      </c>
    </row>
    <row r="97" spans="1:14" ht="22.95" customHeight="1">
      <c r="A97" s="155" t="s">
        <v>3961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3962</v>
      </c>
      <c r="G97" s="156" t="s">
        <v>3963</v>
      </c>
      <c r="H97" s="155" t="s">
        <v>3673</v>
      </c>
      <c r="I97" s="157" t="s">
        <v>3674</v>
      </c>
      <c r="J97" s="158" t="s">
        <v>7</v>
      </c>
      <c r="K97" s="159" t="s">
        <v>3668</v>
      </c>
      <c r="L97" s="155"/>
      <c r="M97" s="158"/>
      <c r="N97" s="210" t="s">
        <v>3669</v>
      </c>
    </row>
    <row r="98" spans="1:14" ht="22.95" customHeight="1">
      <c r="A98" s="155" t="s">
        <v>3964</v>
      </c>
      <c r="B98" s="155">
        <v>2259</v>
      </c>
      <c r="C98" s="156" t="s">
        <v>3338</v>
      </c>
      <c r="D98" s="156" t="str">
        <f t="shared" si="1"/>
        <v>三重興華店1</v>
      </c>
      <c r="E98" s="155">
        <v>1</v>
      </c>
      <c r="F98" s="155" t="s">
        <v>3965</v>
      </c>
      <c r="G98" s="156" t="s">
        <v>3966</v>
      </c>
      <c r="H98" s="155" t="s">
        <v>3666</v>
      </c>
      <c r="I98" s="157" t="s">
        <v>3667</v>
      </c>
      <c r="J98" s="158" t="s">
        <v>7</v>
      </c>
      <c r="K98" s="159" t="s">
        <v>3668</v>
      </c>
      <c r="L98" s="155"/>
      <c r="M98" s="158"/>
      <c r="N98" s="210" t="s">
        <v>3669</v>
      </c>
    </row>
    <row r="99" spans="1:14" ht="22.95" customHeight="1">
      <c r="A99" s="155" t="s">
        <v>3967</v>
      </c>
      <c r="B99" s="155">
        <v>2259</v>
      </c>
      <c r="C99" s="156" t="s">
        <v>3338</v>
      </c>
      <c r="D99" s="156" t="str">
        <f t="shared" si="1"/>
        <v>三重興華店2</v>
      </c>
      <c r="E99" s="155">
        <v>2</v>
      </c>
      <c r="F99" s="155" t="s">
        <v>3968</v>
      </c>
      <c r="G99" s="156" t="s">
        <v>3969</v>
      </c>
      <c r="H99" s="155" t="s">
        <v>3716</v>
      </c>
      <c r="I99" s="157" t="s">
        <v>3667</v>
      </c>
      <c r="J99" s="158" t="s">
        <v>7</v>
      </c>
      <c r="K99" s="159" t="s">
        <v>3668</v>
      </c>
      <c r="L99" s="155"/>
      <c r="M99" s="158"/>
      <c r="N99" s="210" t="s">
        <v>3669</v>
      </c>
    </row>
    <row r="100" spans="1:14" ht="22.95" customHeight="1">
      <c r="A100" s="155" t="s">
        <v>3970</v>
      </c>
      <c r="B100" s="155" t="s">
        <v>61</v>
      </c>
      <c r="C100" s="156" t="s">
        <v>3208</v>
      </c>
      <c r="D100" s="156" t="str">
        <f t="shared" si="1"/>
        <v>三重興德店1</v>
      </c>
      <c r="E100" s="155">
        <v>1</v>
      </c>
      <c r="F100" s="155" t="s">
        <v>3971</v>
      </c>
      <c r="G100" s="156" t="s">
        <v>3972</v>
      </c>
      <c r="H100" s="155" t="s">
        <v>3673</v>
      </c>
      <c r="I100" s="157" t="s">
        <v>3674</v>
      </c>
      <c r="J100" s="158" t="s">
        <v>7</v>
      </c>
      <c r="K100" s="159" t="s">
        <v>3668</v>
      </c>
      <c r="L100" s="155"/>
      <c r="M100" s="158"/>
      <c r="N100" s="210" t="s">
        <v>3669</v>
      </c>
    </row>
    <row r="101" spans="1:14" ht="22.95" customHeight="1">
      <c r="A101" s="155" t="s">
        <v>3973</v>
      </c>
      <c r="B101" s="155" t="s">
        <v>61</v>
      </c>
      <c r="C101" s="156" t="s">
        <v>3208</v>
      </c>
      <c r="D101" s="156" t="str">
        <f t="shared" si="1"/>
        <v>三重興德店2</v>
      </c>
      <c r="E101" s="155">
        <v>2</v>
      </c>
      <c r="F101" s="155" t="s">
        <v>3974</v>
      </c>
      <c r="G101" s="156" t="s">
        <v>3975</v>
      </c>
      <c r="H101" s="155" t="s">
        <v>3673</v>
      </c>
      <c r="I101" s="157" t="s">
        <v>3674</v>
      </c>
      <c r="J101" s="158" t="s">
        <v>7</v>
      </c>
      <c r="K101" s="159" t="s">
        <v>3668</v>
      </c>
      <c r="L101" s="155"/>
      <c r="M101" s="158"/>
      <c r="N101" s="210" t="s">
        <v>3669</v>
      </c>
    </row>
    <row r="102" spans="1:14" ht="22.95" customHeight="1">
      <c r="A102" s="155" t="s">
        <v>3976</v>
      </c>
      <c r="B102" s="155">
        <v>4029</v>
      </c>
      <c r="C102" s="156" t="s">
        <v>3347</v>
      </c>
      <c r="D102" s="156" t="str">
        <f t="shared" si="1"/>
        <v>三重龍濱店1</v>
      </c>
      <c r="E102" s="155">
        <v>1</v>
      </c>
      <c r="F102" s="155" t="s">
        <v>3977</v>
      </c>
      <c r="G102" s="156" t="s">
        <v>3978</v>
      </c>
      <c r="H102" s="155" t="s">
        <v>3673</v>
      </c>
      <c r="I102" s="157" t="s">
        <v>3674</v>
      </c>
      <c r="J102" s="158" t="s">
        <v>7</v>
      </c>
      <c r="K102" s="159" t="s">
        <v>3668</v>
      </c>
      <c r="L102" s="155"/>
      <c r="M102" s="158"/>
      <c r="N102" s="210" t="s">
        <v>3669</v>
      </c>
    </row>
    <row r="103" spans="1:14" ht="22.95" customHeight="1">
      <c r="A103" s="155" t="s">
        <v>3979</v>
      </c>
      <c r="B103" s="155">
        <v>4029</v>
      </c>
      <c r="C103" s="156" t="s">
        <v>3347</v>
      </c>
      <c r="D103" s="156" t="str">
        <f t="shared" si="1"/>
        <v>三重龍濱店2</v>
      </c>
      <c r="E103" s="155">
        <v>2</v>
      </c>
      <c r="F103" s="155" t="s">
        <v>3980</v>
      </c>
      <c r="G103" s="156" t="s">
        <v>3981</v>
      </c>
      <c r="H103" s="155" t="s">
        <v>3673</v>
      </c>
      <c r="I103" s="157" t="s">
        <v>3674</v>
      </c>
      <c r="J103" s="158" t="s">
        <v>7</v>
      </c>
      <c r="K103" s="159" t="s">
        <v>3668</v>
      </c>
      <c r="L103" s="155"/>
      <c r="M103" s="158"/>
      <c r="N103" s="210" t="s">
        <v>3669</v>
      </c>
    </row>
    <row r="104" spans="1:14" ht="22.95" customHeight="1">
      <c r="A104" s="155" t="s">
        <v>3982</v>
      </c>
      <c r="B104" s="155">
        <v>4388</v>
      </c>
      <c r="C104" s="156" t="s">
        <v>3248</v>
      </c>
      <c r="D104" s="156" t="str">
        <f t="shared" si="1"/>
        <v>三重薔薇店1</v>
      </c>
      <c r="E104" s="155">
        <v>1</v>
      </c>
      <c r="F104" s="155" t="s">
        <v>3983</v>
      </c>
      <c r="G104" s="156"/>
      <c r="H104" s="155" t="s">
        <v>3666</v>
      </c>
      <c r="I104" s="157" t="s">
        <v>3667</v>
      </c>
      <c r="J104" s="158" t="s">
        <v>7</v>
      </c>
      <c r="K104" s="159" t="s">
        <v>3668</v>
      </c>
      <c r="L104" s="155"/>
      <c r="M104" s="158"/>
      <c r="N104" s="210" t="s">
        <v>3669</v>
      </c>
    </row>
    <row r="105" spans="1:14" ht="22.95" customHeight="1">
      <c r="A105" s="155" t="s">
        <v>3984</v>
      </c>
      <c r="B105" s="155">
        <v>4388</v>
      </c>
      <c r="C105" s="156" t="s">
        <v>3248</v>
      </c>
      <c r="D105" s="156" t="str">
        <f t="shared" si="1"/>
        <v>三重薔薇店2</v>
      </c>
      <c r="E105" s="155">
        <v>2</v>
      </c>
      <c r="F105" s="155" t="s">
        <v>3985</v>
      </c>
      <c r="G105" s="156" t="s">
        <v>3986</v>
      </c>
      <c r="H105" s="155" t="s">
        <v>3716</v>
      </c>
      <c r="I105" s="157" t="s">
        <v>3674</v>
      </c>
      <c r="J105" s="158" t="s">
        <v>7</v>
      </c>
      <c r="K105" s="159" t="s">
        <v>3668</v>
      </c>
      <c r="L105" s="155"/>
      <c r="M105" s="158"/>
      <c r="N105" s="210" t="s">
        <v>3669</v>
      </c>
    </row>
    <row r="106" spans="1:14" ht="22.95" customHeight="1">
      <c r="A106" s="155" t="s">
        <v>3987</v>
      </c>
      <c r="B106" s="155" t="s">
        <v>55</v>
      </c>
      <c r="C106" s="156" t="s">
        <v>3988</v>
      </c>
      <c r="D106" s="156" t="str">
        <f t="shared" si="1"/>
        <v>北縣三愛三店1</v>
      </c>
      <c r="E106" s="155">
        <v>1</v>
      </c>
      <c r="F106" s="155" t="s">
        <v>3989</v>
      </c>
      <c r="G106" s="156" t="s">
        <v>3990</v>
      </c>
      <c r="H106" s="155" t="s">
        <v>3673</v>
      </c>
      <c r="I106" s="157" t="s">
        <v>3674</v>
      </c>
      <c r="J106" s="158" t="s">
        <v>7</v>
      </c>
      <c r="K106" s="159" t="s">
        <v>3668</v>
      </c>
      <c r="L106" s="155"/>
      <c r="M106" s="158"/>
      <c r="N106" s="210" t="s">
        <v>3669</v>
      </c>
    </row>
    <row r="107" spans="1:14" ht="22.95" customHeight="1">
      <c r="A107" s="155" t="s">
        <v>3991</v>
      </c>
      <c r="B107" s="155" t="s">
        <v>55</v>
      </c>
      <c r="C107" s="156" t="s">
        <v>3988</v>
      </c>
      <c r="D107" s="156" t="str">
        <f t="shared" si="1"/>
        <v>北縣三愛三店2</v>
      </c>
      <c r="E107" s="155">
        <v>2</v>
      </c>
      <c r="F107" s="155" t="s">
        <v>3992</v>
      </c>
      <c r="G107" s="156" t="s">
        <v>3993</v>
      </c>
      <c r="H107" s="155" t="s">
        <v>3673</v>
      </c>
      <c r="I107" s="157" t="s">
        <v>3674</v>
      </c>
      <c r="J107" s="158" t="s">
        <v>7</v>
      </c>
      <c r="K107" s="159" t="s">
        <v>3668</v>
      </c>
      <c r="L107" s="155"/>
      <c r="M107" s="158"/>
      <c r="N107" s="210" t="s">
        <v>3669</v>
      </c>
    </row>
    <row r="108" spans="1:14" ht="22.95" customHeight="1">
      <c r="A108" s="155" t="s">
        <v>3994</v>
      </c>
      <c r="B108" s="155" t="s">
        <v>53</v>
      </c>
      <c r="C108" s="156" t="s">
        <v>3995</v>
      </c>
      <c r="D108" s="156" t="str">
        <f t="shared" si="1"/>
        <v>北縣中陽店1</v>
      </c>
      <c r="E108" s="155">
        <v>1</v>
      </c>
      <c r="F108" s="155" t="s">
        <v>3996</v>
      </c>
      <c r="G108" s="156" t="s">
        <v>3997</v>
      </c>
      <c r="H108" s="155" t="s">
        <v>3673</v>
      </c>
      <c r="I108" s="157" t="s">
        <v>3674</v>
      </c>
      <c r="J108" s="158" t="s">
        <v>7</v>
      </c>
      <c r="K108" s="159" t="s">
        <v>3668</v>
      </c>
      <c r="L108" s="155"/>
      <c r="M108" s="158"/>
      <c r="N108" s="210" t="s">
        <v>3669</v>
      </c>
    </row>
    <row r="109" spans="1:14" ht="22.95" customHeight="1">
      <c r="A109" s="155" t="s">
        <v>3998</v>
      </c>
      <c r="B109" s="155" t="s">
        <v>53</v>
      </c>
      <c r="C109" s="156" t="s">
        <v>3995</v>
      </c>
      <c r="D109" s="156" t="str">
        <f t="shared" si="1"/>
        <v>北縣中陽店2</v>
      </c>
      <c r="E109" s="155">
        <v>2</v>
      </c>
      <c r="F109" s="155" t="s">
        <v>3999</v>
      </c>
      <c r="G109" s="156" t="s">
        <v>4000</v>
      </c>
      <c r="H109" s="155" t="s">
        <v>3673</v>
      </c>
      <c r="I109" s="157" t="s">
        <v>3674</v>
      </c>
      <c r="J109" s="158" t="s">
        <v>7</v>
      </c>
      <c r="K109" s="159" t="s">
        <v>3668</v>
      </c>
      <c r="L109" s="155"/>
      <c r="M109" s="158"/>
      <c r="N109" s="210" t="s">
        <v>3669</v>
      </c>
    </row>
    <row r="110" spans="1:14" ht="22.95" customHeight="1">
      <c r="A110" s="155" t="s">
        <v>4001</v>
      </c>
      <c r="B110" s="155" t="s">
        <v>50</v>
      </c>
      <c r="C110" s="156" t="s">
        <v>857</v>
      </c>
      <c r="D110" s="156" t="str">
        <f t="shared" si="1"/>
        <v>北縣五華三店1</v>
      </c>
      <c r="E110" s="155">
        <v>1</v>
      </c>
      <c r="F110" s="155" t="s">
        <v>4002</v>
      </c>
      <c r="G110" s="156" t="s">
        <v>4003</v>
      </c>
      <c r="H110" s="155" t="s">
        <v>3666</v>
      </c>
      <c r="I110" s="157" t="s">
        <v>3674</v>
      </c>
      <c r="J110" s="158" t="s">
        <v>7</v>
      </c>
      <c r="K110" s="159" t="s">
        <v>3668</v>
      </c>
      <c r="L110" s="155"/>
      <c r="M110" s="158"/>
      <c r="N110" s="210" t="s">
        <v>3669</v>
      </c>
    </row>
    <row r="111" spans="1:14" ht="22.95" customHeight="1">
      <c r="A111" s="155" t="s">
        <v>4004</v>
      </c>
      <c r="B111" s="155" t="s">
        <v>50</v>
      </c>
      <c r="C111" s="156" t="s">
        <v>857</v>
      </c>
      <c r="D111" s="156" t="str">
        <f t="shared" si="1"/>
        <v>北縣五華三店2</v>
      </c>
      <c r="E111" s="155">
        <v>2</v>
      </c>
      <c r="F111" s="155" t="s">
        <v>4005</v>
      </c>
      <c r="G111" s="156" t="s">
        <v>4006</v>
      </c>
      <c r="H111" s="155" t="s">
        <v>3666</v>
      </c>
      <c r="I111" s="157" t="s">
        <v>3674</v>
      </c>
      <c r="J111" s="158" t="s">
        <v>7</v>
      </c>
      <c r="K111" s="159" t="s">
        <v>3668</v>
      </c>
      <c r="L111" s="155"/>
      <c r="M111" s="158"/>
      <c r="N111" s="210" t="s">
        <v>3669</v>
      </c>
    </row>
    <row r="112" spans="1:14" ht="22.95" customHeight="1">
      <c r="A112" s="155" t="s">
        <v>4007</v>
      </c>
      <c r="B112" s="155" t="s">
        <v>75</v>
      </c>
      <c r="C112" s="156" t="s">
        <v>4008</v>
      </c>
      <c r="D112" s="156" t="str">
        <f t="shared" si="1"/>
        <v>北縣仁和店1</v>
      </c>
      <c r="E112" s="155">
        <v>1</v>
      </c>
      <c r="F112" s="155" t="s">
        <v>4009</v>
      </c>
      <c r="G112" s="156" t="s">
        <v>4010</v>
      </c>
      <c r="H112" s="155" t="s">
        <v>3666</v>
      </c>
      <c r="I112" s="157" t="s">
        <v>3674</v>
      </c>
      <c r="J112" s="158" t="s">
        <v>7</v>
      </c>
      <c r="K112" s="159" t="s">
        <v>3668</v>
      </c>
      <c r="L112" s="155"/>
      <c r="M112" s="158"/>
      <c r="N112" s="210" t="s">
        <v>3669</v>
      </c>
    </row>
    <row r="113" spans="1:14" ht="22.95" customHeight="1">
      <c r="A113" s="155" t="s">
        <v>4011</v>
      </c>
      <c r="B113" s="155" t="s">
        <v>75</v>
      </c>
      <c r="C113" s="156" t="s">
        <v>4008</v>
      </c>
      <c r="D113" s="156" t="str">
        <f t="shared" si="1"/>
        <v>北縣仁和店2</v>
      </c>
      <c r="E113" s="155">
        <v>2</v>
      </c>
      <c r="F113" s="155" t="s">
        <v>4012</v>
      </c>
      <c r="G113" s="156" t="s">
        <v>4013</v>
      </c>
      <c r="H113" s="155" t="s">
        <v>3666</v>
      </c>
      <c r="I113" s="157" t="s">
        <v>3667</v>
      </c>
      <c r="J113" s="158" t="s">
        <v>7</v>
      </c>
      <c r="K113" s="159" t="s">
        <v>3668</v>
      </c>
      <c r="L113" s="155"/>
      <c r="M113" s="158"/>
      <c r="N113" s="210" t="s">
        <v>3669</v>
      </c>
    </row>
    <row r="114" spans="1:14" ht="22.95" customHeight="1">
      <c r="A114" s="155" t="s">
        <v>4014</v>
      </c>
      <c r="B114" s="155">
        <v>3840</v>
      </c>
      <c r="C114" s="156" t="s">
        <v>685</v>
      </c>
      <c r="D114" s="156" t="str">
        <f t="shared" si="1"/>
        <v>北縣天龍店1</v>
      </c>
      <c r="E114" s="155">
        <v>1</v>
      </c>
      <c r="F114" s="155" t="s">
        <v>4015</v>
      </c>
      <c r="G114" s="156" t="s">
        <v>4016</v>
      </c>
      <c r="H114" s="155" t="s">
        <v>3673</v>
      </c>
      <c r="I114" s="157" t="s">
        <v>3674</v>
      </c>
      <c r="J114" s="158" t="s">
        <v>7</v>
      </c>
      <c r="K114" s="159" t="s">
        <v>3668</v>
      </c>
      <c r="L114" s="155"/>
      <c r="M114" s="158"/>
      <c r="N114" s="210" t="s">
        <v>3669</v>
      </c>
    </row>
    <row r="115" spans="1:14" ht="22.95" customHeight="1">
      <c r="A115" s="155" t="s">
        <v>4017</v>
      </c>
      <c r="B115" s="155">
        <v>3840</v>
      </c>
      <c r="C115" s="156" t="s">
        <v>685</v>
      </c>
      <c r="D115" s="156" t="str">
        <f t="shared" si="1"/>
        <v>北縣天龍店2</v>
      </c>
      <c r="E115" s="155">
        <v>2</v>
      </c>
      <c r="F115" s="155" t="s">
        <v>4018</v>
      </c>
      <c r="G115" s="156" t="s">
        <v>4019</v>
      </c>
      <c r="H115" s="155" t="s">
        <v>3716</v>
      </c>
      <c r="I115" s="157" t="s">
        <v>3667</v>
      </c>
      <c r="J115" s="158" t="s">
        <v>7</v>
      </c>
      <c r="K115" s="159" t="s">
        <v>3668</v>
      </c>
      <c r="L115" s="155"/>
      <c r="M115" s="158"/>
      <c r="N115" s="210" t="s">
        <v>3669</v>
      </c>
    </row>
    <row r="116" spans="1:14" ht="22.95" customHeight="1">
      <c r="A116" s="155" t="s">
        <v>4020</v>
      </c>
      <c r="B116" s="155">
        <v>2302</v>
      </c>
      <c r="C116" s="156" t="s">
        <v>4021</v>
      </c>
      <c r="D116" s="156" t="str">
        <f t="shared" si="1"/>
        <v>北縣重安店1</v>
      </c>
      <c r="E116" s="155">
        <v>1</v>
      </c>
      <c r="F116" s="155" t="s">
        <v>4022</v>
      </c>
      <c r="G116" s="156"/>
      <c r="H116" s="155" t="s">
        <v>3666</v>
      </c>
      <c r="I116" s="157" t="s">
        <v>3674</v>
      </c>
      <c r="J116" s="158" t="s">
        <v>7</v>
      </c>
      <c r="K116" s="159" t="s">
        <v>3668</v>
      </c>
      <c r="L116" s="155"/>
      <c r="M116" s="158"/>
      <c r="N116" s="210" t="s">
        <v>3669</v>
      </c>
    </row>
    <row r="117" spans="1:14" ht="22.95" customHeight="1">
      <c r="A117" s="155" t="s">
        <v>4023</v>
      </c>
      <c r="B117" s="155">
        <v>2302</v>
      </c>
      <c r="C117" s="156" t="s">
        <v>4021</v>
      </c>
      <c r="D117" s="156" t="str">
        <f t="shared" si="1"/>
        <v>北縣重安店2</v>
      </c>
      <c r="E117" s="155">
        <v>2</v>
      </c>
      <c r="F117" s="155" t="s">
        <v>4024</v>
      </c>
      <c r="G117" s="156" t="s">
        <v>4025</v>
      </c>
      <c r="H117" s="155" t="s">
        <v>3666</v>
      </c>
      <c r="I117" s="157" t="s">
        <v>3674</v>
      </c>
      <c r="J117" s="158" t="s">
        <v>7</v>
      </c>
      <c r="K117" s="159" t="s">
        <v>3668</v>
      </c>
      <c r="L117" s="155"/>
      <c r="M117" s="158"/>
      <c r="N117" s="210" t="s">
        <v>3669</v>
      </c>
    </row>
    <row r="118" spans="1:14" ht="22.95" customHeight="1">
      <c r="A118" s="155" t="s">
        <v>4026</v>
      </c>
      <c r="B118" s="155">
        <v>3362</v>
      </c>
      <c r="C118" s="156" t="s">
        <v>4027</v>
      </c>
      <c r="D118" s="156" t="str">
        <f t="shared" si="1"/>
        <v>北縣重武店2</v>
      </c>
      <c r="E118" s="155">
        <v>2</v>
      </c>
      <c r="F118" s="155" t="s">
        <v>4028</v>
      </c>
      <c r="G118" s="156" t="s">
        <v>4029</v>
      </c>
      <c r="H118" s="155" t="s">
        <v>3673</v>
      </c>
      <c r="I118" s="157" t="s">
        <v>3674</v>
      </c>
      <c r="J118" s="158" t="s">
        <v>7</v>
      </c>
      <c r="K118" s="159" t="s">
        <v>3668</v>
      </c>
      <c r="L118" s="155"/>
      <c r="M118" s="158"/>
      <c r="N118" s="210" t="s">
        <v>3669</v>
      </c>
    </row>
    <row r="119" spans="1:14" ht="22.95" customHeight="1">
      <c r="A119" s="155" t="s">
        <v>4030</v>
      </c>
      <c r="B119" s="155">
        <v>2209</v>
      </c>
      <c r="C119" s="156" t="s">
        <v>4031</v>
      </c>
      <c r="D119" s="156" t="str">
        <f t="shared" si="1"/>
        <v>北縣重強店2</v>
      </c>
      <c r="E119" s="155">
        <v>2</v>
      </c>
      <c r="F119" s="155" t="s">
        <v>4032</v>
      </c>
      <c r="G119" s="156" t="s">
        <v>4033</v>
      </c>
      <c r="H119" s="155" t="s">
        <v>3666</v>
      </c>
      <c r="I119" s="157" t="s">
        <v>3674</v>
      </c>
      <c r="J119" s="158" t="s">
        <v>7</v>
      </c>
      <c r="K119" s="159" t="s">
        <v>3668</v>
      </c>
      <c r="L119" s="155"/>
      <c r="M119" s="158"/>
      <c r="N119" s="210" t="s">
        <v>3669</v>
      </c>
    </row>
    <row r="120" spans="1:14" ht="22.95" customHeight="1">
      <c r="A120" s="155" t="s">
        <v>4034</v>
      </c>
      <c r="B120" s="155">
        <v>3601</v>
      </c>
      <c r="C120" s="156" t="s">
        <v>4035</v>
      </c>
      <c r="D120" s="156" t="str">
        <f t="shared" si="1"/>
        <v>北縣重富店1</v>
      </c>
      <c r="E120" s="155">
        <v>1</v>
      </c>
      <c r="F120" s="155" t="s">
        <v>4036</v>
      </c>
      <c r="G120" s="156" t="s">
        <v>4037</v>
      </c>
      <c r="H120" s="155" t="s">
        <v>3666</v>
      </c>
      <c r="I120" s="157" t="s">
        <v>3674</v>
      </c>
      <c r="J120" s="158" t="s">
        <v>7</v>
      </c>
      <c r="K120" s="159" t="s">
        <v>3668</v>
      </c>
      <c r="L120" s="155"/>
      <c r="M120" s="158"/>
      <c r="N120" s="210" t="s">
        <v>3669</v>
      </c>
    </row>
    <row r="121" spans="1:14" ht="22.95" customHeight="1">
      <c r="A121" s="155" t="s">
        <v>4038</v>
      </c>
      <c r="B121" s="155">
        <v>3601</v>
      </c>
      <c r="C121" s="156" t="s">
        <v>4035</v>
      </c>
      <c r="D121" s="156" t="str">
        <f t="shared" si="1"/>
        <v>北縣重富店2</v>
      </c>
      <c r="E121" s="155">
        <v>2</v>
      </c>
      <c r="F121" s="155" t="s">
        <v>4039</v>
      </c>
      <c r="G121" s="156" t="s">
        <v>4040</v>
      </c>
      <c r="H121" s="155" t="s">
        <v>3666</v>
      </c>
      <c r="I121" s="157" t="s">
        <v>3674</v>
      </c>
      <c r="J121" s="158" t="s">
        <v>7</v>
      </c>
      <c r="K121" s="159" t="s">
        <v>3668</v>
      </c>
      <c r="L121" s="155"/>
      <c r="M121" s="158"/>
      <c r="N121" s="210" t="s">
        <v>3669</v>
      </c>
    </row>
    <row r="122" spans="1:14" ht="22.95" customHeight="1">
      <c r="A122" s="155" t="s">
        <v>4041</v>
      </c>
      <c r="B122" s="155">
        <v>2837</v>
      </c>
      <c r="C122" s="156" t="s">
        <v>4042</v>
      </c>
      <c r="D122" s="156" t="str">
        <f t="shared" si="1"/>
        <v>北縣重萬店1</v>
      </c>
      <c r="E122" s="155">
        <v>1</v>
      </c>
      <c r="F122" s="155" t="s">
        <v>4043</v>
      </c>
      <c r="G122" s="156" t="s">
        <v>4044</v>
      </c>
      <c r="H122" s="155" t="s">
        <v>3673</v>
      </c>
      <c r="I122" s="157" t="s">
        <v>3674</v>
      </c>
      <c r="J122" s="158" t="s">
        <v>7</v>
      </c>
      <c r="K122" s="159" t="s">
        <v>3668</v>
      </c>
      <c r="L122" s="155"/>
      <c r="M122" s="158"/>
      <c r="N122" s="210" t="s">
        <v>3669</v>
      </c>
    </row>
    <row r="123" spans="1:14" ht="22.95" customHeight="1">
      <c r="A123" s="155" t="s">
        <v>4045</v>
      </c>
      <c r="B123" s="155">
        <v>2837</v>
      </c>
      <c r="C123" s="156" t="s">
        <v>4042</v>
      </c>
      <c r="D123" s="156" t="str">
        <f t="shared" si="1"/>
        <v>北縣重萬店2</v>
      </c>
      <c r="E123" s="155">
        <v>2</v>
      </c>
      <c r="F123" s="155" t="s">
        <v>4046</v>
      </c>
      <c r="G123" s="156" t="s">
        <v>4047</v>
      </c>
      <c r="H123" s="155" t="s">
        <v>3673</v>
      </c>
      <c r="I123" s="157" t="s">
        <v>3667</v>
      </c>
      <c r="J123" s="158" t="s">
        <v>7</v>
      </c>
      <c r="K123" s="159" t="s">
        <v>3668</v>
      </c>
      <c r="L123" s="155"/>
      <c r="M123" s="158"/>
      <c r="N123" s="210" t="s">
        <v>3669</v>
      </c>
    </row>
    <row r="124" spans="1:14" ht="22.95" customHeight="1">
      <c r="A124" s="155" t="s">
        <v>4048</v>
      </c>
      <c r="B124" s="155">
        <v>2321</v>
      </c>
      <c r="C124" s="156" t="s">
        <v>4049</v>
      </c>
      <c r="D124" s="156" t="str">
        <f t="shared" si="1"/>
        <v>北縣重鑫店1</v>
      </c>
      <c r="E124" s="155">
        <v>1</v>
      </c>
      <c r="F124" s="155" t="s">
        <v>4050</v>
      </c>
      <c r="G124" s="156" t="s">
        <v>4051</v>
      </c>
      <c r="H124" s="155" t="s">
        <v>3666</v>
      </c>
      <c r="I124" s="157" t="s">
        <v>3674</v>
      </c>
      <c r="J124" s="158" t="s">
        <v>7</v>
      </c>
      <c r="K124" s="159" t="s">
        <v>3668</v>
      </c>
      <c r="L124" s="155"/>
      <c r="M124" s="158"/>
      <c r="N124" s="210" t="s">
        <v>3669</v>
      </c>
    </row>
    <row r="125" spans="1:14" ht="22.95" customHeight="1">
      <c r="A125" s="155" t="s">
        <v>4052</v>
      </c>
      <c r="B125" s="155">
        <v>2321</v>
      </c>
      <c r="C125" s="156" t="s">
        <v>4049</v>
      </c>
      <c r="D125" s="156" t="str">
        <f t="shared" si="1"/>
        <v>北縣重鑫店2</v>
      </c>
      <c r="E125" s="155">
        <v>2</v>
      </c>
      <c r="F125" s="155" t="s">
        <v>4053</v>
      </c>
      <c r="G125" s="156" t="s">
        <v>4054</v>
      </c>
      <c r="H125" s="155" t="s">
        <v>3666</v>
      </c>
      <c r="I125" s="157" t="s">
        <v>3674</v>
      </c>
      <c r="J125" s="158" t="s">
        <v>7</v>
      </c>
      <c r="K125" s="159" t="s">
        <v>3668</v>
      </c>
      <c r="L125" s="155"/>
      <c r="M125" s="158"/>
      <c r="N125" s="210" t="s">
        <v>3669</v>
      </c>
    </row>
    <row r="126" spans="1:14" ht="22.95" customHeight="1">
      <c r="A126" s="155" t="s">
        <v>4055</v>
      </c>
      <c r="B126" s="155" t="s">
        <v>72</v>
      </c>
      <c r="C126" s="156" t="s">
        <v>438</v>
      </c>
      <c r="D126" s="156" t="str">
        <f t="shared" si="1"/>
        <v>北縣溪尾二店1</v>
      </c>
      <c r="E126" s="155">
        <v>1</v>
      </c>
      <c r="F126" s="155" t="s">
        <v>4056</v>
      </c>
      <c r="G126" s="156" t="s">
        <v>4057</v>
      </c>
      <c r="H126" s="155" t="s">
        <v>3673</v>
      </c>
      <c r="I126" s="157" t="s">
        <v>3674</v>
      </c>
      <c r="J126" s="158" t="s">
        <v>7</v>
      </c>
      <c r="K126" s="159" t="s">
        <v>3668</v>
      </c>
      <c r="L126" s="155"/>
      <c r="M126" s="158"/>
      <c r="N126" s="210" t="s">
        <v>3669</v>
      </c>
    </row>
    <row r="127" spans="1:14" ht="22.95" customHeight="1">
      <c r="A127" s="155" t="s">
        <v>4058</v>
      </c>
      <c r="B127" s="155" t="s">
        <v>72</v>
      </c>
      <c r="C127" s="156" t="s">
        <v>438</v>
      </c>
      <c r="D127" s="156" t="str">
        <f t="shared" si="1"/>
        <v>北縣溪尾二店2</v>
      </c>
      <c r="E127" s="155">
        <v>2</v>
      </c>
      <c r="F127" s="155" t="s">
        <v>4059</v>
      </c>
      <c r="G127" s="156" t="s">
        <v>4060</v>
      </c>
      <c r="H127" s="155" t="s">
        <v>3673</v>
      </c>
      <c r="I127" s="157" t="s">
        <v>3674</v>
      </c>
      <c r="J127" s="158" t="s">
        <v>7</v>
      </c>
      <c r="K127" s="159" t="s">
        <v>3668</v>
      </c>
      <c r="L127" s="155"/>
      <c r="M127" s="158"/>
      <c r="N127" s="210" t="s">
        <v>3669</v>
      </c>
    </row>
    <row r="128" spans="1:14" ht="22.95" customHeight="1">
      <c r="A128" s="155" t="s">
        <v>4061</v>
      </c>
      <c r="B128" s="155">
        <v>2535</v>
      </c>
      <c r="C128" s="156" t="s">
        <v>974</v>
      </c>
      <c r="D128" s="156" t="str">
        <f t="shared" si="1"/>
        <v>五股五工店1</v>
      </c>
      <c r="E128" s="155">
        <v>1</v>
      </c>
      <c r="F128" s="155" t="s">
        <v>4062</v>
      </c>
      <c r="G128" s="156" t="s">
        <v>4063</v>
      </c>
      <c r="H128" s="155" t="s">
        <v>3716</v>
      </c>
      <c r="I128" s="157" t="s">
        <v>3674</v>
      </c>
      <c r="J128" s="158" t="s">
        <v>10</v>
      </c>
      <c r="K128" s="159" t="s">
        <v>3668</v>
      </c>
      <c r="L128" s="155"/>
      <c r="M128" s="158"/>
      <c r="N128" s="210" t="s">
        <v>3669</v>
      </c>
    </row>
    <row r="129" spans="1:14" ht="22.95" customHeight="1">
      <c r="A129" s="155" t="s">
        <v>4064</v>
      </c>
      <c r="B129" s="155" t="s">
        <v>76</v>
      </c>
      <c r="C129" s="156" t="s">
        <v>203</v>
      </c>
      <c r="D129" s="156" t="str">
        <f t="shared" si="1"/>
        <v>五股訓練教室1</v>
      </c>
      <c r="E129" s="155">
        <v>1</v>
      </c>
      <c r="F129" s="155" t="s">
        <v>4065</v>
      </c>
      <c r="G129" s="156" t="s">
        <v>4066</v>
      </c>
      <c r="H129" s="155" t="s">
        <v>3673</v>
      </c>
      <c r="I129" s="157" t="s">
        <v>3674</v>
      </c>
      <c r="J129" s="158" t="s">
        <v>10</v>
      </c>
      <c r="K129" s="159" t="s">
        <v>3668</v>
      </c>
      <c r="L129" s="155" t="s">
        <v>77</v>
      </c>
      <c r="M129" s="158"/>
      <c r="N129" s="210" t="s">
        <v>3669</v>
      </c>
    </row>
    <row r="130" spans="1:14" ht="22.95" customHeight="1">
      <c r="A130" s="155" t="s">
        <v>4067</v>
      </c>
      <c r="B130" s="155">
        <v>3227</v>
      </c>
      <c r="C130" s="156" t="s">
        <v>959</v>
      </c>
      <c r="D130" s="156" t="str">
        <f t="shared" ref="D130:D193" si="2">C130&amp;E130</f>
        <v>五股四維店2</v>
      </c>
      <c r="E130" s="155">
        <v>2</v>
      </c>
      <c r="F130" s="155" t="s">
        <v>4068</v>
      </c>
      <c r="G130" s="156" t="s">
        <v>4069</v>
      </c>
      <c r="H130" s="155" t="s">
        <v>3666</v>
      </c>
      <c r="I130" s="157" t="s">
        <v>3674</v>
      </c>
      <c r="J130" s="158" t="s">
        <v>10</v>
      </c>
      <c r="K130" s="159" t="s">
        <v>3668</v>
      </c>
      <c r="L130" s="155"/>
      <c r="M130" s="158"/>
      <c r="N130" s="210" t="s">
        <v>3669</v>
      </c>
    </row>
    <row r="131" spans="1:14" ht="22.95" customHeight="1">
      <c r="A131" s="155" t="s">
        <v>4070</v>
      </c>
      <c r="B131" s="155">
        <v>4801</v>
      </c>
      <c r="C131" s="156" t="s">
        <v>3048</v>
      </c>
      <c r="D131" s="156" t="str">
        <f t="shared" si="2"/>
        <v>五股成州店1</v>
      </c>
      <c r="E131" s="155">
        <v>1</v>
      </c>
      <c r="F131" s="155" t="s">
        <v>4071</v>
      </c>
      <c r="G131" s="156" t="s">
        <v>4072</v>
      </c>
      <c r="H131" s="155" t="s">
        <v>3716</v>
      </c>
      <c r="I131" s="157" t="s">
        <v>3674</v>
      </c>
      <c r="J131" s="158" t="s">
        <v>10</v>
      </c>
      <c r="K131" s="159" t="s">
        <v>3668</v>
      </c>
      <c r="L131" s="155"/>
      <c r="M131" s="158"/>
      <c r="N131" s="210" t="s">
        <v>3669</v>
      </c>
    </row>
    <row r="132" spans="1:14" ht="22.95" customHeight="1">
      <c r="A132" s="155" t="s">
        <v>4073</v>
      </c>
      <c r="B132" s="155">
        <v>4801</v>
      </c>
      <c r="C132" s="156" t="s">
        <v>3048</v>
      </c>
      <c r="D132" s="156" t="str">
        <f t="shared" si="2"/>
        <v>五股成州店2</v>
      </c>
      <c r="E132" s="155">
        <v>2</v>
      </c>
      <c r="F132" s="155" t="s">
        <v>4074</v>
      </c>
      <c r="G132" s="156" t="s">
        <v>4075</v>
      </c>
      <c r="H132" s="155" t="s">
        <v>3716</v>
      </c>
      <c r="I132" s="157" t="s">
        <v>3674</v>
      </c>
      <c r="J132" s="158" t="s">
        <v>10</v>
      </c>
      <c r="K132" s="159" t="s">
        <v>3668</v>
      </c>
      <c r="L132" s="155"/>
      <c r="M132" s="158"/>
      <c r="N132" s="210" t="s">
        <v>3669</v>
      </c>
    </row>
    <row r="133" spans="1:14" ht="22.95" customHeight="1">
      <c r="A133" s="155" t="s">
        <v>4076</v>
      </c>
      <c r="B133" s="155">
        <v>4819</v>
      </c>
      <c r="C133" s="156" t="s">
        <v>3051</v>
      </c>
      <c r="D133" s="156" t="str">
        <f t="shared" si="2"/>
        <v>五股凌雲店1</v>
      </c>
      <c r="E133" s="155">
        <v>1</v>
      </c>
      <c r="F133" s="155" t="s">
        <v>4077</v>
      </c>
      <c r="G133" s="156" t="s">
        <v>4078</v>
      </c>
      <c r="H133" s="155" t="s">
        <v>3673</v>
      </c>
      <c r="I133" s="157" t="s">
        <v>3674</v>
      </c>
      <c r="J133" s="158" t="s">
        <v>10</v>
      </c>
      <c r="K133" s="159" t="s">
        <v>3668</v>
      </c>
      <c r="L133" s="155"/>
      <c r="M133" s="158"/>
      <c r="N133" s="210" t="s">
        <v>3669</v>
      </c>
    </row>
    <row r="134" spans="1:14" ht="22.95" customHeight="1">
      <c r="A134" s="155" t="s">
        <v>4079</v>
      </c>
      <c r="B134" s="155">
        <v>4819</v>
      </c>
      <c r="C134" s="156" t="s">
        <v>3051</v>
      </c>
      <c r="D134" s="156" t="str">
        <f t="shared" si="2"/>
        <v>五股凌雲店2</v>
      </c>
      <c r="E134" s="155">
        <v>2</v>
      </c>
      <c r="F134" s="155" t="s">
        <v>4080</v>
      </c>
      <c r="G134" s="156" t="s">
        <v>4081</v>
      </c>
      <c r="H134" s="155" t="s">
        <v>3673</v>
      </c>
      <c r="I134" s="157" t="s">
        <v>3674</v>
      </c>
      <c r="J134" s="158" t="s">
        <v>10</v>
      </c>
      <c r="K134" s="159" t="s">
        <v>3668</v>
      </c>
      <c r="L134" s="155"/>
      <c r="M134" s="158"/>
      <c r="N134" s="210" t="s">
        <v>3669</v>
      </c>
    </row>
    <row r="135" spans="1:14" ht="22.95" customHeight="1">
      <c r="A135" s="155" t="s">
        <v>4082</v>
      </c>
      <c r="B135" s="155">
        <v>2390</v>
      </c>
      <c r="C135" s="156" t="s">
        <v>3027</v>
      </c>
      <c r="D135" s="156" t="str">
        <f t="shared" si="2"/>
        <v>五股產業園區2</v>
      </c>
      <c r="E135" s="155">
        <v>2</v>
      </c>
      <c r="F135" s="155" t="s">
        <v>4083</v>
      </c>
      <c r="G135" s="156" t="s">
        <v>4084</v>
      </c>
      <c r="H135" s="155" t="s">
        <v>3716</v>
      </c>
      <c r="I135" s="157" t="s">
        <v>3674</v>
      </c>
      <c r="J135" s="158" t="s">
        <v>10</v>
      </c>
      <c r="K135" s="159" t="s">
        <v>3668</v>
      </c>
      <c r="L135" s="155"/>
      <c r="M135" s="158"/>
      <c r="N135" s="210" t="s">
        <v>3669</v>
      </c>
    </row>
    <row r="136" spans="1:14" ht="22.95" customHeight="1">
      <c r="A136" s="155" t="s">
        <v>4085</v>
      </c>
      <c r="B136" s="155">
        <v>3921</v>
      </c>
      <c r="C136" s="156" t="s">
        <v>3042</v>
      </c>
      <c r="D136" s="156" t="str">
        <f t="shared" si="2"/>
        <v>五股福鑫店1</v>
      </c>
      <c r="E136" s="155">
        <v>1</v>
      </c>
      <c r="F136" s="155" t="s">
        <v>4086</v>
      </c>
      <c r="G136" s="156" t="s">
        <v>4087</v>
      </c>
      <c r="H136" s="155" t="s">
        <v>3673</v>
      </c>
      <c r="I136" s="157" t="s">
        <v>3674</v>
      </c>
      <c r="J136" s="158" t="s">
        <v>10</v>
      </c>
      <c r="K136" s="159" t="s">
        <v>3668</v>
      </c>
      <c r="L136" s="155"/>
      <c r="M136" s="158"/>
      <c r="N136" s="210" t="s">
        <v>3669</v>
      </c>
    </row>
    <row r="137" spans="1:14" ht="22.95" customHeight="1">
      <c r="A137" s="155" t="s">
        <v>4088</v>
      </c>
      <c r="B137" s="155">
        <v>3921</v>
      </c>
      <c r="C137" s="156" t="s">
        <v>3042</v>
      </c>
      <c r="D137" s="156" t="str">
        <f t="shared" si="2"/>
        <v>五股福鑫店2</v>
      </c>
      <c r="E137" s="155">
        <v>2</v>
      </c>
      <c r="F137" s="155" t="s">
        <v>4089</v>
      </c>
      <c r="G137" s="156"/>
      <c r="H137" s="155" t="s">
        <v>3673</v>
      </c>
      <c r="I137" s="157" t="s">
        <v>3674</v>
      </c>
      <c r="J137" s="158" t="s">
        <v>10</v>
      </c>
      <c r="K137" s="159" t="s">
        <v>3668</v>
      </c>
      <c r="L137" s="155"/>
      <c r="M137" s="158"/>
      <c r="N137" s="210" t="s">
        <v>3669</v>
      </c>
    </row>
    <row r="138" spans="1:14" ht="22.95" customHeight="1">
      <c r="A138" s="155" t="s">
        <v>4090</v>
      </c>
      <c r="B138" s="155">
        <v>2691</v>
      </c>
      <c r="C138" s="156" t="s">
        <v>762</v>
      </c>
      <c r="D138" s="156" t="str">
        <f t="shared" si="2"/>
        <v>五股興珍店1</v>
      </c>
      <c r="E138" s="155">
        <v>1</v>
      </c>
      <c r="F138" s="155" t="s">
        <v>4091</v>
      </c>
      <c r="G138" s="156" t="s">
        <v>4092</v>
      </c>
      <c r="H138" s="155" t="s">
        <v>3673</v>
      </c>
      <c r="I138" s="157" t="s">
        <v>3674</v>
      </c>
      <c r="J138" s="158" t="s">
        <v>10</v>
      </c>
      <c r="K138" s="159" t="s">
        <v>3668</v>
      </c>
      <c r="L138" s="155"/>
      <c r="M138" s="158"/>
      <c r="N138" s="210" t="s">
        <v>3669</v>
      </c>
    </row>
    <row r="139" spans="1:14" ht="22.95" customHeight="1">
      <c r="A139" s="155" t="s">
        <v>4093</v>
      </c>
      <c r="B139" s="155">
        <v>2691</v>
      </c>
      <c r="C139" s="156" t="s">
        <v>762</v>
      </c>
      <c r="D139" s="156" t="str">
        <f t="shared" si="2"/>
        <v>五股興珍店2</v>
      </c>
      <c r="E139" s="155">
        <v>2</v>
      </c>
      <c r="F139" s="155" t="s">
        <v>4094</v>
      </c>
      <c r="G139" s="156" t="s">
        <v>4095</v>
      </c>
      <c r="H139" s="155" t="s">
        <v>3673</v>
      </c>
      <c r="I139" s="157" t="s">
        <v>3674</v>
      </c>
      <c r="J139" s="158" t="s">
        <v>10</v>
      </c>
      <c r="K139" s="159" t="s">
        <v>3668</v>
      </c>
      <c r="L139" s="155"/>
      <c r="M139" s="158"/>
      <c r="N139" s="210" t="s">
        <v>3669</v>
      </c>
    </row>
    <row r="140" spans="1:14" ht="22.95" customHeight="1">
      <c r="A140" s="155" t="s">
        <v>4096</v>
      </c>
      <c r="B140" s="155">
        <v>2325</v>
      </c>
      <c r="C140" s="156" t="s">
        <v>3034</v>
      </c>
      <c r="D140" s="156" t="str">
        <f t="shared" si="2"/>
        <v>北縣五泰店1</v>
      </c>
      <c r="E140" s="155">
        <v>1</v>
      </c>
      <c r="F140" s="155" t="s">
        <v>4097</v>
      </c>
      <c r="G140" s="156" t="s">
        <v>4098</v>
      </c>
      <c r="H140" s="155" t="s">
        <v>3666</v>
      </c>
      <c r="I140" s="157" t="s">
        <v>3674</v>
      </c>
      <c r="J140" s="158" t="s">
        <v>10</v>
      </c>
      <c r="K140" s="159" t="s">
        <v>3668</v>
      </c>
      <c r="L140" s="155"/>
      <c r="M140" s="158"/>
      <c r="N140" s="210" t="s">
        <v>3669</v>
      </c>
    </row>
    <row r="141" spans="1:14" ht="22.95" customHeight="1">
      <c r="A141" s="155" t="s">
        <v>4099</v>
      </c>
      <c r="B141" s="155">
        <v>2325</v>
      </c>
      <c r="C141" s="156" t="s">
        <v>3034</v>
      </c>
      <c r="D141" s="156" t="str">
        <f t="shared" si="2"/>
        <v>北縣五泰店2</v>
      </c>
      <c r="E141" s="155">
        <v>2</v>
      </c>
      <c r="F141" s="155" t="s">
        <v>4100</v>
      </c>
      <c r="G141" s="156" t="s">
        <v>4101</v>
      </c>
      <c r="H141" s="155" t="s">
        <v>3666</v>
      </c>
      <c r="I141" s="157" t="s">
        <v>3674</v>
      </c>
      <c r="J141" s="158" t="s">
        <v>10</v>
      </c>
      <c r="K141" s="159" t="s">
        <v>3668</v>
      </c>
      <c r="L141" s="155"/>
      <c r="M141" s="158"/>
      <c r="N141" s="210" t="s">
        <v>3669</v>
      </c>
    </row>
    <row r="142" spans="1:14" ht="22.95" customHeight="1">
      <c r="A142" s="155" t="s">
        <v>4102</v>
      </c>
      <c r="B142" s="155">
        <v>3770</v>
      </c>
      <c r="C142" s="156" t="s">
        <v>3039</v>
      </c>
      <c r="D142" s="156" t="str">
        <f t="shared" si="2"/>
        <v>北縣西雲店2</v>
      </c>
      <c r="E142" s="155">
        <v>2</v>
      </c>
      <c r="F142" s="155" t="s">
        <v>4103</v>
      </c>
      <c r="G142" s="156" t="s">
        <v>4104</v>
      </c>
      <c r="H142" s="155" t="s">
        <v>3673</v>
      </c>
      <c r="I142" s="157" t="s">
        <v>3674</v>
      </c>
      <c r="J142" s="158" t="s">
        <v>10</v>
      </c>
      <c r="K142" s="159" t="s">
        <v>3668</v>
      </c>
      <c r="L142" s="155"/>
      <c r="M142" s="158"/>
      <c r="N142" s="210" t="s">
        <v>3669</v>
      </c>
    </row>
    <row r="143" spans="1:14" ht="22.95" customHeight="1">
      <c r="A143" s="155" t="s">
        <v>4105</v>
      </c>
      <c r="B143" s="155">
        <v>4845</v>
      </c>
      <c r="C143" s="156" t="s">
        <v>2725</v>
      </c>
      <c r="D143" s="156" t="str">
        <f t="shared" si="2"/>
        <v>石門海角店1</v>
      </c>
      <c r="E143" s="155">
        <v>1</v>
      </c>
      <c r="F143" s="155" t="s">
        <v>4106</v>
      </c>
      <c r="G143" s="156" t="s">
        <v>4107</v>
      </c>
      <c r="H143" s="155" t="s">
        <v>3673</v>
      </c>
      <c r="I143" s="157" t="s">
        <v>3674</v>
      </c>
      <c r="J143" s="158" t="s">
        <v>1</v>
      </c>
      <c r="K143" s="159" t="s">
        <v>3668</v>
      </c>
      <c r="L143" s="155"/>
      <c r="M143" s="158"/>
      <c r="N143" s="210" t="s">
        <v>3669</v>
      </c>
    </row>
    <row r="144" spans="1:14" ht="22.95" customHeight="1">
      <c r="A144" s="155" t="s">
        <v>4108</v>
      </c>
      <c r="B144" s="155">
        <v>4845</v>
      </c>
      <c r="C144" s="156" t="s">
        <v>2725</v>
      </c>
      <c r="D144" s="156" t="str">
        <f t="shared" si="2"/>
        <v>石門海角店2</v>
      </c>
      <c r="E144" s="155">
        <v>2</v>
      </c>
      <c r="F144" s="155" t="s">
        <v>4109</v>
      </c>
      <c r="G144" s="156" t="s">
        <v>4110</v>
      </c>
      <c r="H144" s="155" t="s">
        <v>3673</v>
      </c>
      <c r="I144" s="157" t="s">
        <v>3674</v>
      </c>
      <c r="J144" s="158" t="s">
        <v>1</v>
      </c>
      <c r="K144" s="159" t="s">
        <v>3668</v>
      </c>
      <c r="L144" s="155"/>
      <c r="M144" s="158"/>
      <c r="N144" s="210" t="s">
        <v>3669</v>
      </c>
    </row>
    <row r="145" spans="1:14" ht="22.95" customHeight="1">
      <c r="A145" s="155" t="s">
        <v>4111</v>
      </c>
      <c r="B145" s="155">
        <v>3752</v>
      </c>
      <c r="C145" s="156" t="s">
        <v>986</v>
      </c>
      <c r="D145" s="156" t="str">
        <f t="shared" si="2"/>
        <v>板橋豫章店1</v>
      </c>
      <c r="E145" s="155">
        <v>1</v>
      </c>
      <c r="F145" s="155" t="s">
        <v>4112</v>
      </c>
      <c r="G145" s="156" t="s">
        <v>4113</v>
      </c>
      <c r="H145" s="155" t="s">
        <v>3666</v>
      </c>
      <c r="I145" s="157" t="s">
        <v>3674</v>
      </c>
      <c r="J145" s="158" t="s">
        <v>14</v>
      </c>
      <c r="K145" s="159" t="s">
        <v>3668</v>
      </c>
      <c r="L145" s="155" t="s">
        <v>57</v>
      </c>
      <c r="M145" s="158"/>
      <c r="N145" s="210" t="s">
        <v>3669</v>
      </c>
    </row>
    <row r="146" spans="1:14" ht="22.95" customHeight="1">
      <c r="A146" s="155" t="s">
        <v>4114</v>
      </c>
      <c r="B146" s="155">
        <v>3752</v>
      </c>
      <c r="C146" s="156" t="s">
        <v>986</v>
      </c>
      <c r="D146" s="156" t="str">
        <f t="shared" si="2"/>
        <v>板橋豫章店2</v>
      </c>
      <c r="E146" s="155">
        <v>2</v>
      </c>
      <c r="F146" s="155" t="s">
        <v>4115</v>
      </c>
      <c r="G146" s="156" t="s">
        <v>4116</v>
      </c>
      <c r="H146" s="155" t="s">
        <v>3666</v>
      </c>
      <c r="I146" s="157" t="s">
        <v>3674</v>
      </c>
      <c r="J146" s="158" t="s">
        <v>14</v>
      </c>
      <c r="K146" s="159" t="s">
        <v>3668</v>
      </c>
      <c r="L146" s="155" t="s">
        <v>57</v>
      </c>
      <c r="M146" s="158"/>
      <c r="N146" s="210" t="s">
        <v>3669</v>
      </c>
    </row>
    <row r="147" spans="1:14" ht="22.95" customHeight="1">
      <c r="A147" s="155" t="s">
        <v>4117</v>
      </c>
      <c r="B147" s="155" t="s">
        <v>88</v>
      </c>
      <c r="C147" s="156" t="s">
        <v>2990</v>
      </c>
      <c r="D147" s="156" t="str">
        <f t="shared" si="2"/>
        <v>北縣府中店1</v>
      </c>
      <c r="E147" s="155">
        <v>1</v>
      </c>
      <c r="F147" s="155" t="s">
        <v>4118</v>
      </c>
      <c r="G147" s="156" t="s">
        <v>4119</v>
      </c>
      <c r="H147" s="155" t="s">
        <v>3673</v>
      </c>
      <c r="I147" s="157" t="s">
        <v>3674</v>
      </c>
      <c r="J147" s="158" t="s">
        <v>14</v>
      </c>
      <c r="K147" s="159" t="s">
        <v>3668</v>
      </c>
      <c r="L147" s="155"/>
      <c r="M147" s="158"/>
      <c r="N147" s="210" t="s">
        <v>3669</v>
      </c>
    </row>
    <row r="148" spans="1:14" ht="22.95" customHeight="1">
      <c r="A148" s="155" t="s">
        <v>4120</v>
      </c>
      <c r="B148" s="155" t="s">
        <v>88</v>
      </c>
      <c r="C148" s="156" t="s">
        <v>2990</v>
      </c>
      <c r="D148" s="156" t="str">
        <f t="shared" si="2"/>
        <v>北縣府中店2</v>
      </c>
      <c r="E148" s="155">
        <v>2</v>
      </c>
      <c r="F148" s="155" t="s">
        <v>4121</v>
      </c>
      <c r="G148" s="156" t="s">
        <v>4122</v>
      </c>
      <c r="H148" s="155" t="s">
        <v>3673</v>
      </c>
      <c r="I148" s="157" t="s">
        <v>3674</v>
      </c>
      <c r="J148" s="158" t="s">
        <v>14</v>
      </c>
      <c r="K148" s="159" t="s">
        <v>3668</v>
      </c>
      <c r="L148" s="155"/>
      <c r="M148" s="158"/>
      <c r="N148" s="210" t="s">
        <v>3669</v>
      </c>
    </row>
    <row r="149" spans="1:14" ht="22.95" customHeight="1">
      <c r="A149" s="155" t="s">
        <v>4123</v>
      </c>
      <c r="B149" s="155">
        <v>3183</v>
      </c>
      <c r="C149" s="156" t="s">
        <v>4124</v>
      </c>
      <c r="D149" s="156" t="str">
        <f t="shared" si="2"/>
        <v>北縣板好店1</v>
      </c>
      <c r="E149" s="155">
        <v>1</v>
      </c>
      <c r="F149" s="155" t="s">
        <v>4125</v>
      </c>
      <c r="G149" s="156" t="s">
        <v>4126</v>
      </c>
      <c r="H149" s="155" t="s">
        <v>3673</v>
      </c>
      <c r="I149" s="157" t="s">
        <v>3674</v>
      </c>
      <c r="J149" s="158" t="s">
        <v>14</v>
      </c>
      <c r="K149" s="159" t="s">
        <v>3668</v>
      </c>
      <c r="L149" s="155"/>
      <c r="M149" s="158"/>
      <c r="N149" s="210" t="s">
        <v>3669</v>
      </c>
    </row>
    <row r="150" spans="1:14" ht="22.95" customHeight="1">
      <c r="A150" s="155" t="s">
        <v>4127</v>
      </c>
      <c r="B150" s="155">
        <v>3183</v>
      </c>
      <c r="C150" s="156" t="s">
        <v>4124</v>
      </c>
      <c r="D150" s="156" t="str">
        <f t="shared" si="2"/>
        <v>北縣板好店2</v>
      </c>
      <c r="E150" s="155">
        <v>2</v>
      </c>
      <c r="F150" s="155" t="s">
        <v>4128</v>
      </c>
      <c r="G150" s="156" t="s">
        <v>4129</v>
      </c>
      <c r="H150" s="155" t="s">
        <v>3716</v>
      </c>
      <c r="I150" s="157" t="s">
        <v>3667</v>
      </c>
      <c r="J150" s="158" t="s">
        <v>14</v>
      </c>
      <c r="K150" s="159" t="s">
        <v>3668</v>
      </c>
      <c r="L150" s="155"/>
      <c r="M150" s="158"/>
      <c r="N150" s="210" t="s">
        <v>3669</v>
      </c>
    </row>
    <row r="151" spans="1:14" ht="22.95" customHeight="1">
      <c r="A151" s="155" t="s">
        <v>4130</v>
      </c>
      <c r="B151" s="155">
        <v>3147</v>
      </c>
      <c r="C151" s="156" t="s">
        <v>2972</v>
      </c>
      <c r="D151" s="156" t="str">
        <f t="shared" si="2"/>
        <v>北縣板明店2</v>
      </c>
      <c r="E151" s="155">
        <v>2</v>
      </c>
      <c r="F151" s="155" t="s">
        <v>4131</v>
      </c>
      <c r="G151" s="156" t="s">
        <v>4132</v>
      </c>
      <c r="H151" s="155" t="s">
        <v>3673</v>
      </c>
      <c r="I151" s="157" t="s">
        <v>3674</v>
      </c>
      <c r="J151" s="158" t="s">
        <v>14</v>
      </c>
      <c r="K151" s="159" t="s">
        <v>3668</v>
      </c>
      <c r="L151" s="155"/>
      <c r="M151" s="158"/>
      <c r="N151" s="210" t="s">
        <v>3669</v>
      </c>
    </row>
    <row r="152" spans="1:14" ht="22.95" customHeight="1">
      <c r="A152" s="155" t="s">
        <v>4133</v>
      </c>
      <c r="B152" s="155">
        <v>2746</v>
      </c>
      <c r="C152" s="156" t="s">
        <v>2956</v>
      </c>
      <c r="D152" s="156" t="str">
        <f t="shared" si="2"/>
        <v>北縣板嘉店1</v>
      </c>
      <c r="E152" s="155">
        <v>1</v>
      </c>
      <c r="F152" s="155" t="s">
        <v>4134</v>
      </c>
      <c r="G152" s="156" t="s">
        <v>4135</v>
      </c>
      <c r="H152" s="155" t="s">
        <v>3666</v>
      </c>
      <c r="I152" s="157" t="s">
        <v>3674</v>
      </c>
      <c r="J152" s="158" t="s">
        <v>14</v>
      </c>
      <c r="K152" s="159" t="s">
        <v>3668</v>
      </c>
      <c r="L152" s="155"/>
      <c r="M152" s="158"/>
      <c r="N152" s="210" t="s">
        <v>3669</v>
      </c>
    </row>
    <row r="153" spans="1:14" ht="22.95" customHeight="1">
      <c r="A153" s="155" t="s">
        <v>4136</v>
      </c>
      <c r="B153" s="155">
        <v>2746</v>
      </c>
      <c r="C153" s="156" t="s">
        <v>2956</v>
      </c>
      <c r="D153" s="156" t="str">
        <f t="shared" si="2"/>
        <v>北縣板嘉店2</v>
      </c>
      <c r="E153" s="155">
        <v>2</v>
      </c>
      <c r="F153" s="155" t="s">
        <v>4137</v>
      </c>
      <c r="G153" s="156" t="s">
        <v>4138</v>
      </c>
      <c r="H153" s="155" t="s">
        <v>3716</v>
      </c>
      <c r="I153" s="157" t="s">
        <v>3674</v>
      </c>
      <c r="J153" s="158" t="s">
        <v>14</v>
      </c>
      <c r="K153" s="159" t="s">
        <v>3668</v>
      </c>
      <c r="L153" s="155"/>
      <c r="M153" s="158"/>
      <c r="N153" s="210" t="s">
        <v>3669</v>
      </c>
    </row>
    <row r="154" spans="1:14" ht="22.95" customHeight="1">
      <c r="A154" s="155" t="s">
        <v>4139</v>
      </c>
      <c r="B154" s="155">
        <v>2422</v>
      </c>
      <c r="C154" s="156" t="s">
        <v>543</v>
      </c>
      <c r="D154" s="156" t="str">
        <f t="shared" si="2"/>
        <v>北縣板億店1</v>
      </c>
      <c r="E154" s="155">
        <v>1</v>
      </c>
      <c r="F154" s="155" t="s">
        <v>4140</v>
      </c>
      <c r="G154" s="156" t="s">
        <v>4141</v>
      </c>
      <c r="H154" s="155" t="s">
        <v>3666</v>
      </c>
      <c r="I154" s="157" t="s">
        <v>3674</v>
      </c>
      <c r="J154" s="158" t="s">
        <v>14</v>
      </c>
      <c r="K154" s="159" t="s">
        <v>3668</v>
      </c>
      <c r="L154" s="155"/>
      <c r="M154" s="158"/>
      <c r="N154" s="210" t="s">
        <v>3669</v>
      </c>
    </row>
    <row r="155" spans="1:14" ht="22.95" customHeight="1">
      <c r="A155" s="155" t="s">
        <v>4142</v>
      </c>
      <c r="B155" s="155">
        <v>2422</v>
      </c>
      <c r="C155" s="156" t="s">
        <v>543</v>
      </c>
      <c r="D155" s="156" t="str">
        <f t="shared" si="2"/>
        <v>北縣板億店2</v>
      </c>
      <c r="E155" s="155">
        <v>2</v>
      </c>
      <c r="F155" s="155" t="s">
        <v>4143</v>
      </c>
      <c r="G155" s="156" t="s">
        <v>4144</v>
      </c>
      <c r="H155" s="155" t="s">
        <v>3666</v>
      </c>
      <c r="I155" s="157" t="s">
        <v>3674</v>
      </c>
      <c r="J155" s="158" t="s">
        <v>14</v>
      </c>
      <c r="K155" s="159" t="s">
        <v>3668</v>
      </c>
      <c r="L155" s="155"/>
      <c r="M155" s="158"/>
      <c r="N155" s="210" t="s">
        <v>3669</v>
      </c>
    </row>
    <row r="156" spans="1:14" ht="22.95" customHeight="1">
      <c r="A156" s="155" t="s">
        <v>4145</v>
      </c>
      <c r="B156" s="155">
        <v>2403</v>
      </c>
      <c r="C156" s="156" t="s">
        <v>4146</v>
      </c>
      <c r="D156" s="156" t="str">
        <f t="shared" si="2"/>
        <v>北縣板龍店1</v>
      </c>
      <c r="E156" s="155">
        <v>1</v>
      </c>
      <c r="F156" s="155" t="s">
        <v>4147</v>
      </c>
      <c r="G156" s="156" t="s">
        <v>4148</v>
      </c>
      <c r="H156" s="155" t="s">
        <v>3716</v>
      </c>
      <c r="I156" s="157" t="s">
        <v>3674</v>
      </c>
      <c r="J156" s="158" t="s">
        <v>14</v>
      </c>
      <c r="K156" s="159" t="s">
        <v>3668</v>
      </c>
      <c r="L156" s="155"/>
      <c r="M156" s="158"/>
      <c r="N156" s="210" t="s">
        <v>3669</v>
      </c>
    </row>
    <row r="157" spans="1:14" ht="22.95" customHeight="1">
      <c r="A157" s="155" t="s">
        <v>4149</v>
      </c>
      <c r="B157" s="155">
        <v>2403</v>
      </c>
      <c r="C157" s="156" t="s">
        <v>4146</v>
      </c>
      <c r="D157" s="156" t="str">
        <f t="shared" si="2"/>
        <v>北縣板龍店2</v>
      </c>
      <c r="E157" s="155">
        <v>2</v>
      </c>
      <c r="F157" s="155" t="s">
        <v>4150</v>
      </c>
      <c r="G157" s="156" t="s">
        <v>4151</v>
      </c>
      <c r="H157" s="155" t="s">
        <v>3716</v>
      </c>
      <c r="I157" s="157" t="s">
        <v>3667</v>
      </c>
      <c r="J157" s="158" t="s">
        <v>14</v>
      </c>
      <c r="K157" s="159" t="s">
        <v>3668</v>
      </c>
      <c r="L157" s="155"/>
      <c r="M157" s="158"/>
      <c r="N157" s="210" t="s">
        <v>3669</v>
      </c>
    </row>
    <row r="158" spans="1:14" ht="22.95" customHeight="1">
      <c r="A158" s="155" t="s">
        <v>4152</v>
      </c>
      <c r="B158" s="155">
        <v>3551</v>
      </c>
      <c r="C158" s="156" t="s">
        <v>4153</v>
      </c>
      <c r="D158" s="156" t="str">
        <f t="shared" si="2"/>
        <v>北縣板豐店1</v>
      </c>
      <c r="E158" s="155">
        <v>1</v>
      </c>
      <c r="F158" s="155" t="s">
        <v>4154</v>
      </c>
      <c r="G158" s="156" t="s">
        <v>4155</v>
      </c>
      <c r="H158" s="155" t="s">
        <v>3673</v>
      </c>
      <c r="I158" s="157" t="s">
        <v>3674</v>
      </c>
      <c r="J158" s="158" t="s">
        <v>14</v>
      </c>
      <c r="K158" s="159" t="s">
        <v>3668</v>
      </c>
      <c r="L158" s="155"/>
      <c r="M158" s="158"/>
      <c r="N158" s="210" t="s">
        <v>3669</v>
      </c>
    </row>
    <row r="159" spans="1:14" ht="22.95" customHeight="1">
      <c r="A159" s="155" t="s">
        <v>4156</v>
      </c>
      <c r="B159" s="155">
        <v>3551</v>
      </c>
      <c r="C159" s="156" t="s">
        <v>4153</v>
      </c>
      <c r="D159" s="156" t="str">
        <f t="shared" si="2"/>
        <v>北縣板豐店2</v>
      </c>
      <c r="E159" s="155">
        <v>2</v>
      </c>
      <c r="F159" s="155" t="s">
        <v>4157</v>
      </c>
      <c r="G159" s="156" t="s">
        <v>4158</v>
      </c>
      <c r="H159" s="155" t="s">
        <v>3673</v>
      </c>
      <c r="I159" s="157" t="s">
        <v>3667</v>
      </c>
      <c r="J159" s="158" t="s">
        <v>14</v>
      </c>
      <c r="K159" s="159" t="s">
        <v>3668</v>
      </c>
      <c r="L159" s="155"/>
      <c r="M159" s="158"/>
      <c r="N159" s="210" t="s">
        <v>3669</v>
      </c>
    </row>
    <row r="160" spans="1:14" ht="22.95" customHeight="1">
      <c r="A160" s="155" t="s">
        <v>4159</v>
      </c>
      <c r="B160" s="155" t="s">
        <v>66</v>
      </c>
      <c r="C160" s="156" t="s">
        <v>3015</v>
      </c>
      <c r="D160" s="156" t="str">
        <f t="shared" si="2"/>
        <v>北縣僑中三店1</v>
      </c>
      <c r="E160" s="155">
        <v>1</v>
      </c>
      <c r="F160" s="155" t="s">
        <v>4160</v>
      </c>
      <c r="G160" s="156" t="s">
        <v>4161</v>
      </c>
      <c r="H160" s="155" t="s">
        <v>3666</v>
      </c>
      <c r="I160" s="157" t="s">
        <v>3674</v>
      </c>
      <c r="J160" s="158" t="s">
        <v>14</v>
      </c>
      <c r="K160" s="159" t="s">
        <v>3668</v>
      </c>
      <c r="L160" s="155"/>
      <c r="M160" s="158"/>
      <c r="N160" s="210" t="s">
        <v>3669</v>
      </c>
    </row>
    <row r="161" spans="1:14" ht="22.95" customHeight="1">
      <c r="A161" s="155" t="s">
        <v>4162</v>
      </c>
      <c r="B161" s="155" t="s">
        <v>66</v>
      </c>
      <c r="C161" s="156" t="s">
        <v>3015</v>
      </c>
      <c r="D161" s="156" t="str">
        <f t="shared" si="2"/>
        <v>北縣僑中三店2</v>
      </c>
      <c r="E161" s="155">
        <v>2</v>
      </c>
      <c r="F161" s="155" t="s">
        <v>4163</v>
      </c>
      <c r="G161" s="156"/>
      <c r="H161" s="155" t="s">
        <v>3666</v>
      </c>
      <c r="I161" s="157" t="s">
        <v>3674</v>
      </c>
      <c r="J161" s="158" t="s">
        <v>14</v>
      </c>
      <c r="K161" s="159" t="s">
        <v>3668</v>
      </c>
      <c r="L161" s="155"/>
      <c r="M161" s="158"/>
      <c r="N161" s="210" t="s">
        <v>3669</v>
      </c>
    </row>
    <row r="162" spans="1:14" ht="22.95" customHeight="1">
      <c r="A162" s="155" t="s">
        <v>4164</v>
      </c>
      <c r="B162" s="155" t="s">
        <v>67</v>
      </c>
      <c r="C162" s="156" t="s">
        <v>4165</v>
      </c>
      <c r="D162" s="156" t="str">
        <f t="shared" si="2"/>
        <v>北縣僑福店1</v>
      </c>
      <c r="E162" s="155">
        <v>1</v>
      </c>
      <c r="F162" s="155" t="s">
        <v>4166</v>
      </c>
      <c r="G162" s="156" t="s">
        <v>4167</v>
      </c>
      <c r="H162" s="155" t="s">
        <v>3666</v>
      </c>
      <c r="I162" s="157" t="s">
        <v>3674</v>
      </c>
      <c r="J162" s="158" t="s">
        <v>14</v>
      </c>
      <c r="K162" s="159" t="s">
        <v>3668</v>
      </c>
      <c r="L162" s="155"/>
      <c r="M162" s="158" t="s">
        <v>4168</v>
      </c>
      <c r="N162" s="210" t="s">
        <v>3669</v>
      </c>
    </row>
    <row r="163" spans="1:14" ht="22.95" customHeight="1">
      <c r="A163" s="155" t="s">
        <v>4169</v>
      </c>
      <c r="B163" s="155" t="s">
        <v>73</v>
      </c>
      <c r="C163" s="156" t="s">
        <v>535</v>
      </c>
      <c r="D163" s="156" t="str">
        <f t="shared" si="2"/>
        <v>板橋大興店1</v>
      </c>
      <c r="E163" s="155">
        <v>1</v>
      </c>
      <c r="F163" s="155" t="s">
        <v>4170</v>
      </c>
      <c r="G163" s="156" t="s">
        <v>4171</v>
      </c>
      <c r="H163" s="155" t="s">
        <v>3673</v>
      </c>
      <c r="I163" s="157" t="s">
        <v>3667</v>
      </c>
      <c r="J163" s="158" t="s">
        <v>14</v>
      </c>
      <c r="K163" s="159" t="s">
        <v>3668</v>
      </c>
      <c r="L163" s="155"/>
      <c r="M163" s="158"/>
      <c r="N163" s="210" t="s">
        <v>3669</v>
      </c>
    </row>
    <row r="164" spans="1:14" ht="22.95" customHeight="1">
      <c r="A164" s="155" t="s">
        <v>4172</v>
      </c>
      <c r="B164" s="155" t="s">
        <v>73</v>
      </c>
      <c r="C164" s="156" t="s">
        <v>535</v>
      </c>
      <c r="D164" s="156" t="str">
        <f t="shared" si="2"/>
        <v>板橋大興店2</v>
      </c>
      <c r="E164" s="155">
        <v>2</v>
      </c>
      <c r="F164" s="155" t="s">
        <v>4173</v>
      </c>
      <c r="G164" s="156" t="s">
        <v>4174</v>
      </c>
      <c r="H164" s="155" t="s">
        <v>3673</v>
      </c>
      <c r="I164" s="157" t="s">
        <v>3706</v>
      </c>
      <c r="J164" s="158" t="s">
        <v>14</v>
      </c>
      <c r="K164" s="159" t="s">
        <v>3668</v>
      </c>
      <c r="L164" s="155"/>
      <c r="M164" s="158"/>
      <c r="N164" s="210" t="s">
        <v>3669</v>
      </c>
    </row>
    <row r="165" spans="1:14" ht="22.95" customHeight="1">
      <c r="A165" s="155" t="s">
        <v>4175</v>
      </c>
      <c r="B165" s="155">
        <v>3962</v>
      </c>
      <c r="C165" s="156" t="s">
        <v>725</v>
      </c>
      <c r="D165" s="156" t="str">
        <f t="shared" si="2"/>
        <v>板橋仁化店1</v>
      </c>
      <c r="E165" s="155">
        <v>1</v>
      </c>
      <c r="F165" s="155" t="s">
        <v>4176</v>
      </c>
      <c r="G165" s="156" t="s">
        <v>4177</v>
      </c>
      <c r="H165" s="155" t="s">
        <v>3666</v>
      </c>
      <c r="I165" s="157" t="s">
        <v>3674</v>
      </c>
      <c r="J165" s="158" t="s">
        <v>14</v>
      </c>
      <c r="K165" s="159" t="s">
        <v>3668</v>
      </c>
      <c r="L165" s="155"/>
      <c r="M165" s="158"/>
      <c r="N165" s="210" t="s">
        <v>3669</v>
      </c>
    </row>
    <row r="166" spans="1:14" ht="22.95" customHeight="1">
      <c r="A166" s="155" t="s">
        <v>4178</v>
      </c>
      <c r="B166" s="155">
        <v>3962</v>
      </c>
      <c r="C166" s="156" t="s">
        <v>725</v>
      </c>
      <c r="D166" s="156" t="str">
        <f t="shared" si="2"/>
        <v>板橋仁化店2</v>
      </c>
      <c r="E166" s="155">
        <v>2</v>
      </c>
      <c r="F166" s="155" t="s">
        <v>4179</v>
      </c>
      <c r="G166" s="156" t="s">
        <v>4180</v>
      </c>
      <c r="H166" s="155" t="s">
        <v>3666</v>
      </c>
      <c r="I166" s="157" t="s">
        <v>3674</v>
      </c>
      <c r="J166" s="158" t="s">
        <v>14</v>
      </c>
      <c r="K166" s="159" t="s">
        <v>3668</v>
      </c>
      <c r="L166" s="155"/>
      <c r="M166" s="158"/>
      <c r="N166" s="210" t="s">
        <v>3669</v>
      </c>
    </row>
    <row r="167" spans="1:14" ht="22.95" customHeight="1">
      <c r="A167" s="155" t="s">
        <v>4181</v>
      </c>
      <c r="B167" s="155">
        <v>3965</v>
      </c>
      <c r="C167" s="156" t="s">
        <v>1039</v>
      </c>
      <c r="D167" s="156" t="str">
        <f t="shared" si="2"/>
        <v>板橋民治店1</v>
      </c>
      <c r="E167" s="155">
        <v>1</v>
      </c>
      <c r="F167" s="155" t="s">
        <v>4182</v>
      </c>
      <c r="G167" s="156" t="s">
        <v>4183</v>
      </c>
      <c r="H167" s="155" t="s">
        <v>3673</v>
      </c>
      <c r="I167" s="157" t="s">
        <v>3674</v>
      </c>
      <c r="J167" s="158" t="s">
        <v>14</v>
      </c>
      <c r="K167" s="159" t="s">
        <v>3668</v>
      </c>
      <c r="L167" s="155"/>
      <c r="M167" s="158"/>
      <c r="N167" s="210" t="s">
        <v>3669</v>
      </c>
    </row>
    <row r="168" spans="1:14" ht="22.95" customHeight="1">
      <c r="A168" s="155" t="s">
        <v>4184</v>
      </c>
      <c r="B168" s="155">
        <v>3965</v>
      </c>
      <c r="C168" s="156" t="s">
        <v>1039</v>
      </c>
      <c r="D168" s="156" t="str">
        <f t="shared" si="2"/>
        <v>板橋民治店2</v>
      </c>
      <c r="E168" s="155">
        <v>2</v>
      </c>
      <c r="F168" s="155" t="s">
        <v>4185</v>
      </c>
      <c r="G168" s="156" t="s">
        <v>4186</v>
      </c>
      <c r="H168" s="155" t="s">
        <v>3673</v>
      </c>
      <c r="I168" s="157" t="s">
        <v>3674</v>
      </c>
      <c r="J168" s="158" t="s">
        <v>14</v>
      </c>
      <c r="K168" s="159" t="s">
        <v>3668</v>
      </c>
      <c r="L168" s="155"/>
      <c r="M168" s="158"/>
      <c r="N168" s="210" t="s">
        <v>3669</v>
      </c>
    </row>
    <row r="169" spans="1:14" ht="22.95" customHeight="1">
      <c r="A169" s="155" t="s">
        <v>4187</v>
      </c>
      <c r="B169" s="155">
        <v>4167</v>
      </c>
      <c r="C169" s="156" t="s">
        <v>4188</v>
      </c>
      <c r="D169" s="156" t="str">
        <f t="shared" si="2"/>
        <v>板橋松翠店1</v>
      </c>
      <c r="E169" s="155">
        <v>1</v>
      </c>
      <c r="F169" s="155" t="s">
        <v>4189</v>
      </c>
      <c r="G169" s="156" t="s">
        <v>4190</v>
      </c>
      <c r="H169" s="155" t="s">
        <v>3666</v>
      </c>
      <c r="I169" s="157" t="s">
        <v>3674</v>
      </c>
      <c r="J169" s="158" t="s">
        <v>14</v>
      </c>
      <c r="K169" s="159" t="s">
        <v>3668</v>
      </c>
      <c r="L169" s="155"/>
      <c r="M169" s="158"/>
      <c r="N169" s="210" t="s">
        <v>3669</v>
      </c>
    </row>
    <row r="170" spans="1:14" ht="22.95" customHeight="1">
      <c r="A170" s="155" t="s">
        <v>4191</v>
      </c>
      <c r="B170" s="155">
        <v>4167</v>
      </c>
      <c r="C170" s="156" t="s">
        <v>4188</v>
      </c>
      <c r="D170" s="156" t="str">
        <f t="shared" si="2"/>
        <v>板橋松翠店2</v>
      </c>
      <c r="E170" s="155">
        <v>2</v>
      </c>
      <c r="F170" s="155" t="s">
        <v>4192</v>
      </c>
      <c r="G170" s="156" t="s">
        <v>4193</v>
      </c>
      <c r="H170" s="155" t="s">
        <v>3666</v>
      </c>
      <c r="I170" s="157" t="s">
        <v>3674</v>
      </c>
      <c r="J170" s="158" t="s">
        <v>14</v>
      </c>
      <c r="K170" s="159" t="s">
        <v>3668</v>
      </c>
      <c r="L170" s="155"/>
      <c r="M170" s="158"/>
      <c r="N170" s="210" t="s">
        <v>3669</v>
      </c>
    </row>
    <row r="171" spans="1:14" ht="22.95" customHeight="1">
      <c r="A171" s="155" t="s">
        <v>4194</v>
      </c>
      <c r="B171" s="155">
        <v>3955</v>
      </c>
      <c r="C171" s="156" t="s">
        <v>626</v>
      </c>
      <c r="D171" s="156" t="str">
        <f t="shared" si="2"/>
        <v>板橋海龍店1</v>
      </c>
      <c r="E171" s="155">
        <v>1</v>
      </c>
      <c r="F171" s="155" t="s">
        <v>4195</v>
      </c>
      <c r="G171" s="156" t="s">
        <v>4196</v>
      </c>
      <c r="H171" s="155" t="s">
        <v>3716</v>
      </c>
      <c r="I171" s="157" t="s">
        <v>3667</v>
      </c>
      <c r="J171" s="158" t="s">
        <v>14</v>
      </c>
      <c r="K171" s="159" t="s">
        <v>3668</v>
      </c>
      <c r="L171" s="155"/>
      <c r="M171" s="158"/>
      <c r="N171" s="210" t="s">
        <v>3669</v>
      </c>
    </row>
    <row r="172" spans="1:14" ht="22.95" customHeight="1">
      <c r="A172" s="155" t="s">
        <v>4197</v>
      </c>
      <c r="B172" s="155">
        <v>3955</v>
      </c>
      <c r="C172" s="156" t="s">
        <v>626</v>
      </c>
      <c r="D172" s="156" t="str">
        <f t="shared" si="2"/>
        <v>板橋海龍店2</v>
      </c>
      <c r="E172" s="155">
        <v>2</v>
      </c>
      <c r="F172" s="155" t="s">
        <v>4198</v>
      </c>
      <c r="G172" s="156" t="s">
        <v>4199</v>
      </c>
      <c r="H172" s="155" t="s">
        <v>3666</v>
      </c>
      <c r="I172" s="157" t="s">
        <v>3674</v>
      </c>
      <c r="J172" s="158" t="s">
        <v>14</v>
      </c>
      <c r="K172" s="159" t="s">
        <v>3668</v>
      </c>
      <c r="L172" s="155"/>
      <c r="M172" s="158"/>
      <c r="N172" s="210" t="s">
        <v>3669</v>
      </c>
    </row>
    <row r="173" spans="1:14" ht="22.95" customHeight="1">
      <c r="A173" s="155" t="s">
        <v>4200</v>
      </c>
      <c r="B173" s="155">
        <v>3416</v>
      </c>
      <c r="C173" s="156" t="s">
        <v>978</v>
      </c>
      <c r="D173" s="156" t="str">
        <f t="shared" si="2"/>
        <v>板橋國慶店1</v>
      </c>
      <c r="E173" s="155">
        <v>1</v>
      </c>
      <c r="F173" s="155" t="s">
        <v>4201</v>
      </c>
      <c r="G173" s="156" t="s">
        <v>4202</v>
      </c>
      <c r="H173" s="155" t="s">
        <v>3673</v>
      </c>
      <c r="I173" s="157" t="s">
        <v>3674</v>
      </c>
      <c r="J173" s="158" t="s">
        <v>14</v>
      </c>
      <c r="K173" s="159" t="s">
        <v>3668</v>
      </c>
      <c r="L173" s="155"/>
      <c r="M173" s="158"/>
      <c r="N173" s="210" t="s">
        <v>3669</v>
      </c>
    </row>
    <row r="174" spans="1:14" ht="22.95" customHeight="1">
      <c r="A174" s="155" t="s">
        <v>4203</v>
      </c>
      <c r="B174" s="155">
        <v>3416</v>
      </c>
      <c r="C174" s="156" t="s">
        <v>978</v>
      </c>
      <c r="D174" s="156" t="str">
        <f t="shared" si="2"/>
        <v>板橋國慶店2</v>
      </c>
      <c r="E174" s="155">
        <v>2</v>
      </c>
      <c r="F174" s="155" t="s">
        <v>4204</v>
      </c>
      <c r="G174" s="156" t="s">
        <v>4205</v>
      </c>
      <c r="H174" s="155" t="s">
        <v>3673</v>
      </c>
      <c r="I174" s="157" t="s">
        <v>3674</v>
      </c>
      <c r="J174" s="158" t="s">
        <v>14</v>
      </c>
      <c r="K174" s="159" t="s">
        <v>3668</v>
      </c>
      <c r="L174" s="155"/>
      <c r="M174" s="158"/>
      <c r="N174" s="210" t="s">
        <v>3669</v>
      </c>
    </row>
    <row r="175" spans="1:14" ht="22.95" customHeight="1">
      <c r="A175" s="155" t="s">
        <v>4206</v>
      </c>
      <c r="B175" s="155">
        <v>2224</v>
      </c>
      <c r="C175" s="156" t="s">
        <v>1031</v>
      </c>
      <c r="D175" s="156" t="str">
        <f t="shared" si="2"/>
        <v>板橋莒光店1</v>
      </c>
      <c r="E175" s="155">
        <v>1</v>
      </c>
      <c r="F175" s="155" t="s">
        <v>4207</v>
      </c>
      <c r="G175" s="156" t="s">
        <v>4208</v>
      </c>
      <c r="H175" s="155" t="s">
        <v>3716</v>
      </c>
      <c r="I175" s="157" t="s">
        <v>3674</v>
      </c>
      <c r="J175" s="158" t="s">
        <v>14</v>
      </c>
      <c r="K175" s="159" t="s">
        <v>3668</v>
      </c>
      <c r="L175" s="155"/>
      <c r="M175" s="158"/>
      <c r="N175" s="210" t="s">
        <v>3669</v>
      </c>
    </row>
    <row r="176" spans="1:14" ht="22.95" customHeight="1">
      <c r="A176" s="155" t="s">
        <v>4209</v>
      </c>
      <c r="B176" s="155">
        <v>2224</v>
      </c>
      <c r="C176" s="156" t="s">
        <v>1031</v>
      </c>
      <c r="D176" s="156" t="str">
        <f t="shared" si="2"/>
        <v>板橋莒光店2</v>
      </c>
      <c r="E176" s="155">
        <v>2</v>
      </c>
      <c r="F176" s="155" t="s">
        <v>4210</v>
      </c>
      <c r="G176" s="156" t="s">
        <v>4211</v>
      </c>
      <c r="H176" s="155" t="s">
        <v>3716</v>
      </c>
      <c r="I176" s="157" t="s">
        <v>3674</v>
      </c>
      <c r="J176" s="158" t="s">
        <v>14</v>
      </c>
      <c r="K176" s="159" t="s">
        <v>3668</v>
      </c>
      <c r="L176" s="155"/>
      <c r="M176" s="158"/>
      <c r="N176" s="210" t="s">
        <v>3669</v>
      </c>
    </row>
    <row r="177" spans="1:14" ht="22.95" customHeight="1">
      <c r="A177" s="155" t="s">
        <v>4212</v>
      </c>
      <c r="B177" s="155">
        <v>2995</v>
      </c>
      <c r="C177" s="156" t="s">
        <v>1017</v>
      </c>
      <c r="D177" s="156" t="str">
        <f t="shared" si="2"/>
        <v>板橋湳雅夜市1</v>
      </c>
      <c r="E177" s="155">
        <v>1</v>
      </c>
      <c r="F177" s="155" t="s">
        <v>4213</v>
      </c>
      <c r="G177" s="156" t="s">
        <v>4214</v>
      </c>
      <c r="H177" s="155" t="s">
        <v>3673</v>
      </c>
      <c r="I177" s="157" t="s">
        <v>3706</v>
      </c>
      <c r="J177" s="158" t="s">
        <v>14</v>
      </c>
      <c r="K177" s="159" t="s">
        <v>3668</v>
      </c>
      <c r="L177" s="155"/>
      <c r="M177" s="158"/>
      <c r="N177" s="210" t="s">
        <v>3669</v>
      </c>
    </row>
    <row r="178" spans="1:14" ht="22.95" customHeight="1">
      <c r="A178" s="155" t="s">
        <v>4215</v>
      </c>
      <c r="B178" s="155">
        <v>2995</v>
      </c>
      <c r="C178" s="156" t="s">
        <v>1017</v>
      </c>
      <c r="D178" s="156" t="str">
        <f t="shared" si="2"/>
        <v>板橋湳雅夜市2</v>
      </c>
      <c r="E178" s="155">
        <v>2</v>
      </c>
      <c r="F178" s="155" t="s">
        <v>4216</v>
      </c>
      <c r="G178" s="156" t="s">
        <v>4217</v>
      </c>
      <c r="H178" s="155" t="s">
        <v>3673</v>
      </c>
      <c r="I178" s="157" t="s">
        <v>3706</v>
      </c>
      <c r="J178" s="158" t="s">
        <v>14</v>
      </c>
      <c r="K178" s="159" t="s">
        <v>3668</v>
      </c>
      <c r="L178" s="155"/>
      <c r="M178" s="158"/>
      <c r="N178" s="210" t="s">
        <v>3669</v>
      </c>
    </row>
    <row r="179" spans="1:14" ht="22.95" customHeight="1">
      <c r="A179" s="155" t="s">
        <v>4218</v>
      </c>
      <c r="B179" s="155">
        <v>4145</v>
      </c>
      <c r="C179" s="156" t="s">
        <v>527</v>
      </c>
      <c r="D179" s="156" t="str">
        <f t="shared" si="2"/>
        <v>板橋僑興店1</v>
      </c>
      <c r="E179" s="155">
        <v>1</v>
      </c>
      <c r="F179" s="155" t="s">
        <v>4219</v>
      </c>
      <c r="G179" s="156" t="s">
        <v>4220</v>
      </c>
      <c r="H179" s="155" t="s">
        <v>3673</v>
      </c>
      <c r="I179" s="157" t="s">
        <v>3706</v>
      </c>
      <c r="J179" s="158" t="s">
        <v>14</v>
      </c>
      <c r="K179" s="159" t="s">
        <v>3668</v>
      </c>
      <c r="L179" s="155"/>
      <c r="M179" s="158"/>
      <c r="N179" s="210" t="s">
        <v>3669</v>
      </c>
    </row>
    <row r="180" spans="1:14" ht="22.95" customHeight="1">
      <c r="A180" s="155" t="s">
        <v>4221</v>
      </c>
      <c r="B180" s="155">
        <v>4145</v>
      </c>
      <c r="C180" s="156" t="s">
        <v>527</v>
      </c>
      <c r="D180" s="156" t="str">
        <f t="shared" si="2"/>
        <v>板橋僑興店2</v>
      </c>
      <c r="E180" s="155">
        <v>2</v>
      </c>
      <c r="F180" s="155" t="s">
        <v>4222</v>
      </c>
      <c r="G180" s="156" t="s">
        <v>4223</v>
      </c>
      <c r="H180" s="155" t="s">
        <v>3673</v>
      </c>
      <c r="I180" s="157" t="s">
        <v>3706</v>
      </c>
      <c r="J180" s="158" t="s">
        <v>14</v>
      </c>
      <c r="K180" s="159" t="s">
        <v>3668</v>
      </c>
      <c r="L180" s="155"/>
      <c r="M180" s="158"/>
      <c r="N180" s="210" t="s">
        <v>3669</v>
      </c>
    </row>
    <row r="181" spans="1:14" ht="22.95" customHeight="1">
      <c r="A181" s="155" t="s">
        <v>4224</v>
      </c>
      <c r="B181" s="155">
        <v>3818</v>
      </c>
      <c r="C181" s="156" t="s">
        <v>705</v>
      </c>
      <c r="D181" s="156" t="str">
        <f t="shared" si="2"/>
        <v>板橋漢江店2</v>
      </c>
      <c r="E181" s="155">
        <v>2</v>
      </c>
      <c r="F181" s="155" t="s">
        <v>4225</v>
      </c>
      <c r="G181" s="156" t="s">
        <v>4226</v>
      </c>
      <c r="H181" s="155" t="s">
        <v>3666</v>
      </c>
      <c r="I181" s="157" t="s">
        <v>3674</v>
      </c>
      <c r="J181" s="158" t="s">
        <v>14</v>
      </c>
      <c r="K181" s="159" t="s">
        <v>3668</v>
      </c>
      <c r="L181" s="155"/>
      <c r="M181" s="158"/>
      <c r="N181" s="210" t="s">
        <v>3669</v>
      </c>
    </row>
    <row r="182" spans="1:14" ht="22.95" customHeight="1">
      <c r="A182" s="155" t="s">
        <v>4227</v>
      </c>
      <c r="B182" s="155">
        <v>4046</v>
      </c>
      <c r="C182" s="156" t="s">
        <v>3008</v>
      </c>
      <c r="D182" s="156" t="str">
        <f t="shared" si="2"/>
        <v>板橋福康店1</v>
      </c>
      <c r="E182" s="155">
        <v>1</v>
      </c>
      <c r="F182" s="155" t="s">
        <v>4228</v>
      </c>
      <c r="G182" s="156" t="s">
        <v>4229</v>
      </c>
      <c r="H182" s="155" t="s">
        <v>3666</v>
      </c>
      <c r="I182" s="157" t="s">
        <v>3674</v>
      </c>
      <c r="J182" s="158" t="s">
        <v>14</v>
      </c>
      <c r="K182" s="159" t="s">
        <v>3668</v>
      </c>
      <c r="L182" s="155"/>
      <c r="M182" s="158"/>
      <c r="N182" s="210" t="s">
        <v>3669</v>
      </c>
    </row>
    <row r="183" spans="1:14" ht="22.95" customHeight="1">
      <c r="A183" s="155" t="s">
        <v>4230</v>
      </c>
      <c r="B183" s="155">
        <v>4046</v>
      </c>
      <c r="C183" s="156" t="s">
        <v>3008</v>
      </c>
      <c r="D183" s="156" t="str">
        <f t="shared" si="2"/>
        <v>板橋福康店2</v>
      </c>
      <c r="E183" s="155">
        <v>2</v>
      </c>
      <c r="F183" s="155" t="s">
        <v>4231</v>
      </c>
      <c r="G183" s="156" t="s">
        <v>4232</v>
      </c>
      <c r="H183" s="155" t="s">
        <v>3666</v>
      </c>
      <c r="I183" s="157" t="s">
        <v>3674</v>
      </c>
      <c r="J183" s="158" t="s">
        <v>14</v>
      </c>
      <c r="K183" s="159" t="s">
        <v>3668</v>
      </c>
      <c r="L183" s="155"/>
      <c r="M183" s="158"/>
      <c r="N183" s="210" t="s">
        <v>3669</v>
      </c>
    </row>
    <row r="184" spans="1:14" ht="22.95" customHeight="1">
      <c r="A184" s="155" t="s">
        <v>4233</v>
      </c>
      <c r="B184" s="155">
        <v>4917</v>
      </c>
      <c r="C184" s="156" t="s">
        <v>186</v>
      </c>
      <c r="D184" s="156" t="str">
        <f t="shared" si="2"/>
        <v>板橋翠華店2</v>
      </c>
      <c r="E184" s="155">
        <v>2</v>
      </c>
      <c r="F184" s="155" t="s">
        <v>4234</v>
      </c>
      <c r="G184" s="156" t="s">
        <v>4235</v>
      </c>
      <c r="H184" s="155" t="s">
        <v>3673</v>
      </c>
      <c r="I184" s="157" t="s">
        <v>3814</v>
      </c>
      <c r="J184" s="158" t="s">
        <v>14</v>
      </c>
      <c r="K184" s="159" t="s">
        <v>3668</v>
      </c>
      <c r="L184" s="155"/>
      <c r="M184" s="158"/>
      <c r="N184" s="210" t="s">
        <v>3669</v>
      </c>
    </row>
    <row r="185" spans="1:14" ht="22.95" customHeight="1">
      <c r="A185" s="155" t="s">
        <v>4236</v>
      </c>
      <c r="B185" s="155">
        <v>2221</v>
      </c>
      <c r="C185" s="156" t="s">
        <v>642</v>
      </c>
      <c r="D185" s="156" t="str">
        <f t="shared" si="2"/>
        <v>板橋雙十店2</v>
      </c>
      <c r="E185" s="155">
        <v>2</v>
      </c>
      <c r="F185" s="155" t="s">
        <v>4237</v>
      </c>
      <c r="G185" s="156" t="s">
        <v>4238</v>
      </c>
      <c r="H185" s="155" t="s">
        <v>3666</v>
      </c>
      <c r="I185" s="157" t="s">
        <v>3674</v>
      </c>
      <c r="J185" s="158" t="s">
        <v>14</v>
      </c>
      <c r="K185" s="159" t="s">
        <v>3668</v>
      </c>
      <c r="L185" s="155"/>
      <c r="M185" s="158"/>
      <c r="N185" s="210" t="s">
        <v>3669</v>
      </c>
    </row>
    <row r="186" spans="1:14" ht="22.95" customHeight="1">
      <c r="A186" s="155" t="s">
        <v>4239</v>
      </c>
      <c r="B186" s="155">
        <v>3399</v>
      </c>
      <c r="C186" s="156" t="s">
        <v>195</v>
      </c>
      <c r="D186" s="156" t="str">
        <f t="shared" si="2"/>
        <v>板橋藝文中心1</v>
      </c>
      <c r="E186" s="155">
        <v>1</v>
      </c>
      <c r="F186" s="155" t="s">
        <v>4240</v>
      </c>
      <c r="G186" s="156" t="s">
        <v>4241</v>
      </c>
      <c r="H186" s="155" t="s">
        <v>3673</v>
      </c>
      <c r="I186" s="157" t="s">
        <v>3674</v>
      </c>
      <c r="J186" s="158" t="s">
        <v>14</v>
      </c>
      <c r="K186" s="159" t="s">
        <v>3668</v>
      </c>
      <c r="L186" s="155"/>
      <c r="M186" s="158"/>
      <c r="N186" s="210" t="s">
        <v>3669</v>
      </c>
    </row>
    <row r="187" spans="1:14" ht="22.95" customHeight="1">
      <c r="A187" s="155" t="s">
        <v>4242</v>
      </c>
      <c r="B187" s="155">
        <v>3399</v>
      </c>
      <c r="C187" s="156" t="s">
        <v>195</v>
      </c>
      <c r="D187" s="156" t="str">
        <f t="shared" si="2"/>
        <v>板橋藝文中心2</v>
      </c>
      <c r="E187" s="155">
        <v>2</v>
      </c>
      <c r="F187" s="155" t="s">
        <v>4243</v>
      </c>
      <c r="G187" s="156" t="s">
        <v>4244</v>
      </c>
      <c r="H187" s="155" t="s">
        <v>3673</v>
      </c>
      <c r="I187" s="157" t="s">
        <v>3674</v>
      </c>
      <c r="J187" s="158" t="s">
        <v>14</v>
      </c>
      <c r="K187" s="159" t="s">
        <v>3668</v>
      </c>
      <c r="L187" s="155"/>
      <c r="M187" s="158"/>
      <c r="N187" s="210" t="s">
        <v>3669</v>
      </c>
    </row>
    <row r="188" spans="1:14" ht="22.95" customHeight="1">
      <c r="A188" s="155" t="s">
        <v>4245</v>
      </c>
      <c r="B188" s="155" t="s">
        <v>78</v>
      </c>
      <c r="C188" s="156" t="s">
        <v>1035</v>
      </c>
      <c r="D188" s="156" t="str">
        <f t="shared" si="2"/>
        <v>板橋寶翠店1</v>
      </c>
      <c r="E188" s="155">
        <v>1</v>
      </c>
      <c r="F188" s="155" t="s">
        <v>4246</v>
      </c>
      <c r="G188" s="156" t="s">
        <v>4247</v>
      </c>
      <c r="H188" s="155" t="s">
        <v>3673</v>
      </c>
      <c r="I188" s="157" t="s">
        <v>3674</v>
      </c>
      <c r="J188" s="158" t="s">
        <v>14</v>
      </c>
      <c r="K188" s="159" t="s">
        <v>3668</v>
      </c>
      <c r="L188" s="155"/>
      <c r="M188" s="158"/>
      <c r="N188" s="210" t="s">
        <v>3669</v>
      </c>
    </row>
    <row r="189" spans="1:14" ht="22.95" customHeight="1">
      <c r="A189" s="155" t="s">
        <v>4248</v>
      </c>
      <c r="B189" s="155" t="s">
        <v>78</v>
      </c>
      <c r="C189" s="156" t="s">
        <v>1035</v>
      </c>
      <c r="D189" s="156" t="str">
        <f t="shared" si="2"/>
        <v>板橋寶翠店2</v>
      </c>
      <c r="E189" s="155">
        <v>2</v>
      </c>
      <c r="F189" s="155" t="s">
        <v>4249</v>
      </c>
      <c r="G189" s="156" t="s">
        <v>4250</v>
      </c>
      <c r="H189" s="155" t="s">
        <v>3673</v>
      </c>
      <c r="I189" s="157" t="s">
        <v>3674</v>
      </c>
      <c r="J189" s="158" t="s">
        <v>14</v>
      </c>
      <c r="K189" s="159" t="s">
        <v>3668</v>
      </c>
      <c r="L189" s="155"/>
      <c r="M189" s="158"/>
      <c r="N189" s="210" t="s">
        <v>3669</v>
      </c>
    </row>
    <row r="190" spans="1:14" ht="22.95" customHeight="1">
      <c r="A190" s="155" t="s">
        <v>4251</v>
      </c>
      <c r="B190" s="155">
        <v>2069</v>
      </c>
      <c r="C190" s="156" t="s">
        <v>2944</v>
      </c>
      <c r="D190" s="156" t="str">
        <f t="shared" si="2"/>
        <v>板橋江子翠站1</v>
      </c>
      <c r="E190" s="155">
        <v>1</v>
      </c>
      <c r="F190" s="155" t="s">
        <v>4252</v>
      </c>
      <c r="G190" s="156" t="s">
        <v>4253</v>
      </c>
      <c r="H190" s="155" t="s">
        <v>3666</v>
      </c>
      <c r="I190" s="157" t="s">
        <v>3674</v>
      </c>
      <c r="J190" s="158" t="s">
        <v>14</v>
      </c>
      <c r="K190" s="159" t="s">
        <v>3668</v>
      </c>
      <c r="L190" s="155">
        <v>0</v>
      </c>
      <c r="M190" s="158"/>
      <c r="N190" s="210" t="s">
        <v>3669</v>
      </c>
    </row>
    <row r="191" spans="1:14" ht="22.95" customHeight="1">
      <c r="A191" s="155" t="s">
        <v>4254</v>
      </c>
      <c r="B191" s="155">
        <v>2069</v>
      </c>
      <c r="C191" s="156" t="s">
        <v>2944</v>
      </c>
      <c r="D191" s="156" t="str">
        <f t="shared" si="2"/>
        <v>板橋江子翠站2</v>
      </c>
      <c r="E191" s="155">
        <v>2</v>
      </c>
      <c r="F191" s="155" t="s">
        <v>4255</v>
      </c>
      <c r="G191" s="156" t="s">
        <v>4256</v>
      </c>
      <c r="H191" s="155" t="s">
        <v>3673</v>
      </c>
      <c r="I191" s="157" t="s">
        <v>3667</v>
      </c>
      <c r="J191" s="158" t="s">
        <v>14</v>
      </c>
      <c r="K191" s="159" t="s">
        <v>3668</v>
      </c>
      <c r="L191" s="155">
        <v>0</v>
      </c>
      <c r="M191" s="158"/>
      <c r="N191" s="210" t="s">
        <v>3669</v>
      </c>
    </row>
    <row r="192" spans="1:14" ht="22.95" customHeight="1">
      <c r="A192" s="155" t="s">
        <v>4257</v>
      </c>
      <c r="B192" s="155">
        <v>3243</v>
      </c>
      <c r="C192" s="156" t="s">
        <v>2728</v>
      </c>
      <c r="D192" s="156" t="str">
        <f t="shared" si="2"/>
        <v>北縣醒吾店1</v>
      </c>
      <c r="E192" s="155">
        <v>1</v>
      </c>
      <c r="F192" s="155" t="s">
        <v>4258</v>
      </c>
      <c r="G192" s="156" t="s">
        <v>4259</v>
      </c>
      <c r="H192" s="155" t="s">
        <v>3666</v>
      </c>
      <c r="I192" s="157" t="s">
        <v>3667</v>
      </c>
      <c r="J192" s="158" t="s">
        <v>13</v>
      </c>
      <c r="K192" s="159" t="s">
        <v>3668</v>
      </c>
      <c r="L192" s="155" t="s">
        <v>57</v>
      </c>
      <c r="M192" s="158"/>
      <c r="N192" s="210" t="s">
        <v>3669</v>
      </c>
    </row>
    <row r="193" spans="1:14" ht="22.95" customHeight="1">
      <c r="A193" s="155" t="s">
        <v>4260</v>
      </c>
      <c r="B193" s="155">
        <v>3243</v>
      </c>
      <c r="C193" s="156" t="s">
        <v>2728</v>
      </c>
      <c r="D193" s="156" t="str">
        <f t="shared" si="2"/>
        <v>北縣醒吾店2</v>
      </c>
      <c r="E193" s="155">
        <v>2</v>
      </c>
      <c r="F193" s="155" t="s">
        <v>4261</v>
      </c>
      <c r="G193" s="156" t="s">
        <v>4262</v>
      </c>
      <c r="H193" s="155" t="s">
        <v>3673</v>
      </c>
      <c r="I193" s="157" t="s">
        <v>3674</v>
      </c>
      <c r="J193" s="158" t="s">
        <v>13</v>
      </c>
      <c r="K193" s="159" t="s">
        <v>3668</v>
      </c>
      <c r="L193" s="155" t="s">
        <v>57</v>
      </c>
      <c r="M193" s="158"/>
      <c r="N193" s="210" t="s">
        <v>3669</v>
      </c>
    </row>
    <row r="194" spans="1:14" ht="22.95" customHeight="1">
      <c r="A194" s="155" t="s">
        <v>4263</v>
      </c>
      <c r="B194" s="155">
        <v>4834</v>
      </c>
      <c r="C194" s="156" t="s">
        <v>322</v>
      </c>
      <c r="D194" s="156" t="str">
        <f t="shared" ref="D194:D257" si="3">C194&amp;E194</f>
        <v>林口大千苑店1</v>
      </c>
      <c r="E194" s="155">
        <v>1</v>
      </c>
      <c r="F194" s="155" t="s">
        <v>4264</v>
      </c>
      <c r="G194" s="156" t="s">
        <v>4265</v>
      </c>
      <c r="H194" s="155" t="s">
        <v>3666</v>
      </c>
      <c r="I194" s="157" t="s">
        <v>3674</v>
      </c>
      <c r="J194" s="158" t="s">
        <v>13</v>
      </c>
      <c r="K194" s="159" t="s">
        <v>3668</v>
      </c>
      <c r="L194" s="155"/>
      <c r="M194" s="158"/>
      <c r="N194" s="210" t="s">
        <v>3669</v>
      </c>
    </row>
    <row r="195" spans="1:14" ht="22.95" customHeight="1">
      <c r="A195" s="155" t="s">
        <v>4266</v>
      </c>
      <c r="B195" s="155">
        <v>4326</v>
      </c>
      <c r="C195" s="156" t="s">
        <v>332</v>
      </c>
      <c r="D195" s="156" t="str">
        <f t="shared" si="3"/>
        <v>林口建安店1</v>
      </c>
      <c r="E195" s="155">
        <v>1</v>
      </c>
      <c r="F195" s="155" t="s">
        <v>4267</v>
      </c>
      <c r="G195" s="156" t="s">
        <v>4268</v>
      </c>
      <c r="H195" s="155" t="s">
        <v>3673</v>
      </c>
      <c r="I195" s="157" t="s">
        <v>3674</v>
      </c>
      <c r="J195" s="158" t="s">
        <v>13</v>
      </c>
      <c r="K195" s="159" t="s">
        <v>3668</v>
      </c>
      <c r="L195" s="155"/>
      <c r="M195" s="158"/>
      <c r="N195" s="210" t="s">
        <v>3669</v>
      </c>
    </row>
    <row r="196" spans="1:14" ht="22.95" customHeight="1">
      <c r="A196" s="155" t="s">
        <v>4269</v>
      </c>
      <c r="B196" s="155">
        <v>4326</v>
      </c>
      <c r="C196" s="156" t="s">
        <v>332</v>
      </c>
      <c r="D196" s="156" t="str">
        <f t="shared" si="3"/>
        <v>林口建安店2</v>
      </c>
      <c r="E196" s="155">
        <v>2</v>
      </c>
      <c r="F196" s="155" t="s">
        <v>4270</v>
      </c>
      <c r="G196" s="156" t="s">
        <v>4271</v>
      </c>
      <c r="H196" s="155" t="s">
        <v>3673</v>
      </c>
      <c r="I196" s="157" t="s">
        <v>3674</v>
      </c>
      <c r="J196" s="158" t="s">
        <v>13</v>
      </c>
      <c r="K196" s="159" t="s">
        <v>3668</v>
      </c>
      <c r="L196" s="155"/>
      <c r="M196" s="158"/>
      <c r="N196" s="210" t="s">
        <v>3669</v>
      </c>
    </row>
    <row r="197" spans="1:14" ht="22.95" customHeight="1">
      <c r="A197" s="155" t="s">
        <v>4272</v>
      </c>
      <c r="B197" s="155">
        <v>4057</v>
      </c>
      <c r="C197" s="156" t="s">
        <v>349</v>
      </c>
      <c r="D197" s="156" t="str">
        <f t="shared" si="3"/>
        <v>林口香澄店1</v>
      </c>
      <c r="E197" s="155">
        <v>1</v>
      </c>
      <c r="F197" s="155" t="s">
        <v>4273</v>
      </c>
      <c r="G197" s="156" t="s">
        <v>4274</v>
      </c>
      <c r="H197" s="155" t="s">
        <v>3673</v>
      </c>
      <c r="I197" s="157" t="s">
        <v>3674</v>
      </c>
      <c r="J197" s="158" t="s">
        <v>13</v>
      </c>
      <c r="K197" s="159" t="s">
        <v>3668</v>
      </c>
      <c r="L197" s="155"/>
      <c r="M197" s="158"/>
      <c r="N197" s="210" t="s">
        <v>3669</v>
      </c>
    </row>
    <row r="198" spans="1:14" ht="22.95" customHeight="1">
      <c r="A198" s="155" t="s">
        <v>4275</v>
      </c>
      <c r="B198" s="155">
        <v>4057</v>
      </c>
      <c r="C198" s="156" t="s">
        <v>349</v>
      </c>
      <c r="D198" s="156" t="str">
        <f t="shared" si="3"/>
        <v>林口香澄店2</v>
      </c>
      <c r="E198" s="155">
        <v>2</v>
      </c>
      <c r="F198" s="155" t="s">
        <v>4276</v>
      </c>
      <c r="G198" s="156" t="s">
        <v>4277</v>
      </c>
      <c r="H198" s="155" t="s">
        <v>3673</v>
      </c>
      <c r="I198" s="157" t="s">
        <v>3674</v>
      </c>
      <c r="J198" s="158" t="s">
        <v>13</v>
      </c>
      <c r="K198" s="159" t="s">
        <v>3668</v>
      </c>
      <c r="L198" s="155"/>
      <c r="M198" s="158"/>
      <c r="N198" s="210" t="s">
        <v>3669</v>
      </c>
    </row>
    <row r="199" spans="1:14" ht="22.95" customHeight="1">
      <c r="A199" s="155" t="s">
        <v>4278</v>
      </c>
      <c r="B199" s="155">
        <v>4715</v>
      </c>
      <c r="C199" s="156" t="s">
        <v>2759</v>
      </c>
      <c r="D199" s="156" t="str">
        <f t="shared" si="3"/>
        <v>林口捷韻店1</v>
      </c>
      <c r="E199" s="155">
        <v>1</v>
      </c>
      <c r="F199" s="155" t="s">
        <v>4279</v>
      </c>
      <c r="G199" s="156" t="s">
        <v>4280</v>
      </c>
      <c r="H199" s="155" t="s">
        <v>3673</v>
      </c>
      <c r="I199" s="157" t="s">
        <v>3674</v>
      </c>
      <c r="J199" s="158" t="s">
        <v>13</v>
      </c>
      <c r="K199" s="159" t="s">
        <v>3668</v>
      </c>
      <c r="L199" s="155"/>
      <c r="M199" s="158"/>
      <c r="N199" s="210" t="s">
        <v>3669</v>
      </c>
    </row>
    <row r="200" spans="1:14" ht="22.95" customHeight="1">
      <c r="A200" s="155" t="s">
        <v>4281</v>
      </c>
      <c r="B200" s="155">
        <v>4715</v>
      </c>
      <c r="C200" s="156" t="s">
        <v>2759</v>
      </c>
      <c r="D200" s="156" t="str">
        <f t="shared" si="3"/>
        <v>林口捷韻店2</v>
      </c>
      <c r="E200" s="155">
        <v>2</v>
      </c>
      <c r="F200" s="155" t="s">
        <v>4282</v>
      </c>
      <c r="G200" s="156" t="s">
        <v>4283</v>
      </c>
      <c r="H200" s="155" t="s">
        <v>3673</v>
      </c>
      <c r="I200" s="157" t="s">
        <v>3674</v>
      </c>
      <c r="J200" s="158" t="s">
        <v>13</v>
      </c>
      <c r="K200" s="159" t="s">
        <v>3668</v>
      </c>
      <c r="L200" s="155"/>
      <c r="M200" s="158"/>
      <c r="N200" s="210" t="s">
        <v>3669</v>
      </c>
    </row>
    <row r="201" spans="1:14" ht="22.95" customHeight="1">
      <c r="A201" s="155" t="s">
        <v>4284</v>
      </c>
      <c r="B201" s="155">
        <v>3878</v>
      </c>
      <c r="C201" s="156" t="s">
        <v>353</v>
      </c>
      <c r="D201" s="156" t="str">
        <f t="shared" si="3"/>
        <v>林口清梅店1</v>
      </c>
      <c r="E201" s="155">
        <v>1</v>
      </c>
      <c r="F201" s="155" t="s">
        <v>4285</v>
      </c>
      <c r="G201" s="156" t="s">
        <v>4286</v>
      </c>
      <c r="H201" s="155" t="s">
        <v>3673</v>
      </c>
      <c r="I201" s="157" t="s">
        <v>3674</v>
      </c>
      <c r="J201" s="158" t="s">
        <v>13</v>
      </c>
      <c r="K201" s="159" t="s">
        <v>3668</v>
      </c>
      <c r="L201" s="155"/>
      <c r="M201" s="158"/>
      <c r="N201" s="210" t="s">
        <v>3669</v>
      </c>
    </row>
    <row r="202" spans="1:14" ht="22.95" customHeight="1">
      <c r="A202" s="155" t="s">
        <v>4287</v>
      </c>
      <c r="B202" s="155">
        <v>4483</v>
      </c>
      <c r="C202" s="156" t="s">
        <v>2749</v>
      </c>
      <c r="D202" s="156" t="str">
        <f t="shared" si="3"/>
        <v>林口築夢店1</v>
      </c>
      <c r="E202" s="155">
        <v>1</v>
      </c>
      <c r="F202" s="155" t="s">
        <v>4288</v>
      </c>
      <c r="G202" s="156" t="s">
        <v>4289</v>
      </c>
      <c r="H202" s="155" t="s">
        <v>3666</v>
      </c>
      <c r="I202" s="157" t="s">
        <v>3674</v>
      </c>
      <c r="J202" s="158" t="s">
        <v>13</v>
      </c>
      <c r="K202" s="159" t="s">
        <v>3668</v>
      </c>
      <c r="L202" s="155"/>
      <c r="M202" s="158"/>
      <c r="N202" s="210" t="s">
        <v>3669</v>
      </c>
    </row>
    <row r="203" spans="1:14" ht="22.95" customHeight="1">
      <c r="A203" s="155" t="s">
        <v>4290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4291</v>
      </c>
      <c r="G203" s="156" t="s">
        <v>4292</v>
      </c>
      <c r="H203" s="155" t="s">
        <v>3716</v>
      </c>
      <c r="I203" s="157" t="s">
        <v>3674</v>
      </c>
      <c r="J203" s="158" t="s">
        <v>13</v>
      </c>
      <c r="K203" s="159" t="s">
        <v>3668</v>
      </c>
      <c r="L203" s="155"/>
      <c r="M203" s="158"/>
      <c r="N203" s="210" t="s">
        <v>3669</v>
      </c>
    </row>
    <row r="204" spans="1:14" ht="22.95" customHeight="1">
      <c r="A204" s="155" t="s">
        <v>4293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4294</v>
      </c>
      <c r="G204" s="156" t="s">
        <v>4295</v>
      </c>
      <c r="H204" s="155" t="s">
        <v>3666</v>
      </c>
      <c r="I204" s="157" t="s">
        <v>3674</v>
      </c>
      <c r="J204" s="158" t="s">
        <v>13</v>
      </c>
      <c r="K204" s="159" t="s">
        <v>3668</v>
      </c>
      <c r="L204" s="155"/>
      <c r="M204" s="158"/>
      <c r="N204" s="210" t="s">
        <v>3669</v>
      </c>
    </row>
    <row r="205" spans="1:14" ht="22.95" customHeight="1">
      <c r="A205" s="155" t="s">
        <v>4296</v>
      </c>
      <c r="B205" s="155">
        <v>2267</v>
      </c>
      <c r="C205" s="156" t="s">
        <v>2765</v>
      </c>
      <c r="D205" s="156" t="str">
        <f t="shared" si="3"/>
        <v>北縣金陽店1</v>
      </c>
      <c r="E205" s="155">
        <v>1</v>
      </c>
      <c r="F205" s="155" t="s">
        <v>4297</v>
      </c>
      <c r="G205" s="156" t="s">
        <v>4298</v>
      </c>
      <c r="H205" s="155" t="s">
        <v>3666</v>
      </c>
      <c r="I205" s="157" t="s">
        <v>3674</v>
      </c>
      <c r="J205" s="158" t="s">
        <v>4</v>
      </c>
      <c r="K205" s="159" t="s">
        <v>3668</v>
      </c>
      <c r="L205" s="155"/>
      <c r="M205" s="158"/>
      <c r="N205" s="210" t="s">
        <v>3669</v>
      </c>
    </row>
    <row r="206" spans="1:14" ht="22.95" customHeight="1">
      <c r="A206" s="155" t="s">
        <v>4299</v>
      </c>
      <c r="B206" s="155">
        <v>2267</v>
      </c>
      <c r="C206" s="156" t="s">
        <v>2765</v>
      </c>
      <c r="D206" s="156" t="str">
        <f t="shared" si="3"/>
        <v>北縣金陽店2</v>
      </c>
      <c r="E206" s="155">
        <v>2</v>
      </c>
      <c r="F206" s="155" t="s">
        <v>4300</v>
      </c>
      <c r="G206" s="156" t="s">
        <v>4301</v>
      </c>
      <c r="H206" s="155" t="s">
        <v>3666</v>
      </c>
      <c r="I206" s="157" t="s">
        <v>3674</v>
      </c>
      <c r="J206" s="158" t="s">
        <v>4</v>
      </c>
      <c r="K206" s="159" t="s">
        <v>3668</v>
      </c>
      <c r="L206" s="155"/>
      <c r="M206" s="158"/>
      <c r="N206" s="210" t="s">
        <v>3669</v>
      </c>
    </row>
    <row r="207" spans="1:14" ht="22.95" customHeight="1">
      <c r="A207" s="155" t="s">
        <v>4302</v>
      </c>
      <c r="B207" s="155">
        <v>3606</v>
      </c>
      <c r="C207" s="156" t="s">
        <v>2776</v>
      </c>
      <c r="D207" s="156" t="str">
        <f t="shared" si="3"/>
        <v>北縣泰富店1</v>
      </c>
      <c r="E207" s="155">
        <v>1</v>
      </c>
      <c r="F207" s="155" t="s">
        <v>4303</v>
      </c>
      <c r="G207" s="156" t="s">
        <v>4304</v>
      </c>
      <c r="H207" s="155" t="s">
        <v>3673</v>
      </c>
      <c r="I207" s="157" t="s">
        <v>3674</v>
      </c>
      <c r="J207" s="158" t="s">
        <v>12</v>
      </c>
      <c r="K207" s="159" t="s">
        <v>3668</v>
      </c>
      <c r="L207" s="155"/>
      <c r="M207" s="158"/>
      <c r="N207" s="210" t="s">
        <v>3669</v>
      </c>
    </row>
    <row r="208" spans="1:14" ht="22.95" customHeight="1">
      <c r="A208" s="155" t="s">
        <v>4305</v>
      </c>
      <c r="B208" s="155">
        <v>3606</v>
      </c>
      <c r="C208" s="156" t="s">
        <v>2776</v>
      </c>
      <c r="D208" s="156" t="str">
        <f t="shared" si="3"/>
        <v>北縣泰富店2</v>
      </c>
      <c r="E208" s="155">
        <v>2</v>
      </c>
      <c r="F208" s="155" t="s">
        <v>4306</v>
      </c>
      <c r="G208" s="156" t="s">
        <v>4307</v>
      </c>
      <c r="H208" s="155" t="s">
        <v>3673</v>
      </c>
      <c r="I208" s="157" t="s">
        <v>3674</v>
      </c>
      <c r="J208" s="158" t="s">
        <v>12</v>
      </c>
      <c r="K208" s="159" t="s">
        <v>3668</v>
      </c>
      <c r="L208" s="155"/>
      <c r="M208" s="158"/>
      <c r="N208" s="210" t="s">
        <v>3669</v>
      </c>
    </row>
    <row r="209" spans="1:14" ht="22.95" customHeight="1">
      <c r="A209" s="155" t="s">
        <v>4308</v>
      </c>
      <c r="B209" s="155">
        <v>4656</v>
      </c>
      <c r="C209" s="156" t="s">
        <v>2779</v>
      </c>
      <c r="D209" s="156" t="str">
        <f t="shared" si="3"/>
        <v>泰山新民店1</v>
      </c>
      <c r="E209" s="155">
        <v>1</v>
      </c>
      <c r="F209" s="155" t="s">
        <v>4309</v>
      </c>
      <c r="G209" s="156" t="s">
        <v>4310</v>
      </c>
      <c r="H209" s="155" t="s">
        <v>4311</v>
      </c>
      <c r="I209" s="157" t="s">
        <v>3667</v>
      </c>
      <c r="J209" s="158" t="s">
        <v>12</v>
      </c>
      <c r="K209" s="159" t="s">
        <v>3668</v>
      </c>
      <c r="L209" s="155"/>
      <c r="M209" s="158"/>
      <c r="N209" s="210" t="s">
        <v>3669</v>
      </c>
    </row>
    <row r="210" spans="1:14" ht="22.95" customHeight="1">
      <c r="A210" s="155" t="s">
        <v>4312</v>
      </c>
      <c r="B210" s="155">
        <v>4656</v>
      </c>
      <c r="C210" s="156" t="s">
        <v>2779</v>
      </c>
      <c r="D210" s="156" t="str">
        <f t="shared" si="3"/>
        <v>泰山新民店2</v>
      </c>
      <c r="E210" s="155">
        <v>2</v>
      </c>
      <c r="F210" s="155" t="s">
        <v>4313</v>
      </c>
      <c r="G210" s="156" t="s">
        <v>4314</v>
      </c>
      <c r="H210" s="155" t="s">
        <v>3673</v>
      </c>
      <c r="I210" s="157" t="s">
        <v>3674</v>
      </c>
      <c r="J210" s="158" t="s">
        <v>12</v>
      </c>
      <c r="K210" s="159" t="s">
        <v>3668</v>
      </c>
      <c r="L210" s="155"/>
      <c r="M210" s="158"/>
      <c r="N210" s="210" t="s">
        <v>3669</v>
      </c>
    </row>
    <row r="211" spans="1:14" ht="22.95" customHeight="1">
      <c r="A211" s="155" t="s">
        <v>4315</v>
      </c>
      <c r="B211" s="155">
        <v>3751</v>
      </c>
      <c r="C211" s="156" t="s">
        <v>570</v>
      </c>
      <c r="D211" s="156" t="str">
        <f t="shared" si="3"/>
        <v>淡水真理大1</v>
      </c>
      <c r="E211" s="155">
        <v>1</v>
      </c>
      <c r="F211" s="155" t="s">
        <v>4316</v>
      </c>
      <c r="G211" s="156" t="s">
        <v>4317</v>
      </c>
      <c r="H211" s="155" t="s">
        <v>3673</v>
      </c>
      <c r="I211" s="157" t="s">
        <v>3674</v>
      </c>
      <c r="J211" s="158" t="s">
        <v>3</v>
      </c>
      <c r="K211" s="159" t="s">
        <v>3668</v>
      </c>
      <c r="L211" s="155" t="s">
        <v>57</v>
      </c>
      <c r="M211" s="158"/>
      <c r="N211" s="210" t="s">
        <v>3669</v>
      </c>
    </row>
    <row r="212" spans="1:14" ht="22.95" customHeight="1">
      <c r="A212" s="155" t="s">
        <v>4318</v>
      </c>
      <c r="B212" s="155">
        <v>3751</v>
      </c>
      <c r="C212" s="156" t="s">
        <v>570</v>
      </c>
      <c r="D212" s="156" t="str">
        <f t="shared" si="3"/>
        <v>淡水真理大2</v>
      </c>
      <c r="E212" s="155">
        <v>2</v>
      </c>
      <c r="F212" s="155" t="s">
        <v>4319</v>
      </c>
      <c r="G212" s="156" t="s">
        <v>4320</v>
      </c>
      <c r="H212" s="155" t="s">
        <v>3673</v>
      </c>
      <c r="I212" s="157" t="s">
        <v>3674</v>
      </c>
      <c r="J212" s="158" t="s">
        <v>3</v>
      </c>
      <c r="K212" s="159" t="s">
        <v>3668</v>
      </c>
      <c r="L212" s="155" t="s">
        <v>57</v>
      </c>
      <c r="M212" s="158"/>
      <c r="N212" s="210" t="s">
        <v>3669</v>
      </c>
    </row>
    <row r="213" spans="1:14" ht="22.95" customHeight="1">
      <c r="A213" s="155" t="s">
        <v>4321</v>
      </c>
      <c r="B213" s="155">
        <v>2318</v>
      </c>
      <c r="C213" s="156" t="s">
        <v>776</v>
      </c>
      <c r="D213" s="156" t="str">
        <f t="shared" si="3"/>
        <v>北縣淡俊店2</v>
      </c>
      <c r="E213" s="155">
        <v>2</v>
      </c>
      <c r="F213" s="155" t="s">
        <v>4322</v>
      </c>
      <c r="G213" s="156" t="s">
        <v>4323</v>
      </c>
      <c r="H213" s="155" t="s">
        <v>3716</v>
      </c>
      <c r="I213" s="157" t="s">
        <v>3674</v>
      </c>
      <c r="J213" s="158" t="s">
        <v>3</v>
      </c>
      <c r="K213" s="159" t="s">
        <v>3668</v>
      </c>
      <c r="L213" s="155"/>
      <c r="M213" s="158"/>
      <c r="N213" s="210" t="s">
        <v>3669</v>
      </c>
    </row>
    <row r="214" spans="1:14" ht="22.95" customHeight="1">
      <c r="A214" s="155" t="s">
        <v>4324</v>
      </c>
      <c r="B214" s="155">
        <v>2897</v>
      </c>
      <c r="C214" s="156" t="s">
        <v>2800</v>
      </c>
      <c r="D214" s="156" t="str">
        <f t="shared" si="3"/>
        <v>淡水台電宿舍1</v>
      </c>
      <c r="E214" s="155">
        <v>1</v>
      </c>
      <c r="F214" s="155" t="s">
        <v>4325</v>
      </c>
      <c r="G214" s="156" t="s">
        <v>4326</v>
      </c>
      <c r="H214" s="155" t="s">
        <v>3673</v>
      </c>
      <c r="I214" s="157" t="s">
        <v>3674</v>
      </c>
      <c r="J214" s="158" t="s">
        <v>3</v>
      </c>
      <c r="K214" s="159" t="s">
        <v>3668</v>
      </c>
      <c r="L214" s="155"/>
      <c r="M214" s="158"/>
      <c r="N214" s="210" t="s">
        <v>3669</v>
      </c>
    </row>
    <row r="215" spans="1:14" ht="22.95" customHeight="1">
      <c r="A215" s="155" t="s">
        <v>4327</v>
      </c>
      <c r="B215" s="155">
        <v>2897</v>
      </c>
      <c r="C215" s="156" t="s">
        <v>2800</v>
      </c>
      <c r="D215" s="156" t="str">
        <f t="shared" si="3"/>
        <v>淡水台電宿舍2</v>
      </c>
      <c r="E215" s="155">
        <v>2</v>
      </c>
      <c r="F215" s="155" t="s">
        <v>4328</v>
      </c>
      <c r="G215" s="156" t="s">
        <v>4329</v>
      </c>
      <c r="H215" s="155" t="s">
        <v>3673</v>
      </c>
      <c r="I215" s="157" t="s">
        <v>3674</v>
      </c>
      <c r="J215" s="158" t="s">
        <v>3</v>
      </c>
      <c r="K215" s="159" t="s">
        <v>3668</v>
      </c>
      <c r="L215" s="155"/>
      <c r="M215" s="158"/>
      <c r="N215" s="210" t="s">
        <v>3669</v>
      </c>
    </row>
    <row r="216" spans="1:14" ht="22.95" customHeight="1">
      <c r="A216" s="155" t="s">
        <v>4330</v>
      </c>
      <c r="B216" s="155">
        <v>2749</v>
      </c>
      <c r="C216" s="156" t="s">
        <v>2786</v>
      </c>
      <c r="D216" s="156" t="str">
        <f t="shared" si="3"/>
        <v>淡水灰瑤子1</v>
      </c>
      <c r="E216" s="155">
        <v>1</v>
      </c>
      <c r="F216" s="155" t="s">
        <v>4331</v>
      </c>
      <c r="G216" s="156" t="s">
        <v>4332</v>
      </c>
      <c r="H216" s="155" t="s">
        <v>3673</v>
      </c>
      <c r="I216" s="157" t="s">
        <v>3674</v>
      </c>
      <c r="J216" s="158" t="s">
        <v>3</v>
      </c>
      <c r="K216" s="159" t="s">
        <v>3668</v>
      </c>
      <c r="L216" s="155"/>
      <c r="M216" s="158"/>
      <c r="N216" s="210" t="s">
        <v>3669</v>
      </c>
    </row>
    <row r="217" spans="1:14" ht="22.95" customHeight="1">
      <c r="A217" s="155" t="s">
        <v>4333</v>
      </c>
      <c r="B217" s="155">
        <v>2749</v>
      </c>
      <c r="C217" s="156" t="s">
        <v>2786</v>
      </c>
      <c r="D217" s="156" t="str">
        <f t="shared" si="3"/>
        <v>淡水灰瑤子2</v>
      </c>
      <c r="E217" s="155">
        <v>2</v>
      </c>
      <c r="F217" s="155" t="s">
        <v>4334</v>
      </c>
      <c r="G217" s="156" t="s">
        <v>4335</v>
      </c>
      <c r="H217" s="155" t="s">
        <v>3673</v>
      </c>
      <c r="I217" s="157" t="s">
        <v>3674</v>
      </c>
      <c r="J217" s="158" t="s">
        <v>3</v>
      </c>
      <c r="K217" s="159" t="s">
        <v>3668</v>
      </c>
      <c r="L217" s="155"/>
      <c r="M217" s="158"/>
      <c r="N217" s="210" t="s">
        <v>3669</v>
      </c>
    </row>
    <row r="218" spans="1:14" ht="22.95" customHeight="1">
      <c r="A218" s="155" t="s">
        <v>4336</v>
      </c>
      <c r="B218" s="155" t="s">
        <v>64</v>
      </c>
      <c r="C218" s="156" t="s">
        <v>788</v>
      </c>
      <c r="D218" s="156" t="str">
        <f t="shared" si="3"/>
        <v>淡水金龍店1</v>
      </c>
      <c r="E218" s="155">
        <v>1</v>
      </c>
      <c r="F218" s="155" t="s">
        <v>4337</v>
      </c>
      <c r="G218" s="156" t="s">
        <v>4338</v>
      </c>
      <c r="H218" s="155" t="s">
        <v>3666</v>
      </c>
      <c r="I218" s="157" t="s">
        <v>3706</v>
      </c>
      <c r="J218" s="158" t="s">
        <v>3</v>
      </c>
      <c r="K218" s="159" t="s">
        <v>3668</v>
      </c>
      <c r="L218" s="155"/>
      <c r="M218" s="158"/>
      <c r="N218" s="210" t="s">
        <v>3669</v>
      </c>
    </row>
    <row r="219" spans="1:14" ht="22.95" customHeight="1">
      <c r="A219" s="155" t="s">
        <v>4339</v>
      </c>
      <c r="B219" s="155" t="s">
        <v>64</v>
      </c>
      <c r="C219" s="156" t="s">
        <v>788</v>
      </c>
      <c r="D219" s="156" t="str">
        <f t="shared" si="3"/>
        <v>淡水金龍店2</v>
      </c>
      <c r="E219" s="155">
        <v>2</v>
      </c>
      <c r="F219" s="155" t="s">
        <v>4340</v>
      </c>
      <c r="G219" s="156" t="s">
        <v>4341</v>
      </c>
      <c r="H219" s="155" t="s">
        <v>3666</v>
      </c>
      <c r="I219" s="157" t="s">
        <v>3706</v>
      </c>
      <c r="J219" s="158" t="s">
        <v>3</v>
      </c>
      <c r="K219" s="159" t="s">
        <v>3668</v>
      </c>
      <c r="L219" s="155"/>
      <c r="M219" s="158"/>
      <c r="N219" s="210" t="s">
        <v>3669</v>
      </c>
    </row>
    <row r="220" spans="1:14" ht="22.95" customHeight="1">
      <c r="A220" s="155" t="s">
        <v>4342</v>
      </c>
      <c r="B220" s="155">
        <v>4298</v>
      </c>
      <c r="C220" s="156" t="s">
        <v>598</v>
      </c>
      <c r="D220" s="156" t="str">
        <f t="shared" si="3"/>
        <v>淡水後洲店1</v>
      </c>
      <c r="E220" s="155">
        <v>1</v>
      </c>
      <c r="F220" s="155" t="s">
        <v>4343</v>
      </c>
      <c r="G220" s="156" t="s">
        <v>4344</v>
      </c>
      <c r="H220" s="155" t="s">
        <v>3666</v>
      </c>
      <c r="I220" s="157" t="s">
        <v>3674</v>
      </c>
      <c r="J220" s="158" t="s">
        <v>3</v>
      </c>
      <c r="K220" s="159" t="s">
        <v>3668</v>
      </c>
      <c r="L220" s="155"/>
      <c r="M220" s="158"/>
      <c r="N220" s="210" t="s">
        <v>3669</v>
      </c>
    </row>
    <row r="221" spans="1:14" ht="22.95" customHeight="1">
      <c r="A221" s="155" t="s">
        <v>4345</v>
      </c>
      <c r="B221" s="155">
        <v>4298</v>
      </c>
      <c r="C221" s="156" t="s">
        <v>598</v>
      </c>
      <c r="D221" s="156" t="str">
        <f t="shared" si="3"/>
        <v>淡水後洲店2</v>
      </c>
      <c r="E221" s="155">
        <v>2</v>
      </c>
      <c r="F221" s="155" t="s">
        <v>4346</v>
      </c>
      <c r="G221" s="156" t="s">
        <v>4347</v>
      </c>
      <c r="H221" s="155" t="s">
        <v>3666</v>
      </c>
      <c r="I221" s="157" t="s">
        <v>3674</v>
      </c>
      <c r="J221" s="158" t="s">
        <v>3</v>
      </c>
      <c r="K221" s="159" t="s">
        <v>3668</v>
      </c>
      <c r="L221" s="155"/>
      <c r="M221" s="158"/>
      <c r="N221" s="210" t="s">
        <v>3669</v>
      </c>
    </row>
    <row r="222" spans="1:14" ht="22.95" customHeight="1">
      <c r="A222" s="155" t="s">
        <v>4348</v>
      </c>
      <c r="B222" s="155">
        <v>4788</v>
      </c>
      <c r="C222" s="156" t="s">
        <v>586</v>
      </c>
      <c r="D222" s="156" t="str">
        <f t="shared" si="3"/>
        <v>淡水國家店1</v>
      </c>
      <c r="E222" s="155">
        <v>1</v>
      </c>
      <c r="F222" s="155" t="s">
        <v>4349</v>
      </c>
      <c r="G222" s="156" t="s">
        <v>4350</v>
      </c>
      <c r="H222" s="155" t="s">
        <v>3666</v>
      </c>
      <c r="I222" s="157" t="s">
        <v>3674</v>
      </c>
      <c r="J222" s="158" t="s">
        <v>3</v>
      </c>
      <c r="K222" s="159" t="s">
        <v>3668</v>
      </c>
      <c r="L222" s="155"/>
      <c r="M222" s="158"/>
      <c r="N222" s="210" t="s">
        <v>3669</v>
      </c>
    </row>
    <row r="223" spans="1:14" ht="22.95" customHeight="1">
      <c r="A223" s="155" t="s">
        <v>4351</v>
      </c>
      <c r="B223" s="155">
        <v>4788</v>
      </c>
      <c r="C223" s="156" t="s">
        <v>586</v>
      </c>
      <c r="D223" s="156" t="str">
        <f t="shared" si="3"/>
        <v>淡水國家店2</v>
      </c>
      <c r="E223" s="155">
        <v>2</v>
      </c>
      <c r="F223" s="155" t="s">
        <v>4352</v>
      </c>
      <c r="G223" s="156" t="s">
        <v>4353</v>
      </c>
      <c r="H223" s="155" t="s">
        <v>3666</v>
      </c>
      <c r="I223" s="157" t="s">
        <v>3674</v>
      </c>
      <c r="J223" s="158" t="s">
        <v>3</v>
      </c>
      <c r="K223" s="159" t="s">
        <v>3668</v>
      </c>
      <c r="L223" s="155"/>
      <c r="M223" s="158"/>
      <c r="N223" s="210" t="s">
        <v>3669</v>
      </c>
    </row>
    <row r="224" spans="1:14" ht="22.95" customHeight="1">
      <c r="A224" s="155" t="s">
        <v>4354</v>
      </c>
      <c r="B224" s="155">
        <v>4153</v>
      </c>
      <c r="C224" s="156" t="s">
        <v>582</v>
      </c>
      <c r="D224" s="156" t="str">
        <f t="shared" si="3"/>
        <v>淡水莊園店1</v>
      </c>
      <c r="E224" s="155">
        <v>1</v>
      </c>
      <c r="F224" s="155" t="s">
        <v>4355</v>
      </c>
      <c r="G224" s="156" t="s">
        <v>4356</v>
      </c>
      <c r="H224" s="155" t="s">
        <v>3673</v>
      </c>
      <c r="I224" s="157" t="s">
        <v>3706</v>
      </c>
      <c r="J224" s="158" t="s">
        <v>3</v>
      </c>
      <c r="K224" s="159" t="s">
        <v>3668</v>
      </c>
      <c r="L224" s="155"/>
      <c r="M224" s="158"/>
      <c r="N224" s="210" t="s">
        <v>3669</v>
      </c>
    </row>
    <row r="225" spans="1:14" ht="22.95" customHeight="1">
      <c r="A225" s="155" t="s">
        <v>4357</v>
      </c>
      <c r="B225" s="155">
        <v>4153</v>
      </c>
      <c r="C225" s="156" t="s">
        <v>582</v>
      </c>
      <c r="D225" s="156" t="str">
        <f t="shared" si="3"/>
        <v>淡水莊園店2</v>
      </c>
      <c r="E225" s="155">
        <v>2</v>
      </c>
      <c r="F225" s="155" t="s">
        <v>4358</v>
      </c>
      <c r="G225" s="156" t="s">
        <v>4359</v>
      </c>
      <c r="H225" s="155" t="s">
        <v>3673</v>
      </c>
      <c r="I225" s="157" t="s">
        <v>3706</v>
      </c>
      <c r="J225" s="158" t="s">
        <v>3</v>
      </c>
      <c r="K225" s="159" t="s">
        <v>3668</v>
      </c>
      <c r="L225" s="155"/>
      <c r="M225" s="158"/>
      <c r="N225" s="210" t="s">
        <v>3669</v>
      </c>
    </row>
    <row r="226" spans="1:14" ht="22.95" customHeight="1">
      <c r="A226" s="155" t="s">
        <v>4360</v>
      </c>
      <c r="B226" s="155">
        <v>4093</v>
      </c>
      <c r="C226" s="156" t="s">
        <v>578</v>
      </c>
      <c r="D226" s="156" t="str">
        <f t="shared" si="3"/>
        <v>淡水新市一2</v>
      </c>
      <c r="E226" s="155">
        <v>2</v>
      </c>
      <c r="F226" s="155" t="s">
        <v>4361</v>
      </c>
      <c r="G226" s="156" t="s">
        <v>4362</v>
      </c>
      <c r="H226" s="155" t="s">
        <v>3666</v>
      </c>
      <c r="I226" s="157" t="s">
        <v>3674</v>
      </c>
      <c r="J226" s="158" t="s">
        <v>3</v>
      </c>
      <c r="K226" s="159" t="s">
        <v>3668</v>
      </c>
      <c r="L226" s="155"/>
      <c r="M226" s="158"/>
      <c r="N226" s="210" t="s">
        <v>3669</v>
      </c>
    </row>
    <row r="227" spans="1:14" ht="22.95" customHeight="1">
      <c r="A227" s="155" t="s">
        <v>4363</v>
      </c>
      <c r="B227" s="155">
        <v>4529</v>
      </c>
      <c r="C227" s="156" t="s">
        <v>618</v>
      </c>
      <c r="D227" s="156" t="str">
        <f t="shared" si="3"/>
        <v>淡水新洲店1</v>
      </c>
      <c r="E227" s="155">
        <v>1</v>
      </c>
      <c r="F227" s="155" t="s">
        <v>4364</v>
      </c>
      <c r="G227" s="156" t="s">
        <v>4365</v>
      </c>
      <c r="H227" s="155" t="s">
        <v>3673</v>
      </c>
      <c r="I227" s="157" t="s">
        <v>3706</v>
      </c>
      <c r="J227" s="158" t="s">
        <v>3</v>
      </c>
      <c r="K227" s="159" t="s">
        <v>3668</v>
      </c>
      <c r="L227" s="155"/>
      <c r="M227" s="158"/>
      <c r="N227" s="210" t="s">
        <v>3669</v>
      </c>
    </row>
    <row r="228" spans="1:14" ht="22.95" customHeight="1">
      <c r="A228" s="155" t="s">
        <v>4366</v>
      </c>
      <c r="B228" s="155">
        <v>4529</v>
      </c>
      <c r="C228" s="156" t="s">
        <v>618</v>
      </c>
      <c r="D228" s="156" t="str">
        <f t="shared" si="3"/>
        <v>淡水新洲店2</v>
      </c>
      <c r="E228" s="155">
        <v>2</v>
      </c>
      <c r="F228" s="155" t="s">
        <v>4367</v>
      </c>
      <c r="G228" s="156" t="s">
        <v>4368</v>
      </c>
      <c r="H228" s="155" t="s">
        <v>3673</v>
      </c>
      <c r="I228" s="157" t="s">
        <v>3706</v>
      </c>
      <c r="J228" s="158" t="s">
        <v>3</v>
      </c>
      <c r="K228" s="159" t="s">
        <v>3668</v>
      </c>
      <c r="L228" s="155"/>
      <c r="M228" s="158"/>
      <c r="N228" s="210" t="s">
        <v>3669</v>
      </c>
    </row>
    <row r="229" spans="1:14" ht="22.95" customHeight="1">
      <c r="A229" s="155" t="s">
        <v>4369</v>
      </c>
      <c r="B229" s="155">
        <v>4739</v>
      </c>
      <c r="C229" s="156" t="s">
        <v>2795</v>
      </c>
      <c r="D229" s="156" t="str">
        <f t="shared" si="3"/>
        <v>淡水櫻花店2</v>
      </c>
      <c r="E229" s="155">
        <v>2</v>
      </c>
      <c r="F229" s="155" t="s">
        <v>4370</v>
      </c>
      <c r="G229" s="156" t="s">
        <v>4371</v>
      </c>
      <c r="H229" s="155" t="s">
        <v>3666</v>
      </c>
      <c r="I229" s="157" t="s">
        <v>3674</v>
      </c>
      <c r="J229" s="158" t="s">
        <v>3</v>
      </c>
      <c r="K229" s="159" t="s">
        <v>3668</v>
      </c>
      <c r="L229" s="155"/>
      <c r="M229" s="158"/>
      <c r="N229" s="210" t="s">
        <v>3669</v>
      </c>
    </row>
    <row r="230" spans="1:14" ht="22.95" customHeight="1">
      <c r="A230" s="155" t="s">
        <v>4372</v>
      </c>
      <c r="B230" s="155">
        <v>3851</v>
      </c>
      <c r="C230" s="156" t="s">
        <v>4373</v>
      </c>
      <c r="D230" s="156" t="str">
        <f t="shared" si="3"/>
        <v>北縣輔園店1</v>
      </c>
      <c r="E230" s="155">
        <v>1</v>
      </c>
      <c r="F230" s="155" t="s">
        <v>4374</v>
      </c>
      <c r="G230" s="156" t="s">
        <v>4375</v>
      </c>
      <c r="H230" s="155" t="s">
        <v>3666</v>
      </c>
      <c r="I230" s="157" t="s">
        <v>3674</v>
      </c>
      <c r="J230" s="158" t="s">
        <v>11</v>
      </c>
      <c r="K230" s="159" t="s">
        <v>3668</v>
      </c>
      <c r="L230" s="155" t="s">
        <v>57</v>
      </c>
      <c r="M230" s="158"/>
      <c r="N230" s="210" t="s">
        <v>3669</v>
      </c>
    </row>
    <row r="231" spans="1:14" ht="22.95" customHeight="1">
      <c r="A231" s="155" t="s">
        <v>4376</v>
      </c>
      <c r="B231" s="155">
        <v>3851</v>
      </c>
      <c r="C231" s="156" t="s">
        <v>4373</v>
      </c>
      <c r="D231" s="156" t="str">
        <f t="shared" si="3"/>
        <v>北縣輔園店2</v>
      </c>
      <c r="E231" s="155">
        <v>2</v>
      </c>
      <c r="F231" s="155" t="s">
        <v>4377</v>
      </c>
      <c r="G231" s="156" t="s">
        <v>4378</v>
      </c>
      <c r="H231" s="155" t="s">
        <v>3666</v>
      </c>
      <c r="I231" s="157" t="s">
        <v>3674</v>
      </c>
      <c r="J231" s="158" t="s">
        <v>11</v>
      </c>
      <c r="K231" s="159" t="s">
        <v>3668</v>
      </c>
      <c r="L231" s="155" t="s">
        <v>57</v>
      </c>
      <c r="M231" s="158"/>
      <c r="N231" s="210" t="s">
        <v>3669</v>
      </c>
    </row>
    <row r="232" spans="1:14" ht="22.95" customHeight="1">
      <c r="A232" s="155" t="s">
        <v>4379</v>
      </c>
      <c r="B232" s="155" t="s">
        <v>59</v>
      </c>
      <c r="C232" s="156" t="s">
        <v>3067</v>
      </c>
      <c r="D232" s="156" t="str">
        <f t="shared" si="3"/>
        <v>田倉新樹店1</v>
      </c>
      <c r="E232" s="155">
        <v>1</v>
      </c>
      <c r="F232" s="155" t="s">
        <v>4380</v>
      </c>
      <c r="G232" s="156" t="s">
        <v>4381</v>
      </c>
      <c r="H232" s="155" t="s">
        <v>3666</v>
      </c>
      <c r="I232" s="157" t="s">
        <v>3667</v>
      </c>
      <c r="J232" s="158" t="s">
        <v>11</v>
      </c>
      <c r="K232" s="159" t="s">
        <v>3668</v>
      </c>
      <c r="L232" s="155" t="s">
        <v>60</v>
      </c>
      <c r="M232" s="158"/>
      <c r="N232" s="210" t="s">
        <v>3669</v>
      </c>
    </row>
    <row r="233" spans="1:14" ht="22.95" customHeight="1">
      <c r="A233" s="155" t="s">
        <v>4382</v>
      </c>
      <c r="B233" s="155">
        <v>3652</v>
      </c>
      <c r="C233" s="156" t="s">
        <v>4383</v>
      </c>
      <c r="D233" s="156" t="str">
        <f t="shared" si="3"/>
        <v>北縣莊民店1</v>
      </c>
      <c r="E233" s="155">
        <v>1</v>
      </c>
      <c r="F233" s="155" t="s">
        <v>4384</v>
      </c>
      <c r="G233" s="156" t="s">
        <v>4385</v>
      </c>
      <c r="H233" s="155" t="s">
        <v>3666</v>
      </c>
      <c r="I233" s="157" t="s">
        <v>3674</v>
      </c>
      <c r="J233" s="158" t="s">
        <v>11</v>
      </c>
      <c r="K233" s="159" t="s">
        <v>3668</v>
      </c>
      <c r="L233" s="155"/>
      <c r="M233" s="158"/>
      <c r="N233" s="210" t="s">
        <v>3669</v>
      </c>
    </row>
    <row r="234" spans="1:14" ht="22.95" customHeight="1">
      <c r="A234" s="155" t="s">
        <v>4386</v>
      </c>
      <c r="B234" s="155">
        <v>3652</v>
      </c>
      <c r="C234" s="156" t="s">
        <v>4383</v>
      </c>
      <c r="D234" s="156" t="str">
        <f t="shared" si="3"/>
        <v>北縣莊民店2</v>
      </c>
      <c r="E234" s="155">
        <v>2</v>
      </c>
      <c r="F234" s="155" t="s">
        <v>4387</v>
      </c>
      <c r="G234" s="156" t="s">
        <v>4388</v>
      </c>
      <c r="H234" s="155" t="s">
        <v>3666</v>
      </c>
      <c r="I234" s="157" t="s">
        <v>3674</v>
      </c>
      <c r="J234" s="158" t="s">
        <v>11</v>
      </c>
      <c r="K234" s="159" t="s">
        <v>3668</v>
      </c>
      <c r="L234" s="155"/>
      <c r="M234" s="158"/>
      <c r="N234" s="210" t="s">
        <v>3669</v>
      </c>
    </row>
    <row r="235" spans="1:14" ht="22.95" customHeight="1">
      <c r="A235" s="155" t="s">
        <v>4389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4390</v>
      </c>
      <c r="G235" s="156" t="s">
        <v>4391</v>
      </c>
      <c r="H235" s="155" t="s">
        <v>3716</v>
      </c>
      <c r="I235" s="157" t="s">
        <v>3674</v>
      </c>
      <c r="J235" s="158" t="s">
        <v>11</v>
      </c>
      <c r="K235" s="159" t="s">
        <v>3668</v>
      </c>
      <c r="L235" s="155"/>
      <c r="M235" s="158"/>
      <c r="N235" s="210" t="s">
        <v>3669</v>
      </c>
    </row>
    <row r="236" spans="1:14" ht="22.95" customHeight="1">
      <c r="A236" s="155" t="s">
        <v>4392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4393</v>
      </c>
      <c r="G236" s="156" t="s">
        <v>4394</v>
      </c>
      <c r="H236" s="155" t="s">
        <v>3716</v>
      </c>
      <c r="I236" s="157" t="s">
        <v>3674</v>
      </c>
      <c r="J236" s="158" t="s">
        <v>11</v>
      </c>
      <c r="K236" s="159" t="s">
        <v>3668</v>
      </c>
      <c r="L236" s="155"/>
      <c r="M236" s="158"/>
      <c r="N236" s="210" t="s">
        <v>3669</v>
      </c>
    </row>
    <row r="237" spans="1:14" ht="22.95" customHeight="1">
      <c r="A237" s="155" t="s">
        <v>4395</v>
      </c>
      <c r="B237" s="155">
        <v>3380</v>
      </c>
      <c r="C237" s="156" t="s">
        <v>3092</v>
      </c>
      <c r="D237" s="156" t="str">
        <f t="shared" si="3"/>
        <v>北縣莊勝店2</v>
      </c>
      <c r="E237" s="155">
        <v>2</v>
      </c>
      <c r="F237" s="155" t="s">
        <v>4396</v>
      </c>
      <c r="G237" s="156" t="s">
        <v>4397</v>
      </c>
      <c r="H237" s="155" t="s">
        <v>3716</v>
      </c>
      <c r="I237" s="157" t="s">
        <v>3674</v>
      </c>
      <c r="J237" s="158" t="s">
        <v>11</v>
      </c>
      <c r="K237" s="159" t="s">
        <v>3668</v>
      </c>
      <c r="L237" s="155"/>
      <c r="M237" s="158"/>
      <c r="N237" s="210" t="s">
        <v>3669</v>
      </c>
    </row>
    <row r="238" spans="1:14" ht="22.95" customHeight="1">
      <c r="A238" s="155" t="s">
        <v>4398</v>
      </c>
      <c r="B238" s="155">
        <v>2109</v>
      </c>
      <c r="C238" s="156" t="s">
        <v>4399</v>
      </c>
      <c r="D238" s="156" t="str">
        <f t="shared" si="3"/>
        <v>北縣瓊林南店1</v>
      </c>
      <c r="E238" s="155">
        <v>1</v>
      </c>
      <c r="F238" s="155" t="s">
        <v>4400</v>
      </c>
      <c r="G238" s="156" t="s">
        <v>4401</v>
      </c>
      <c r="H238" s="155" t="s">
        <v>3666</v>
      </c>
      <c r="I238" s="157" t="s">
        <v>3667</v>
      </c>
      <c r="J238" s="158" t="s">
        <v>11</v>
      </c>
      <c r="K238" s="159" t="s">
        <v>3668</v>
      </c>
      <c r="L238" s="155"/>
      <c r="M238" s="158"/>
      <c r="N238" s="210" t="s">
        <v>3669</v>
      </c>
    </row>
    <row r="239" spans="1:14" ht="22.95" customHeight="1">
      <c r="A239" s="155" t="s">
        <v>4402</v>
      </c>
      <c r="B239" s="155">
        <v>2109</v>
      </c>
      <c r="C239" s="156" t="s">
        <v>4399</v>
      </c>
      <c r="D239" s="156" t="str">
        <f t="shared" si="3"/>
        <v>北縣瓊林南店2</v>
      </c>
      <c r="E239" s="155">
        <v>2</v>
      </c>
      <c r="F239" s="155" t="s">
        <v>4403</v>
      </c>
      <c r="G239" s="156" t="s">
        <v>4404</v>
      </c>
      <c r="H239" s="155" t="s">
        <v>3666</v>
      </c>
      <c r="I239" s="157" t="s">
        <v>3667</v>
      </c>
      <c r="J239" s="158" t="s">
        <v>11</v>
      </c>
      <c r="K239" s="159" t="s">
        <v>3668</v>
      </c>
      <c r="L239" s="155"/>
      <c r="M239" s="158"/>
      <c r="N239" s="210" t="s">
        <v>3669</v>
      </c>
    </row>
    <row r="240" spans="1:14" ht="22.95" customHeight="1">
      <c r="A240" s="155" t="s">
        <v>4405</v>
      </c>
      <c r="B240" s="155">
        <v>4856</v>
      </c>
      <c r="C240" s="156" t="s">
        <v>3127</v>
      </c>
      <c r="D240" s="156" t="str">
        <f t="shared" si="3"/>
        <v>新莊小胖店2</v>
      </c>
      <c r="E240" s="155">
        <v>2</v>
      </c>
      <c r="F240" s="155" t="s">
        <v>4406</v>
      </c>
      <c r="G240" s="156" t="s">
        <v>4407</v>
      </c>
      <c r="H240" s="155" t="s">
        <v>3666</v>
      </c>
      <c r="I240" s="157" t="s">
        <v>3674</v>
      </c>
      <c r="J240" s="158" t="s">
        <v>11</v>
      </c>
      <c r="K240" s="159" t="s">
        <v>3668</v>
      </c>
      <c r="L240" s="155"/>
      <c r="M240" s="158"/>
      <c r="N240" s="210" t="s">
        <v>3669</v>
      </c>
    </row>
    <row r="241" spans="1:14" ht="22.95" customHeight="1">
      <c r="A241" s="155" t="s">
        <v>4408</v>
      </c>
      <c r="B241" s="155">
        <v>4163</v>
      </c>
      <c r="C241" s="156" t="s">
        <v>771</v>
      </c>
      <c r="D241" s="156" t="str">
        <f t="shared" si="3"/>
        <v>新莊中泉店1</v>
      </c>
      <c r="E241" s="155">
        <v>1</v>
      </c>
      <c r="F241" s="155" t="s">
        <v>4409</v>
      </c>
      <c r="G241" s="156" t="s">
        <v>4410</v>
      </c>
      <c r="H241" s="155" t="s">
        <v>3716</v>
      </c>
      <c r="I241" s="157" t="s">
        <v>3674</v>
      </c>
      <c r="J241" s="158" t="s">
        <v>11</v>
      </c>
      <c r="K241" s="159" t="s">
        <v>3668</v>
      </c>
      <c r="L241" s="155"/>
      <c r="M241" s="158"/>
      <c r="N241" s="210" t="s">
        <v>3669</v>
      </c>
    </row>
    <row r="242" spans="1:14" ht="22.95" customHeight="1">
      <c r="A242" s="155" t="s">
        <v>4411</v>
      </c>
      <c r="B242" s="155">
        <v>4163</v>
      </c>
      <c r="C242" s="156" t="s">
        <v>771</v>
      </c>
      <c r="D242" s="156" t="str">
        <f t="shared" si="3"/>
        <v>新莊中泉店2</v>
      </c>
      <c r="E242" s="155">
        <v>2</v>
      </c>
      <c r="F242" s="155" t="s">
        <v>4412</v>
      </c>
      <c r="G242" s="156" t="s">
        <v>4413</v>
      </c>
      <c r="H242" s="155" t="s">
        <v>3716</v>
      </c>
      <c r="I242" s="157" t="s">
        <v>3674</v>
      </c>
      <c r="J242" s="158" t="s">
        <v>11</v>
      </c>
      <c r="K242" s="159" t="s">
        <v>3668</v>
      </c>
      <c r="L242" s="155"/>
      <c r="M242" s="158"/>
      <c r="N242" s="210" t="s">
        <v>3669</v>
      </c>
    </row>
    <row r="243" spans="1:14" ht="22.95" customHeight="1">
      <c r="A243" s="155" t="s">
        <v>4414</v>
      </c>
      <c r="B243" s="155">
        <v>5057</v>
      </c>
      <c r="C243" s="156" t="s">
        <v>3104</v>
      </c>
      <c r="D243" s="156" t="str">
        <f t="shared" si="3"/>
        <v>新莊中港店1</v>
      </c>
      <c r="E243" s="155">
        <v>1</v>
      </c>
      <c r="F243" s="155" t="s">
        <v>4415</v>
      </c>
      <c r="G243" s="156" t="s">
        <v>4416</v>
      </c>
      <c r="H243" s="155" t="s">
        <v>3673</v>
      </c>
      <c r="I243" s="157" t="s">
        <v>3667</v>
      </c>
      <c r="J243" s="158" t="s">
        <v>11</v>
      </c>
      <c r="K243" s="159" t="s">
        <v>3668</v>
      </c>
      <c r="L243" s="155"/>
      <c r="M243" s="158"/>
      <c r="N243" s="210" t="s">
        <v>3669</v>
      </c>
    </row>
    <row r="244" spans="1:14" ht="22.95" customHeight="1">
      <c r="A244" s="155" t="s">
        <v>4417</v>
      </c>
      <c r="B244" s="155">
        <v>5057</v>
      </c>
      <c r="C244" s="156" t="s">
        <v>3104</v>
      </c>
      <c r="D244" s="156" t="str">
        <f t="shared" si="3"/>
        <v>新莊中港店2</v>
      </c>
      <c r="E244" s="155">
        <v>2</v>
      </c>
      <c r="F244" s="155" t="s">
        <v>4418</v>
      </c>
      <c r="G244" s="156" t="s">
        <v>4419</v>
      </c>
      <c r="H244" s="155" t="s">
        <v>3716</v>
      </c>
      <c r="I244" s="157" t="s">
        <v>3814</v>
      </c>
      <c r="J244" s="158" t="s">
        <v>11</v>
      </c>
      <c r="K244" s="159" t="s">
        <v>3668</v>
      </c>
      <c r="L244" s="155"/>
      <c r="M244" s="158"/>
      <c r="N244" s="210" t="s">
        <v>3669</v>
      </c>
    </row>
    <row r="245" spans="1:14" ht="22.95" customHeight="1">
      <c r="A245" s="155" t="s">
        <v>4420</v>
      </c>
      <c r="B245" s="155">
        <v>2362</v>
      </c>
      <c r="C245" s="156" t="s">
        <v>3107</v>
      </c>
      <c r="D245" s="156" t="str">
        <f t="shared" si="3"/>
        <v>新莊化成店1</v>
      </c>
      <c r="E245" s="155">
        <v>1</v>
      </c>
      <c r="F245" s="155" t="s">
        <v>4421</v>
      </c>
      <c r="G245" s="156" t="s">
        <v>4422</v>
      </c>
      <c r="H245" s="155" t="s">
        <v>3716</v>
      </c>
      <c r="I245" s="157" t="s">
        <v>3674</v>
      </c>
      <c r="J245" s="158" t="s">
        <v>11</v>
      </c>
      <c r="K245" s="159" t="s">
        <v>3668</v>
      </c>
      <c r="L245" s="155"/>
      <c r="M245" s="158"/>
      <c r="N245" s="210" t="s">
        <v>3669</v>
      </c>
    </row>
    <row r="246" spans="1:14" ht="22.95" customHeight="1">
      <c r="A246" s="155" t="s">
        <v>4423</v>
      </c>
      <c r="B246" s="155">
        <v>2362</v>
      </c>
      <c r="C246" s="156" t="s">
        <v>3107</v>
      </c>
      <c r="D246" s="156" t="str">
        <f t="shared" si="3"/>
        <v>新莊化成店2</v>
      </c>
      <c r="E246" s="155">
        <v>2</v>
      </c>
      <c r="F246" s="155" t="s">
        <v>4424</v>
      </c>
      <c r="G246" s="156" t="s">
        <v>4425</v>
      </c>
      <c r="H246" s="155" t="s">
        <v>3716</v>
      </c>
      <c r="I246" s="157" t="s">
        <v>3674</v>
      </c>
      <c r="J246" s="158" t="s">
        <v>11</v>
      </c>
      <c r="K246" s="159" t="s">
        <v>3668</v>
      </c>
      <c r="L246" s="155"/>
      <c r="M246" s="158"/>
      <c r="N246" s="210" t="s">
        <v>3669</v>
      </c>
    </row>
    <row r="247" spans="1:14" ht="22.95" customHeight="1">
      <c r="A247" s="155" t="s">
        <v>4426</v>
      </c>
      <c r="B247" s="155">
        <v>4025</v>
      </c>
      <c r="C247" s="156" t="s">
        <v>3099</v>
      </c>
      <c r="D247" s="156" t="str">
        <f t="shared" si="3"/>
        <v>新莊祐信店1</v>
      </c>
      <c r="E247" s="155">
        <v>1</v>
      </c>
      <c r="F247" s="155" t="s">
        <v>4427</v>
      </c>
      <c r="G247" s="156" t="s">
        <v>4428</v>
      </c>
      <c r="H247" s="155" t="s">
        <v>3666</v>
      </c>
      <c r="I247" s="157" t="s">
        <v>3674</v>
      </c>
      <c r="J247" s="158" t="s">
        <v>11</v>
      </c>
      <c r="K247" s="159" t="s">
        <v>3668</v>
      </c>
      <c r="L247" s="155"/>
      <c r="M247" s="158"/>
      <c r="N247" s="210" t="s">
        <v>3669</v>
      </c>
    </row>
    <row r="248" spans="1:14" ht="22.95" customHeight="1">
      <c r="A248" s="155" t="s">
        <v>4429</v>
      </c>
      <c r="B248" s="155">
        <v>4025</v>
      </c>
      <c r="C248" s="156" t="s">
        <v>3099</v>
      </c>
      <c r="D248" s="156" t="str">
        <f t="shared" si="3"/>
        <v>新莊祐信店2</v>
      </c>
      <c r="E248" s="155">
        <v>2</v>
      </c>
      <c r="F248" s="155" t="s">
        <v>4430</v>
      </c>
      <c r="G248" s="156" t="s">
        <v>4431</v>
      </c>
      <c r="H248" s="155" t="s">
        <v>3666</v>
      </c>
      <c r="I248" s="157" t="s">
        <v>3674</v>
      </c>
      <c r="J248" s="158" t="s">
        <v>11</v>
      </c>
      <c r="K248" s="159" t="s">
        <v>3668</v>
      </c>
      <c r="L248" s="155"/>
      <c r="M248" s="158"/>
      <c r="N248" s="210" t="s">
        <v>3669</v>
      </c>
    </row>
    <row r="249" spans="1:14" ht="22.95" customHeight="1">
      <c r="A249" s="155" t="s">
        <v>4432</v>
      </c>
      <c r="B249" s="155">
        <v>4341</v>
      </c>
      <c r="C249" s="156" t="s">
        <v>767</v>
      </c>
      <c r="D249" s="156" t="str">
        <f t="shared" si="3"/>
        <v>新莊莊美店1</v>
      </c>
      <c r="E249" s="155">
        <v>1</v>
      </c>
      <c r="F249" s="155" t="s">
        <v>4433</v>
      </c>
      <c r="G249" s="156" t="s">
        <v>4434</v>
      </c>
      <c r="H249" s="155" t="s">
        <v>3673</v>
      </c>
      <c r="I249" s="157" t="s">
        <v>3674</v>
      </c>
      <c r="J249" s="158" t="s">
        <v>11</v>
      </c>
      <c r="K249" s="159" t="s">
        <v>3668</v>
      </c>
      <c r="L249" s="155"/>
      <c r="M249" s="158"/>
      <c r="N249" s="210" t="s">
        <v>3669</v>
      </c>
    </row>
    <row r="250" spans="1:14" ht="22.95" customHeight="1">
      <c r="A250" s="155" t="s">
        <v>4435</v>
      </c>
      <c r="B250" s="155">
        <v>4341</v>
      </c>
      <c r="C250" s="156" t="s">
        <v>767</v>
      </c>
      <c r="D250" s="156" t="str">
        <f t="shared" si="3"/>
        <v>新莊莊美店2</v>
      </c>
      <c r="E250" s="155">
        <v>2</v>
      </c>
      <c r="F250" s="155" t="s">
        <v>4436</v>
      </c>
      <c r="G250" s="156" t="s">
        <v>4437</v>
      </c>
      <c r="H250" s="155" t="s">
        <v>3673</v>
      </c>
      <c r="I250" s="157" t="s">
        <v>3674</v>
      </c>
      <c r="J250" s="158" t="s">
        <v>11</v>
      </c>
      <c r="K250" s="159" t="s">
        <v>3668</v>
      </c>
      <c r="L250" s="155"/>
      <c r="M250" s="158"/>
      <c r="N250" s="210" t="s">
        <v>3669</v>
      </c>
    </row>
    <row r="251" spans="1:14" ht="22.95" customHeight="1">
      <c r="A251" s="155" t="s">
        <v>4438</v>
      </c>
      <c r="B251" s="155" t="s">
        <v>62</v>
      </c>
      <c r="C251" s="156" t="s">
        <v>3085</v>
      </c>
      <c r="D251" s="156" t="str">
        <f t="shared" si="3"/>
        <v>新莊裕民店1</v>
      </c>
      <c r="E251" s="155">
        <v>1</v>
      </c>
      <c r="F251" s="155" t="s">
        <v>4439</v>
      </c>
      <c r="G251" s="156" t="s">
        <v>4440</v>
      </c>
      <c r="H251" s="155" t="s">
        <v>3666</v>
      </c>
      <c r="I251" s="157" t="s">
        <v>3674</v>
      </c>
      <c r="J251" s="158" t="s">
        <v>11</v>
      </c>
      <c r="K251" s="159" t="s">
        <v>3668</v>
      </c>
      <c r="L251" s="155"/>
      <c r="M251" s="158"/>
      <c r="N251" s="210" t="s">
        <v>3669</v>
      </c>
    </row>
    <row r="252" spans="1:14" ht="22.95" customHeight="1">
      <c r="A252" s="155" t="s">
        <v>4441</v>
      </c>
      <c r="B252" s="155">
        <v>4194</v>
      </c>
      <c r="C252" s="156" t="s">
        <v>885</v>
      </c>
      <c r="D252" s="156" t="str">
        <f t="shared" si="3"/>
        <v>新莊鼎苑店1</v>
      </c>
      <c r="E252" s="155">
        <v>1</v>
      </c>
      <c r="F252" s="155" t="s">
        <v>4442</v>
      </c>
      <c r="G252" s="156" t="s">
        <v>4443</v>
      </c>
      <c r="H252" s="155" t="s">
        <v>3666</v>
      </c>
      <c r="I252" s="157" t="s">
        <v>3674</v>
      </c>
      <c r="J252" s="158" t="s">
        <v>11</v>
      </c>
      <c r="K252" s="159" t="s">
        <v>3668</v>
      </c>
      <c r="L252" s="155"/>
      <c r="M252" s="158"/>
      <c r="N252" s="210" t="s">
        <v>3669</v>
      </c>
    </row>
    <row r="253" spans="1:14" ht="22.95" customHeight="1">
      <c r="A253" s="155" t="s">
        <v>4444</v>
      </c>
      <c r="B253" s="155">
        <v>4194</v>
      </c>
      <c r="C253" s="156" t="s">
        <v>885</v>
      </c>
      <c r="D253" s="156" t="str">
        <f t="shared" si="3"/>
        <v>新莊鼎苑店2</v>
      </c>
      <c r="E253" s="155">
        <v>2</v>
      </c>
      <c r="F253" s="155" t="s">
        <v>4445</v>
      </c>
      <c r="G253" s="156" t="s">
        <v>4446</v>
      </c>
      <c r="H253" s="155" t="s">
        <v>3666</v>
      </c>
      <c r="I253" s="157" t="s">
        <v>3674</v>
      </c>
      <c r="J253" s="158" t="s">
        <v>11</v>
      </c>
      <c r="K253" s="159" t="s">
        <v>3668</v>
      </c>
      <c r="L253" s="155"/>
      <c r="M253" s="158"/>
      <c r="N253" s="210" t="s">
        <v>3669</v>
      </c>
    </row>
    <row r="254" spans="1:14" ht="22.95" customHeight="1">
      <c r="A254" s="155" t="s">
        <v>4447</v>
      </c>
      <c r="B254" s="155">
        <v>3999</v>
      </c>
      <c r="C254" s="156" t="s">
        <v>893</v>
      </c>
      <c r="D254" s="156" t="str">
        <f t="shared" si="3"/>
        <v>新莊福祐店2</v>
      </c>
      <c r="E254" s="155">
        <v>2</v>
      </c>
      <c r="F254" s="155" t="s">
        <v>4448</v>
      </c>
      <c r="G254" s="156"/>
      <c r="H254" s="155" t="s">
        <v>3666</v>
      </c>
      <c r="I254" s="157" t="s">
        <v>3674</v>
      </c>
      <c r="J254" s="158" t="s">
        <v>11</v>
      </c>
      <c r="K254" s="159" t="s">
        <v>3668</v>
      </c>
      <c r="L254" s="155"/>
      <c r="M254" s="158"/>
      <c r="N254" s="210" t="s">
        <v>3669</v>
      </c>
    </row>
    <row r="255" spans="1:14" ht="22.95" customHeight="1">
      <c r="A255" s="155" t="s">
        <v>4449</v>
      </c>
      <c r="B255" s="155">
        <v>4552</v>
      </c>
      <c r="C255" s="156" t="s">
        <v>3132</v>
      </c>
      <c r="D255" s="156" t="str">
        <f t="shared" si="3"/>
        <v>新莊福慧店1</v>
      </c>
      <c r="E255" s="155">
        <v>1</v>
      </c>
      <c r="F255" s="155" t="s">
        <v>4450</v>
      </c>
      <c r="G255" s="156" t="s">
        <v>4451</v>
      </c>
      <c r="H255" s="155" t="s">
        <v>3673</v>
      </c>
      <c r="I255" s="157" t="s">
        <v>3667</v>
      </c>
      <c r="J255" s="158" t="s">
        <v>11</v>
      </c>
      <c r="K255" s="159" t="s">
        <v>3668</v>
      </c>
      <c r="L255" s="155"/>
      <c r="M255" s="158"/>
      <c r="N255" s="210" t="s">
        <v>3669</v>
      </c>
    </row>
    <row r="256" spans="1:14" ht="22.95" customHeight="1">
      <c r="A256" s="155" t="s">
        <v>4452</v>
      </c>
      <c r="B256" s="155" t="s">
        <v>58</v>
      </c>
      <c r="C256" s="156" t="s">
        <v>155</v>
      </c>
      <c r="D256" s="156" t="str">
        <f t="shared" si="3"/>
        <v>新莊福營店1</v>
      </c>
      <c r="E256" s="155">
        <v>1</v>
      </c>
      <c r="F256" s="155" t="s">
        <v>4453</v>
      </c>
      <c r="G256" s="156" t="s">
        <v>4454</v>
      </c>
      <c r="H256" s="155" t="s">
        <v>3666</v>
      </c>
      <c r="I256" s="157" t="s">
        <v>3674</v>
      </c>
      <c r="J256" s="158" t="s">
        <v>11</v>
      </c>
      <c r="K256" s="159" t="s">
        <v>3668</v>
      </c>
      <c r="L256" s="155"/>
      <c r="M256" s="158"/>
      <c r="N256" s="210" t="s">
        <v>3669</v>
      </c>
    </row>
    <row r="257" spans="1:14" ht="22.95" customHeight="1">
      <c r="A257" s="155" t="s">
        <v>4455</v>
      </c>
      <c r="B257" s="155" t="s">
        <v>58</v>
      </c>
      <c r="C257" s="156" t="s">
        <v>155</v>
      </c>
      <c r="D257" s="156" t="str">
        <f t="shared" si="3"/>
        <v>新莊福營店2</v>
      </c>
      <c r="E257" s="155">
        <v>2</v>
      </c>
      <c r="F257" s="155" t="s">
        <v>4456</v>
      </c>
      <c r="G257" s="156" t="s">
        <v>4457</v>
      </c>
      <c r="H257" s="155" t="s">
        <v>3666</v>
      </c>
      <c r="I257" s="157" t="s">
        <v>3674</v>
      </c>
      <c r="J257" s="158" t="s">
        <v>11</v>
      </c>
      <c r="K257" s="159" t="s">
        <v>3668</v>
      </c>
      <c r="L257" s="155"/>
      <c r="M257" s="158"/>
      <c r="N257" s="210" t="s">
        <v>3669</v>
      </c>
    </row>
    <row r="258" spans="1:14" ht="22.95" customHeight="1">
      <c r="A258" s="155" t="s">
        <v>4458</v>
      </c>
      <c r="B258" s="155">
        <v>4228</v>
      </c>
      <c r="C258" s="156" t="s">
        <v>881</v>
      </c>
      <c r="D258" s="156" t="str">
        <f t="shared" ref="D258:D321" si="4">C258&amp;E258</f>
        <v>新莊頭前公園1</v>
      </c>
      <c r="E258" s="155">
        <v>1</v>
      </c>
      <c r="F258" s="155" t="s">
        <v>4459</v>
      </c>
      <c r="G258" s="156" t="s">
        <v>4460</v>
      </c>
      <c r="H258" s="155" t="s">
        <v>3666</v>
      </c>
      <c r="I258" s="157" t="s">
        <v>3674</v>
      </c>
      <c r="J258" s="158" t="s">
        <v>11</v>
      </c>
      <c r="K258" s="159" t="s">
        <v>3668</v>
      </c>
      <c r="L258" s="155"/>
      <c r="M258" s="158"/>
      <c r="N258" s="210" t="s">
        <v>3669</v>
      </c>
    </row>
    <row r="259" spans="1:14" ht="22.95" customHeight="1">
      <c r="A259" s="155" t="s">
        <v>4461</v>
      </c>
      <c r="B259" s="155">
        <v>4228</v>
      </c>
      <c r="C259" s="156" t="s">
        <v>881</v>
      </c>
      <c r="D259" s="156" t="str">
        <f t="shared" si="4"/>
        <v>新莊頭前公園2</v>
      </c>
      <c r="E259" s="155">
        <v>2</v>
      </c>
      <c r="F259" s="155" t="s">
        <v>4462</v>
      </c>
      <c r="G259" s="156" t="s">
        <v>4463</v>
      </c>
      <c r="H259" s="155" t="s">
        <v>3666</v>
      </c>
      <c r="I259" s="157" t="s">
        <v>3674</v>
      </c>
      <c r="J259" s="158" t="s">
        <v>11</v>
      </c>
      <c r="K259" s="159" t="s">
        <v>3668</v>
      </c>
      <c r="L259" s="155"/>
      <c r="M259" s="158"/>
      <c r="N259" s="210" t="s">
        <v>3669</v>
      </c>
    </row>
    <row r="260" spans="1:14" ht="22.95" customHeight="1">
      <c r="A260" s="155" t="s">
        <v>4464</v>
      </c>
      <c r="B260" s="155">
        <v>4144</v>
      </c>
      <c r="C260" s="156" t="s">
        <v>1006</v>
      </c>
      <c r="D260" s="156" t="str">
        <f t="shared" si="4"/>
        <v>新莊頭前店1</v>
      </c>
      <c r="E260" s="155">
        <v>1</v>
      </c>
      <c r="F260" s="155" t="s">
        <v>4465</v>
      </c>
      <c r="G260" s="156" t="s">
        <v>4466</v>
      </c>
      <c r="H260" s="155" t="s">
        <v>3716</v>
      </c>
      <c r="I260" s="157" t="s">
        <v>3674</v>
      </c>
      <c r="J260" s="158" t="s">
        <v>11</v>
      </c>
      <c r="K260" s="159" t="s">
        <v>3668</v>
      </c>
      <c r="L260" s="155"/>
      <c r="M260" s="158"/>
      <c r="N260" s="210" t="s">
        <v>3669</v>
      </c>
    </row>
    <row r="261" spans="1:14" ht="22.95" customHeight="1">
      <c r="A261" s="155" t="s">
        <v>4467</v>
      </c>
      <c r="B261" s="155">
        <v>4144</v>
      </c>
      <c r="C261" s="156" t="s">
        <v>1006</v>
      </c>
      <c r="D261" s="156" t="str">
        <f t="shared" si="4"/>
        <v>新莊頭前店2</v>
      </c>
      <c r="E261" s="155">
        <v>2</v>
      </c>
      <c r="F261" s="155" t="s">
        <v>4468</v>
      </c>
      <c r="G261" s="156" t="s">
        <v>4469</v>
      </c>
      <c r="H261" s="155" t="s">
        <v>3716</v>
      </c>
      <c r="I261" s="157" t="s">
        <v>3674</v>
      </c>
      <c r="J261" s="158" t="s">
        <v>11</v>
      </c>
      <c r="K261" s="159" t="s">
        <v>3668</v>
      </c>
      <c r="L261" s="155"/>
      <c r="M261" s="158"/>
      <c r="N261" s="210" t="s">
        <v>3669</v>
      </c>
    </row>
    <row r="262" spans="1:14" ht="22.95" customHeight="1">
      <c r="A262" s="155" t="s">
        <v>4470</v>
      </c>
      <c r="B262" s="155">
        <v>2743</v>
      </c>
      <c r="C262" s="156" t="s">
        <v>3074</v>
      </c>
      <c r="D262" s="156" t="str">
        <f t="shared" si="4"/>
        <v>新莊豐年店2</v>
      </c>
      <c r="E262" s="155">
        <v>2</v>
      </c>
      <c r="F262" s="155" t="s">
        <v>4471</v>
      </c>
      <c r="G262" s="156" t="s">
        <v>4472</v>
      </c>
      <c r="H262" s="155" t="s">
        <v>3716</v>
      </c>
      <c r="I262" s="157" t="s">
        <v>3706</v>
      </c>
      <c r="J262" s="158" t="s">
        <v>11</v>
      </c>
      <c r="K262" s="159" t="s">
        <v>3668</v>
      </c>
      <c r="L262" s="155"/>
      <c r="M262" s="158"/>
      <c r="N262" s="210" t="s">
        <v>3669</v>
      </c>
    </row>
    <row r="263" spans="1:14" ht="22.95" customHeight="1">
      <c r="A263" s="155" t="s">
        <v>4473</v>
      </c>
      <c r="B263" s="155">
        <v>4005</v>
      </c>
      <c r="C263" s="156" t="s">
        <v>3077</v>
      </c>
      <c r="D263" s="156" t="str">
        <f t="shared" si="4"/>
        <v>新莊雙鳳店1</v>
      </c>
      <c r="E263" s="155">
        <v>1</v>
      </c>
      <c r="F263" s="155" t="s">
        <v>4474</v>
      </c>
      <c r="G263" s="156" t="s">
        <v>4475</v>
      </c>
      <c r="H263" s="155" t="s">
        <v>3673</v>
      </c>
      <c r="I263" s="157" t="s">
        <v>3674</v>
      </c>
      <c r="J263" s="158" t="s">
        <v>11</v>
      </c>
      <c r="K263" s="159" t="s">
        <v>3668</v>
      </c>
      <c r="L263" s="155"/>
      <c r="M263" s="158"/>
      <c r="N263" s="210" t="s">
        <v>3669</v>
      </c>
    </row>
    <row r="264" spans="1:14" ht="22.95" customHeight="1">
      <c r="A264" s="155" t="s">
        <v>4476</v>
      </c>
      <c r="B264" s="155">
        <v>4005</v>
      </c>
      <c r="C264" s="156" t="s">
        <v>3077</v>
      </c>
      <c r="D264" s="156" t="str">
        <f t="shared" si="4"/>
        <v>新莊雙鳳店2</v>
      </c>
      <c r="E264" s="155">
        <v>2</v>
      </c>
      <c r="F264" s="155" t="s">
        <v>4477</v>
      </c>
      <c r="G264" s="156" t="s">
        <v>4478</v>
      </c>
      <c r="H264" s="155" t="s">
        <v>3666</v>
      </c>
      <c r="I264" s="157" t="s">
        <v>3674</v>
      </c>
      <c r="J264" s="158" t="s">
        <v>11</v>
      </c>
      <c r="K264" s="159" t="s">
        <v>3668</v>
      </c>
      <c r="L264" s="155"/>
      <c r="M264" s="158"/>
      <c r="N264" s="210" t="s">
        <v>3669</v>
      </c>
    </row>
    <row r="265" spans="1:14" ht="22.95" customHeight="1">
      <c r="A265" s="155" t="s">
        <v>4479</v>
      </c>
      <c r="B265" s="155">
        <v>2958</v>
      </c>
      <c r="C265" s="156" t="s">
        <v>3147</v>
      </c>
      <c r="D265" s="156" t="str">
        <f t="shared" si="4"/>
        <v>北縣蘆旺店1</v>
      </c>
      <c r="E265" s="155">
        <v>1</v>
      </c>
      <c r="F265" s="155" t="s">
        <v>4480</v>
      </c>
      <c r="G265" s="156" t="s">
        <v>4481</v>
      </c>
      <c r="H265" s="155" t="s">
        <v>3716</v>
      </c>
      <c r="I265" s="157" t="s">
        <v>3674</v>
      </c>
      <c r="J265" s="158" t="s">
        <v>6</v>
      </c>
      <c r="K265" s="159" t="s">
        <v>3668</v>
      </c>
      <c r="L265" s="155"/>
      <c r="M265" s="158"/>
      <c r="N265" s="210" t="s">
        <v>3669</v>
      </c>
    </row>
    <row r="266" spans="1:14" ht="22.95" customHeight="1">
      <c r="A266" s="155" t="s">
        <v>4482</v>
      </c>
      <c r="B266" s="155">
        <v>2958</v>
      </c>
      <c r="C266" s="156" t="s">
        <v>3147</v>
      </c>
      <c r="D266" s="156" t="str">
        <f t="shared" si="4"/>
        <v>北縣蘆旺店2</v>
      </c>
      <c r="E266" s="155">
        <v>2</v>
      </c>
      <c r="F266" s="155" t="s">
        <v>4483</v>
      </c>
      <c r="G266" s="156" t="s">
        <v>4484</v>
      </c>
      <c r="H266" s="155" t="s">
        <v>3716</v>
      </c>
      <c r="I266" s="157" t="s">
        <v>3674</v>
      </c>
      <c r="J266" s="158" t="s">
        <v>6</v>
      </c>
      <c r="K266" s="159" t="s">
        <v>3668</v>
      </c>
      <c r="L266" s="155"/>
      <c r="M266" s="158"/>
      <c r="N266" s="210" t="s">
        <v>3669</v>
      </c>
    </row>
    <row r="267" spans="1:14" ht="22.95" customHeight="1">
      <c r="A267" s="155" t="s">
        <v>4485</v>
      </c>
      <c r="B267" s="155">
        <v>3452</v>
      </c>
      <c r="C267" s="156" t="s">
        <v>4486</v>
      </c>
      <c r="D267" s="156" t="str">
        <f t="shared" si="4"/>
        <v>北縣蘆信店1</v>
      </c>
      <c r="E267" s="155">
        <v>1</v>
      </c>
      <c r="F267" s="155" t="s">
        <v>4487</v>
      </c>
      <c r="G267" s="156" t="s">
        <v>4488</v>
      </c>
      <c r="H267" s="155" t="s">
        <v>3716</v>
      </c>
      <c r="I267" s="157" t="s">
        <v>3674</v>
      </c>
      <c r="J267" s="158" t="s">
        <v>6</v>
      </c>
      <c r="K267" s="159" t="s">
        <v>3668</v>
      </c>
      <c r="L267" s="155"/>
      <c r="M267" s="158"/>
      <c r="N267" s="210" t="s">
        <v>3669</v>
      </c>
    </row>
    <row r="268" spans="1:14" ht="22.95" customHeight="1">
      <c r="A268" s="155" t="s">
        <v>4489</v>
      </c>
      <c r="B268" s="155">
        <v>3452</v>
      </c>
      <c r="C268" s="156" t="s">
        <v>4486</v>
      </c>
      <c r="D268" s="156" t="str">
        <f t="shared" si="4"/>
        <v>北縣蘆信店2</v>
      </c>
      <c r="E268" s="155">
        <v>2</v>
      </c>
      <c r="F268" s="155" t="s">
        <v>4490</v>
      </c>
      <c r="G268" s="156" t="s">
        <v>4491</v>
      </c>
      <c r="H268" s="155" t="s">
        <v>3716</v>
      </c>
      <c r="I268" s="157" t="s">
        <v>3674</v>
      </c>
      <c r="J268" s="158" t="s">
        <v>6</v>
      </c>
      <c r="K268" s="159" t="s">
        <v>3668</v>
      </c>
      <c r="L268" s="155"/>
      <c r="M268" s="158"/>
      <c r="N268" s="210" t="s">
        <v>3669</v>
      </c>
    </row>
    <row r="269" spans="1:14" ht="22.95" customHeight="1">
      <c r="A269" s="155" t="s">
        <v>4492</v>
      </c>
      <c r="B269" s="155">
        <v>3929</v>
      </c>
      <c r="C269" s="156" t="s">
        <v>220</v>
      </c>
      <c r="D269" s="156" t="str">
        <f t="shared" si="4"/>
        <v>蘆洲中山一1</v>
      </c>
      <c r="E269" s="155">
        <v>1</v>
      </c>
      <c r="F269" s="155" t="s">
        <v>4493</v>
      </c>
      <c r="G269" s="156" t="s">
        <v>4494</v>
      </c>
      <c r="H269" s="155" t="s">
        <v>3666</v>
      </c>
      <c r="I269" s="157" t="s">
        <v>3674</v>
      </c>
      <c r="J269" s="158" t="s">
        <v>6</v>
      </c>
      <c r="K269" s="159" t="s">
        <v>3668</v>
      </c>
      <c r="L269" s="155"/>
      <c r="M269" s="158"/>
      <c r="N269" s="210" t="s">
        <v>3669</v>
      </c>
    </row>
    <row r="270" spans="1:14" ht="22.95" customHeight="1">
      <c r="A270" s="155" t="s">
        <v>4495</v>
      </c>
      <c r="B270" s="155">
        <v>4923</v>
      </c>
      <c r="C270" s="156" t="s">
        <v>3157</v>
      </c>
      <c r="D270" s="156" t="str">
        <f t="shared" si="4"/>
        <v>蘆洲永平店2</v>
      </c>
      <c r="E270" s="155">
        <v>2</v>
      </c>
      <c r="F270" s="155" t="s">
        <v>4496</v>
      </c>
      <c r="G270" s="156" t="s">
        <v>4497</v>
      </c>
      <c r="H270" s="155" t="s">
        <v>3673</v>
      </c>
      <c r="I270" s="157" t="s">
        <v>3667</v>
      </c>
      <c r="J270" s="158" t="s">
        <v>6</v>
      </c>
      <c r="K270" s="159" t="s">
        <v>3668</v>
      </c>
      <c r="L270" s="155"/>
      <c r="M270" s="158"/>
      <c r="N270" s="210" t="s">
        <v>3669</v>
      </c>
    </row>
    <row r="271" spans="1:14" ht="22.95" customHeight="1">
      <c r="A271" s="155" t="s">
        <v>4498</v>
      </c>
      <c r="B271" s="155">
        <v>4036</v>
      </c>
      <c r="C271" s="156" t="s">
        <v>3169</v>
      </c>
      <c r="D271" s="156" t="str">
        <f t="shared" si="4"/>
        <v>蘆洲永樂店1</v>
      </c>
      <c r="E271" s="155">
        <v>1</v>
      </c>
      <c r="F271" s="155" t="s">
        <v>4499</v>
      </c>
      <c r="G271" s="156" t="s">
        <v>4500</v>
      </c>
      <c r="H271" s="155" t="s">
        <v>3666</v>
      </c>
      <c r="I271" s="157" t="s">
        <v>3674</v>
      </c>
      <c r="J271" s="158" t="s">
        <v>6</v>
      </c>
      <c r="K271" s="159" t="s">
        <v>3668</v>
      </c>
      <c r="L271" s="155"/>
      <c r="M271" s="158"/>
      <c r="N271" s="210" t="s">
        <v>3669</v>
      </c>
    </row>
    <row r="272" spans="1:14" ht="22.95" customHeight="1">
      <c r="A272" s="155" t="s">
        <v>4501</v>
      </c>
      <c r="B272" s="155">
        <v>4125</v>
      </c>
      <c r="C272" s="156" t="s">
        <v>3172</v>
      </c>
      <c r="D272" s="156" t="str">
        <f t="shared" si="4"/>
        <v>蘆洲長樂店1</v>
      </c>
      <c r="E272" s="155">
        <v>1</v>
      </c>
      <c r="F272" s="155" t="s">
        <v>4502</v>
      </c>
      <c r="G272" s="156" t="s">
        <v>4503</v>
      </c>
      <c r="H272" s="155" t="s">
        <v>3666</v>
      </c>
      <c r="I272" s="157" t="s">
        <v>3674</v>
      </c>
      <c r="J272" s="158" t="s">
        <v>6</v>
      </c>
      <c r="K272" s="159" t="s">
        <v>3668</v>
      </c>
      <c r="L272" s="155"/>
      <c r="M272" s="158"/>
      <c r="N272" s="210" t="s">
        <v>3669</v>
      </c>
    </row>
    <row r="273" spans="1:14" ht="22.95" customHeight="1">
      <c r="A273" s="155" t="s">
        <v>4504</v>
      </c>
      <c r="B273" s="155">
        <v>4125</v>
      </c>
      <c r="C273" s="156" t="s">
        <v>3172</v>
      </c>
      <c r="D273" s="156" t="str">
        <f t="shared" si="4"/>
        <v>蘆洲長樂店2</v>
      </c>
      <c r="E273" s="155">
        <v>2</v>
      </c>
      <c r="F273" s="155" t="s">
        <v>4505</v>
      </c>
      <c r="G273" s="156" t="s">
        <v>4506</v>
      </c>
      <c r="H273" s="155" t="s">
        <v>3666</v>
      </c>
      <c r="I273" s="157" t="s">
        <v>3667</v>
      </c>
      <c r="J273" s="158" t="s">
        <v>6</v>
      </c>
      <c r="K273" s="159" t="s">
        <v>3668</v>
      </c>
      <c r="L273" s="155"/>
      <c r="M273" s="158"/>
      <c r="N273" s="210" t="s">
        <v>3669</v>
      </c>
    </row>
    <row r="274" spans="1:14" ht="22.95" customHeight="1">
      <c r="A274" s="155" t="s">
        <v>4507</v>
      </c>
      <c r="B274" s="155">
        <v>4609</v>
      </c>
      <c r="C274" s="156" t="s">
        <v>3175</v>
      </c>
      <c r="D274" s="156" t="str">
        <f t="shared" si="4"/>
        <v>蘆洲洲正店1</v>
      </c>
      <c r="E274" s="155">
        <v>1</v>
      </c>
      <c r="F274" s="155" t="s">
        <v>4508</v>
      </c>
      <c r="G274" s="156" t="s">
        <v>4509</v>
      </c>
      <c r="H274" s="155" t="s">
        <v>3673</v>
      </c>
      <c r="I274" s="157" t="s">
        <v>3667</v>
      </c>
      <c r="J274" s="158" t="s">
        <v>6</v>
      </c>
      <c r="K274" s="159" t="s">
        <v>3668</v>
      </c>
      <c r="L274" s="155"/>
      <c r="M274" s="158"/>
      <c r="N274" s="210" t="s">
        <v>3669</v>
      </c>
    </row>
    <row r="275" spans="1:14" ht="22.95" customHeight="1">
      <c r="A275" s="155" t="s">
        <v>4510</v>
      </c>
      <c r="B275" s="155">
        <v>4609</v>
      </c>
      <c r="C275" s="156" t="s">
        <v>3175</v>
      </c>
      <c r="D275" s="156" t="str">
        <f t="shared" si="4"/>
        <v>蘆洲洲正店2</v>
      </c>
      <c r="E275" s="155">
        <v>2</v>
      </c>
      <c r="F275" s="155" t="s">
        <v>4511</v>
      </c>
      <c r="G275" s="156" t="s">
        <v>4512</v>
      </c>
      <c r="H275" s="155" t="s">
        <v>3673</v>
      </c>
      <c r="I275" s="157" t="s">
        <v>3674</v>
      </c>
      <c r="J275" s="158" t="s">
        <v>6</v>
      </c>
      <c r="K275" s="159" t="s">
        <v>3668</v>
      </c>
      <c r="L275" s="155"/>
      <c r="M275" s="158"/>
      <c r="N275" s="210" t="s">
        <v>3669</v>
      </c>
    </row>
    <row r="276" spans="1:14" ht="22.95" customHeight="1">
      <c r="A276" s="155" t="s">
        <v>4513</v>
      </c>
      <c r="B276" s="155">
        <v>4218</v>
      </c>
      <c r="C276" s="156" t="s">
        <v>214</v>
      </c>
      <c r="D276" s="156" t="str">
        <f t="shared" si="4"/>
        <v>蘆洲湧蓮店2</v>
      </c>
      <c r="E276" s="155">
        <v>2</v>
      </c>
      <c r="F276" s="155" t="s">
        <v>4514</v>
      </c>
      <c r="G276" s="156" t="s">
        <v>4515</v>
      </c>
      <c r="H276" s="155" t="s">
        <v>3666</v>
      </c>
      <c r="I276" s="157" t="s">
        <v>3674</v>
      </c>
      <c r="J276" s="158" t="s">
        <v>6</v>
      </c>
      <c r="K276" s="159" t="s">
        <v>3668</v>
      </c>
      <c r="L276" s="155"/>
      <c r="M276" s="158"/>
      <c r="N276" s="210" t="s">
        <v>3669</v>
      </c>
    </row>
    <row r="277" spans="1:14" ht="22.95" customHeight="1">
      <c r="A277" s="155" t="s">
        <v>4516</v>
      </c>
      <c r="B277" s="155">
        <v>2301</v>
      </c>
      <c r="C277" s="156" t="s">
        <v>3139</v>
      </c>
      <c r="D277" s="156" t="str">
        <f t="shared" si="4"/>
        <v>蘆洲樂平店1</v>
      </c>
      <c r="E277" s="155">
        <v>1</v>
      </c>
      <c r="F277" s="155" t="s">
        <v>4517</v>
      </c>
      <c r="G277" s="156" t="s">
        <v>4518</v>
      </c>
      <c r="H277" s="155" t="s">
        <v>3673</v>
      </c>
      <c r="I277" s="157" t="s">
        <v>3667</v>
      </c>
      <c r="J277" s="158" t="s">
        <v>6</v>
      </c>
      <c r="K277" s="159" t="s">
        <v>3668</v>
      </c>
      <c r="L277" s="155"/>
      <c r="M277" s="158"/>
      <c r="N277" s="210" t="s">
        <v>3669</v>
      </c>
    </row>
    <row r="278" spans="1:14" ht="22.95" customHeight="1">
      <c r="A278" s="155" t="s">
        <v>4519</v>
      </c>
      <c r="B278" s="155">
        <v>2301</v>
      </c>
      <c r="C278" s="156" t="s">
        <v>3139</v>
      </c>
      <c r="D278" s="156" t="str">
        <f t="shared" si="4"/>
        <v>蘆洲樂平店2</v>
      </c>
      <c r="E278" s="155">
        <v>2</v>
      </c>
      <c r="F278" s="155" t="s">
        <v>4520</v>
      </c>
      <c r="G278" s="156" t="s">
        <v>4521</v>
      </c>
      <c r="H278" s="155" t="s">
        <v>3716</v>
      </c>
      <c r="I278" s="157" t="s">
        <v>3674</v>
      </c>
      <c r="J278" s="158" t="s">
        <v>6</v>
      </c>
      <c r="K278" s="159" t="s">
        <v>3668</v>
      </c>
      <c r="L278" s="155"/>
      <c r="M278" s="158"/>
      <c r="N278" s="210" t="s">
        <v>3669</v>
      </c>
    </row>
    <row r="279" spans="1:14" ht="22.95" customHeight="1">
      <c r="A279" s="155" t="s">
        <v>4522</v>
      </c>
      <c r="B279" s="155" t="s">
        <v>69</v>
      </c>
      <c r="C279" s="156" t="s">
        <v>3178</v>
      </c>
      <c r="D279" s="156" t="str">
        <f t="shared" si="4"/>
        <v>蘆洲權義店1</v>
      </c>
      <c r="E279" s="155">
        <v>1</v>
      </c>
      <c r="F279" s="155" t="s">
        <v>4523</v>
      </c>
      <c r="G279" s="156" t="s">
        <v>4524</v>
      </c>
      <c r="H279" s="155" t="s">
        <v>3666</v>
      </c>
      <c r="I279" s="157" t="s">
        <v>3674</v>
      </c>
      <c r="J279" s="158" t="s">
        <v>6</v>
      </c>
      <c r="K279" s="159" t="s">
        <v>3668</v>
      </c>
      <c r="L279" s="155"/>
      <c r="M279" s="158"/>
      <c r="N279" s="210" t="s">
        <v>3669</v>
      </c>
    </row>
    <row r="280" spans="1:14" ht="22.95" customHeight="1">
      <c r="A280" s="155" t="s">
        <v>4525</v>
      </c>
      <c r="B280" s="155" t="s">
        <v>69</v>
      </c>
      <c r="C280" s="156" t="s">
        <v>3178</v>
      </c>
      <c r="D280" s="156" t="str">
        <f t="shared" si="4"/>
        <v>蘆洲權義店2</v>
      </c>
      <c r="E280" s="155">
        <v>2</v>
      </c>
      <c r="F280" s="155" t="s">
        <v>4526</v>
      </c>
      <c r="G280" s="156" t="s">
        <v>4527</v>
      </c>
      <c r="H280" s="155" t="s">
        <v>3666</v>
      </c>
      <c r="I280" s="157" t="s">
        <v>3667</v>
      </c>
      <c r="J280" s="158" t="s">
        <v>6</v>
      </c>
      <c r="K280" s="159" t="s">
        <v>3668</v>
      </c>
      <c r="L280" s="155"/>
      <c r="M280" s="158"/>
      <c r="N280" s="210" t="s">
        <v>3669</v>
      </c>
    </row>
    <row r="281" spans="1:14" ht="22.95" customHeight="1">
      <c r="A281" s="155" t="s">
        <v>4528</v>
      </c>
      <c r="B281" s="155">
        <v>2890</v>
      </c>
      <c r="C281" s="156" t="s">
        <v>3144</v>
      </c>
      <c r="D281" s="156" t="str">
        <f t="shared" si="4"/>
        <v>蘆洲鷺江店1</v>
      </c>
      <c r="E281" s="155">
        <v>1</v>
      </c>
      <c r="F281" s="155" t="s">
        <v>4529</v>
      </c>
      <c r="G281" s="156" t="s">
        <v>4530</v>
      </c>
      <c r="H281" s="155" t="s">
        <v>3716</v>
      </c>
      <c r="I281" s="157" t="s">
        <v>3674</v>
      </c>
      <c r="J281" s="158" t="s">
        <v>6</v>
      </c>
      <c r="K281" s="159" t="s">
        <v>3668</v>
      </c>
      <c r="L281" s="155"/>
      <c r="M281" s="158"/>
      <c r="N281" s="210" t="s">
        <v>3669</v>
      </c>
    </row>
    <row r="282" spans="1:14" ht="22.95" customHeight="1">
      <c r="A282" s="155" t="s">
        <v>4531</v>
      </c>
      <c r="B282" s="155">
        <v>2890</v>
      </c>
      <c r="C282" s="156" t="s">
        <v>3144</v>
      </c>
      <c r="D282" s="156" t="str">
        <f t="shared" si="4"/>
        <v>蘆洲鷺江店2</v>
      </c>
      <c r="E282" s="155">
        <v>2</v>
      </c>
      <c r="F282" s="155" t="s">
        <v>4532</v>
      </c>
      <c r="G282" s="156" t="s">
        <v>4533</v>
      </c>
      <c r="H282" s="155" t="s">
        <v>3716</v>
      </c>
      <c r="I282" s="157" t="s">
        <v>3674</v>
      </c>
      <c r="J282" s="158" t="s">
        <v>6</v>
      </c>
      <c r="K282" s="159" t="s">
        <v>3668</v>
      </c>
      <c r="L282" s="155"/>
      <c r="M282" s="158"/>
      <c r="N282" s="210" t="s">
        <v>3669</v>
      </c>
    </row>
    <row r="285" spans="1:14">
      <c r="G285" s="161"/>
      <c r="I285" s="161"/>
    </row>
  </sheetData>
  <autoFilter ref="A1:M282" xr:uid="{00000000-0009-0000-0000-00000E000000}"/>
  <phoneticPr fontId="43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69" width="8.796875" style="30" customWidth="1"/>
    <col min="370" max="16384" width="8.796875" style="30"/>
  </cols>
  <sheetData>
    <row r="1" spans="1:50" ht="18" customHeight="1">
      <c r="A1" s="447" t="s">
        <v>4534</v>
      </c>
      <c r="B1" s="448"/>
      <c r="D1" s="445" t="s">
        <v>4535</v>
      </c>
      <c r="E1" s="446"/>
      <c r="F1" s="446"/>
      <c r="G1" s="446"/>
      <c r="H1" s="446"/>
      <c r="I1" s="446"/>
      <c r="J1" s="446"/>
      <c r="K1" s="446"/>
      <c r="M1" s="445" t="s">
        <v>4536</v>
      </c>
      <c r="N1" s="446"/>
      <c r="O1" s="446"/>
      <c r="P1" s="446"/>
      <c r="Q1" s="446"/>
      <c r="R1" s="446"/>
      <c r="S1" s="446"/>
      <c r="T1" s="31"/>
      <c r="V1" s="445" t="s">
        <v>936</v>
      </c>
      <c r="W1" s="446"/>
      <c r="X1" s="446"/>
      <c r="Y1" s="446"/>
      <c r="Z1" s="446"/>
      <c r="AA1" s="446"/>
      <c r="AB1" s="446"/>
      <c r="AC1" s="446"/>
      <c r="AD1" s="446"/>
      <c r="AF1" s="445" t="s">
        <v>4537</v>
      </c>
      <c r="AG1" s="446"/>
      <c r="AH1" s="446"/>
      <c r="AI1" s="446"/>
      <c r="AJ1" s="446"/>
      <c r="AK1" s="446"/>
      <c r="AL1" s="446"/>
      <c r="AM1" s="446"/>
      <c r="AN1" s="446"/>
      <c r="AP1" s="445" t="s">
        <v>4538</v>
      </c>
      <c r="AQ1" s="446"/>
      <c r="AR1" s="446"/>
      <c r="AS1" s="446"/>
      <c r="AT1" s="446"/>
      <c r="AU1" s="446"/>
      <c r="AV1" s="446"/>
      <c r="AW1" s="446"/>
      <c r="AX1" s="446"/>
    </row>
    <row r="2" spans="1:50" ht="15.6" customHeight="1">
      <c r="A2" s="32" t="s">
        <v>4539</v>
      </c>
      <c r="B2" s="32" t="s">
        <v>278</v>
      </c>
      <c r="D2" s="32" t="s">
        <v>283</v>
      </c>
      <c r="E2" s="32" t="s">
        <v>26</v>
      </c>
      <c r="F2" s="32" t="s">
        <v>27</v>
      </c>
      <c r="G2" s="32" t="s">
        <v>4539</v>
      </c>
      <c r="H2" s="32" t="s">
        <v>4540</v>
      </c>
      <c r="I2" s="32" t="s">
        <v>4541</v>
      </c>
      <c r="J2" s="33" t="s">
        <v>4542</v>
      </c>
      <c r="K2" s="33" t="s">
        <v>4542</v>
      </c>
      <c r="L2" s="34"/>
      <c r="M2" s="32" t="s">
        <v>283</v>
      </c>
      <c r="N2" s="32" t="s">
        <v>145</v>
      </c>
      <c r="O2" s="32" t="s">
        <v>146</v>
      </c>
      <c r="P2" s="32" t="s">
        <v>4539</v>
      </c>
      <c r="Q2" s="32" t="s">
        <v>4540</v>
      </c>
      <c r="R2" s="32" t="s">
        <v>4541</v>
      </c>
      <c r="S2" s="32" t="s">
        <v>4543</v>
      </c>
      <c r="T2" s="35"/>
      <c r="V2" s="32" t="s">
        <v>283</v>
      </c>
      <c r="W2" s="32" t="s">
        <v>4539</v>
      </c>
      <c r="X2" s="32" t="s">
        <v>4544</v>
      </c>
      <c r="Y2" s="32" t="s">
        <v>4541</v>
      </c>
      <c r="Z2" s="32" t="s">
        <v>145</v>
      </c>
      <c r="AA2" s="32" t="s">
        <v>146</v>
      </c>
      <c r="AB2" s="32" t="s">
        <v>1085</v>
      </c>
      <c r="AC2" s="32" t="s">
        <v>4545</v>
      </c>
      <c r="AD2" s="32" t="s">
        <v>4546</v>
      </c>
      <c r="AF2" s="32" t="s">
        <v>283</v>
      </c>
      <c r="AG2" s="32" t="s">
        <v>4539</v>
      </c>
      <c r="AH2" s="32" t="s">
        <v>4544</v>
      </c>
      <c r="AI2" s="32" t="s">
        <v>4541</v>
      </c>
      <c r="AJ2" s="32" t="s">
        <v>145</v>
      </c>
      <c r="AK2" s="32" t="s">
        <v>146</v>
      </c>
      <c r="AL2" s="32" t="s">
        <v>1085</v>
      </c>
      <c r="AM2" s="32" t="s">
        <v>4545</v>
      </c>
      <c r="AN2" s="32" t="s">
        <v>4546</v>
      </c>
      <c r="AP2" s="32" t="s">
        <v>283</v>
      </c>
      <c r="AQ2" s="32" t="s">
        <v>4539</v>
      </c>
      <c r="AR2" s="32" t="s">
        <v>4544</v>
      </c>
      <c r="AS2" s="32" t="s">
        <v>4541</v>
      </c>
      <c r="AT2" s="32" t="s">
        <v>145</v>
      </c>
      <c r="AU2" s="32" t="s">
        <v>146</v>
      </c>
      <c r="AV2" s="32" t="s">
        <v>1085</v>
      </c>
      <c r="AW2" s="32" t="s">
        <v>4545</v>
      </c>
      <c r="AX2" s="32" t="s">
        <v>4546</v>
      </c>
    </row>
    <row r="3" spans="1:50" ht="15.6" customHeight="1">
      <c r="A3" s="36" t="s">
        <v>4547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4548</v>
      </c>
      <c r="G3" s="40" t="s">
        <v>4549</v>
      </c>
      <c r="H3" s="40" t="s">
        <v>4550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4551</v>
      </c>
      <c r="P3" s="42" t="s">
        <v>4552</v>
      </c>
      <c r="Q3" s="42" t="s">
        <v>4553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4554</v>
      </c>
      <c r="AB3" s="45" t="s">
        <v>4555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4556</v>
      </c>
      <c r="AL3" s="45" t="s">
        <v>4557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1239</v>
      </c>
      <c r="AS3" s="46">
        <v>2</v>
      </c>
      <c r="AT3" s="45">
        <v>2959</v>
      </c>
      <c r="AU3" s="45" t="s">
        <v>4558</v>
      </c>
      <c r="AV3" s="45" t="s">
        <v>4559</v>
      </c>
      <c r="AW3" s="41">
        <v>44883.680555555547</v>
      </c>
      <c r="AX3" s="41">
        <v>44894.541666666657</v>
      </c>
    </row>
    <row r="4" spans="1:50" ht="15.6" customHeight="1">
      <c r="A4" s="36" t="s">
        <v>4549</v>
      </c>
      <c r="B4" s="37">
        <f t="shared" si="0"/>
        <v>195</v>
      </c>
      <c r="D4" s="38">
        <v>2</v>
      </c>
      <c r="E4" s="39">
        <v>3750</v>
      </c>
      <c r="F4" s="47" t="s">
        <v>4560</v>
      </c>
      <c r="G4" s="40" t="s">
        <v>4549</v>
      </c>
      <c r="H4" s="40" t="s">
        <v>4550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4561</v>
      </c>
      <c r="P4" s="42" t="s">
        <v>4547</v>
      </c>
      <c r="Q4" s="42" t="s">
        <v>4562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4563</v>
      </c>
      <c r="AB4" s="45" t="s">
        <v>4564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4565</v>
      </c>
      <c r="AL4" s="45" t="s">
        <v>4566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1239</v>
      </c>
      <c r="AS4" s="46">
        <v>2</v>
      </c>
      <c r="AT4" s="45">
        <v>4960</v>
      </c>
      <c r="AU4" s="45" t="s">
        <v>4567</v>
      </c>
      <c r="AV4" s="45" t="s">
        <v>4568</v>
      </c>
      <c r="AW4" s="41">
        <v>44897.606944444437</v>
      </c>
      <c r="AX4" s="41">
        <v>44908.583333333343</v>
      </c>
    </row>
    <row r="5" spans="1:50" ht="15.6" customHeight="1">
      <c r="A5" s="36" t="s">
        <v>3022</v>
      </c>
      <c r="B5" s="37">
        <f t="shared" si="0"/>
        <v>325</v>
      </c>
      <c r="D5" s="38">
        <v>3</v>
      </c>
      <c r="E5" s="39">
        <v>2705</v>
      </c>
      <c r="F5" s="40" t="s">
        <v>4569</v>
      </c>
      <c r="G5" s="40" t="s">
        <v>4570</v>
      </c>
      <c r="H5" s="40" t="s">
        <v>4571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4572</v>
      </c>
      <c r="P5" s="42" t="s">
        <v>4549</v>
      </c>
      <c r="Q5" s="42" t="s">
        <v>4550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4573</v>
      </c>
      <c r="AB5" s="45" t="s">
        <v>4574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4575</v>
      </c>
      <c r="AL5" s="45" t="s">
        <v>4576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1239</v>
      </c>
      <c r="AS5" s="46">
        <v>2</v>
      </c>
      <c r="AT5" s="45">
        <v>3917</v>
      </c>
      <c r="AU5" s="45" t="s">
        <v>4577</v>
      </c>
      <c r="AV5" s="45" t="s">
        <v>4578</v>
      </c>
      <c r="AW5" s="41">
        <v>44897.606944444437</v>
      </c>
      <c r="AX5" s="41">
        <v>44909.583333333343</v>
      </c>
    </row>
    <row r="6" spans="1:50" ht="15.6" customHeight="1">
      <c r="A6" s="48" t="s">
        <v>4579</v>
      </c>
      <c r="B6" s="37">
        <f t="shared" si="0"/>
        <v>311</v>
      </c>
      <c r="D6" s="38">
        <v>4</v>
      </c>
      <c r="E6" s="39">
        <v>2062</v>
      </c>
      <c r="F6" s="40" t="s">
        <v>4580</v>
      </c>
      <c r="G6" s="40" t="s">
        <v>3022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4581</v>
      </c>
      <c r="P6" s="42" t="s">
        <v>4549</v>
      </c>
      <c r="Q6" s="42" t="s">
        <v>4550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4582</v>
      </c>
      <c r="AB6" s="45" t="s">
        <v>4583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4584</v>
      </c>
      <c r="AL6" s="45" t="s">
        <v>4574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4585</v>
      </c>
      <c r="AS6" s="46">
        <v>2</v>
      </c>
      <c r="AT6" s="45">
        <v>3549</v>
      </c>
      <c r="AU6" s="45" t="s">
        <v>4586</v>
      </c>
      <c r="AV6" s="45" t="s">
        <v>4587</v>
      </c>
      <c r="AW6" s="41">
        <v>44889.413194444453</v>
      </c>
      <c r="AX6" s="41">
        <v>44936.416666666657</v>
      </c>
    </row>
    <row r="7" spans="1:50" ht="15.6" customHeight="1">
      <c r="A7" s="36" t="s">
        <v>4588</v>
      </c>
      <c r="B7" s="37">
        <f t="shared" si="0"/>
        <v>67</v>
      </c>
      <c r="D7" s="38">
        <v>5</v>
      </c>
      <c r="E7" s="39">
        <v>2535</v>
      </c>
      <c r="F7" s="47" t="s">
        <v>4589</v>
      </c>
      <c r="G7" s="40" t="s">
        <v>3022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4590</v>
      </c>
      <c r="P7" s="42" t="s">
        <v>3022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3054</v>
      </c>
      <c r="AB7" s="45" t="s">
        <v>4591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4592</v>
      </c>
      <c r="AL7" s="45" t="s">
        <v>4593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1239</v>
      </c>
      <c r="AS7" s="46">
        <v>3</v>
      </c>
      <c r="AT7" s="45">
        <v>4487</v>
      </c>
      <c r="AU7" s="45" t="s">
        <v>4594</v>
      </c>
      <c r="AV7" s="45" t="s">
        <v>4595</v>
      </c>
      <c r="AW7" s="41">
        <v>45005.599305555559</v>
      </c>
      <c r="AX7" s="41">
        <v>45009.625</v>
      </c>
    </row>
    <row r="8" spans="1:50" ht="15.6" customHeight="1">
      <c r="A8" s="36" t="s">
        <v>4596</v>
      </c>
      <c r="B8" s="37">
        <f t="shared" si="0"/>
        <v>67</v>
      </c>
      <c r="D8" s="38">
        <v>6</v>
      </c>
      <c r="E8" s="39">
        <v>4291</v>
      </c>
      <c r="F8" s="40" t="s">
        <v>4597</v>
      </c>
      <c r="G8" s="40" t="s">
        <v>4596</v>
      </c>
      <c r="H8" s="40" t="s">
        <v>4598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4599</v>
      </c>
      <c r="P8" s="42" t="s">
        <v>3022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4600</v>
      </c>
      <c r="AB8" s="45" t="s">
        <v>4601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4602</v>
      </c>
      <c r="AL8" s="45" t="s">
        <v>4603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4585</v>
      </c>
      <c r="AS8" s="46">
        <v>2</v>
      </c>
      <c r="AT8" s="45">
        <v>3017</v>
      </c>
      <c r="AU8" s="45" t="s">
        <v>2854</v>
      </c>
      <c r="AV8" s="45" t="s">
        <v>2833</v>
      </c>
      <c r="AW8" s="41">
        <v>45026.375</v>
      </c>
      <c r="AX8" s="41">
        <v>45041.458333333343</v>
      </c>
    </row>
    <row r="9" spans="1:50" ht="15.6" customHeight="1">
      <c r="A9" s="36" t="s">
        <v>4604</v>
      </c>
      <c r="B9" s="37">
        <f t="shared" si="0"/>
        <v>40</v>
      </c>
      <c r="D9" s="38">
        <v>7</v>
      </c>
      <c r="E9" s="39">
        <v>3247</v>
      </c>
      <c r="F9" s="40" t="s">
        <v>4605</v>
      </c>
      <c r="G9" s="40" t="s">
        <v>4606</v>
      </c>
      <c r="H9" s="40" t="s">
        <v>4607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4608</v>
      </c>
      <c r="P9" s="42" t="s">
        <v>3022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4609</v>
      </c>
      <c r="AB9" s="45" t="s">
        <v>4610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4611</v>
      </c>
      <c r="AL9" s="45" t="s">
        <v>4612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4585</v>
      </c>
      <c r="AS9" s="46">
        <v>2</v>
      </c>
      <c r="AT9" s="45">
        <v>2850</v>
      </c>
      <c r="AU9" s="45" t="s">
        <v>4613</v>
      </c>
      <c r="AV9" s="45" t="s">
        <v>4614</v>
      </c>
      <c r="AW9" s="41">
        <v>45037.371527777781</v>
      </c>
      <c r="AX9" s="41">
        <v>45084.458333333343</v>
      </c>
    </row>
    <row r="10" spans="1:50" ht="15.6" customHeight="1">
      <c r="A10" s="36" t="s">
        <v>4570</v>
      </c>
      <c r="B10" s="37">
        <f t="shared" si="0"/>
        <v>162</v>
      </c>
      <c r="D10" s="38">
        <v>8</v>
      </c>
      <c r="E10" s="39">
        <v>2842</v>
      </c>
      <c r="F10" s="40" t="s">
        <v>4615</v>
      </c>
      <c r="G10" s="40" t="s">
        <v>4552</v>
      </c>
      <c r="H10" s="40" t="s">
        <v>4553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4616</v>
      </c>
      <c r="P10" s="42" t="s">
        <v>3022</v>
      </c>
      <c r="Q10" s="42" t="s">
        <v>4617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4618</v>
      </c>
      <c r="AB10" s="45" t="s">
        <v>4619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4620</v>
      </c>
      <c r="AL10" s="45" t="s">
        <v>4621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4585</v>
      </c>
      <c r="AS10" s="46">
        <v>2</v>
      </c>
      <c r="AT10" s="45">
        <v>3749</v>
      </c>
      <c r="AU10" s="45" t="s">
        <v>2862</v>
      </c>
      <c r="AV10" s="45" t="s">
        <v>2839</v>
      </c>
      <c r="AW10" s="41">
        <v>45147.606249999997</v>
      </c>
      <c r="AX10" s="41">
        <v>45160.458333333343</v>
      </c>
    </row>
    <row r="11" spans="1:50" ht="15.6" customHeight="1">
      <c r="A11" s="36" t="s">
        <v>4622</v>
      </c>
      <c r="B11" s="37">
        <f t="shared" si="0"/>
        <v>63</v>
      </c>
      <c r="D11" s="38">
        <v>9</v>
      </c>
      <c r="E11" s="39">
        <v>4019</v>
      </c>
      <c r="F11" s="40" t="s">
        <v>3428</v>
      </c>
      <c r="G11" s="40" t="s">
        <v>3022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4623</v>
      </c>
      <c r="P11" s="42" t="s">
        <v>4549</v>
      </c>
      <c r="Q11" s="42" t="s">
        <v>4624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4625</v>
      </c>
      <c r="AB11" s="45" t="s">
        <v>4626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4627</v>
      </c>
      <c r="AL11" s="45" t="s">
        <v>4628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4585</v>
      </c>
      <c r="AS11" s="46">
        <v>2</v>
      </c>
      <c r="AT11" s="45">
        <v>2988</v>
      </c>
      <c r="AU11" s="45" t="s">
        <v>4629</v>
      </c>
      <c r="AV11" s="45" t="s">
        <v>2904</v>
      </c>
      <c r="AW11" s="41">
        <v>45140.621527777781</v>
      </c>
      <c r="AX11" s="41">
        <v>45180.458333333343</v>
      </c>
    </row>
    <row r="12" spans="1:50" ht="15.6" customHeight="1">
      <c r="A12" s="36" t="s">
        <v>4630</v>
      </c>
      <c r="B12" s="37">
        <f t="shared" si="0"/>
        <v>21</v>
      </c>
      <c r="D12" s="38">
        <v>10</v>
      </c>
      <c r="E12" s="39" t="s">
        <v>4631</v>
      </c>
      <c r="F12" s="40" t="s">
        <v>4632</v>
      </c>
      <c r="G12" s="40" t="s">
        <v>4549</v>
      </c>
      <c r="H12" s="40" t="s">
        <v>4633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3062</v>
      </c>
      <c r="P12" s="42" t="s">
        <v>3022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4634</v>
      </c>
      <c r="AB12" s="45" t="s">
        <v>4635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4636</v>
      </c>
      <c r="AL12" s="45" t="s">
        <v>4637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1239</v>
      </c>
      <c r="AS12" s="46">
        <v>3</v>
      </c>
      <c r="AT12" s="45">
        <v>4387</v>
      </c>
      <c r="AU12" s="45" t="s">
        <v>4638</v>
      </c>
      <c r="AV12" s="45" t="s">
        <v>4639</v>
      </c>
      <c r="AW12" s="41">
        <v>45184.436805555553</v>
      </c>
      <c r="AX12" s="41">
        <v>45191.583333333343</v>
      </c>
    </row>
    <row r="13" spans="1:50" ht="15.6" customHeight="1">
      <c r="A13" s="36" t="s">
        <v>4640</v>
      </c>
      <c r="B13" s="37">
        <f t="shared" si="0"/>
        <v>26</v>
      </c>
      <c r="D13" s="38">
        <v>11</v>
      </c>
      <c r="E13" s="39">
        <v>4834</v>
      </c>
      <c r="F13" s="40" t="s">
        <v>322</v>
      </c>
      <c r="G13" s="40" t="s">
        <v>3022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3067</v>
      </c>
      <c r="P13" s="42" t="s">
        <v>3022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4641</v>
      </c>
      <c r="AB13" s="45" t="s">
        <v>4642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4634</v>
      </c>
      <c r="AL13" s="45" t="s">
        <v>4643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4585</v>
      </c>
      <c r="AS13" s="46">
        <v>2</v>
      </c>
      <c r="AT13" s="45" t="s">
        <v>4644</v>
      </c>
      <c r="AU13" s="45" t="s">
        <v>4645</v>
      </c>
      <c r="AV13" s="45" t="s">
        <v>4646</v>
      </c>
      <c r="AW13" s="41">
        <v>45202.722222222219</v>
      </c>
      <c r="AX13" s="41">
        <v>45245.458333333343</v>
      </c>
    </row>
    <row r="14" spans="1:50" ht="15.6" customHeight="1">
      <c r="A14" s="36" t="s">
        <v>4647</v>
      </c>
      <c r="B14" s="37">
        <f t="shared" si="0"/>
        <v>11</v>
      </c>
      <c r="D14" s="38">
        <v>12</v>
      </c>
      <c r="E14" s="39">
        <v>3535</v>
      </c>
      <c r="F14" s="40" t="s">
        <v>4648</v>
      </c>
      <c r="G14" s="40" t="s">
        <v>4579</v>
      </c>
      <c r="H14" s="40" t="s">
        <v>4649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4650</v>
      </c>
      <c r="P14" s="42" t="s">
        <v>4579</v>
      </c>
      <c r="Q14" s="42" t="s">
        <v>4651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2899</v>
      </c>
      <c r="AB14" s="45" t="s">
        <v>2861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4652</v>
      </c>
      <c r="AK14" s="45" t="s">
        <v>4653</v>
      </c>
      <c r="AL14" s="45" t="s">
        <v>4654</v>
      </c>
      <c r="AM14" s="41">
        <v>44663.447916666657</v>
      </c>
      <c r="AN14" s="41">
        <v>44692.458333333343</v>
      </c>
    </row>
    <row r="15" spans="1:50" ht="15.6" customHeight="1">
      <c r="A15" s="36" t="s">
        <v>4655</v>
      </c>
      <c r="B15" s="37">
        <f t="shared" si="0"/>
        <v>26</v>
      </c>
      <c r="D15" s="38">
        <v>13</v>
      </c>
      <c r="E15" s="39">
        <v>2892</v>
      </c>
      <c r="F15" s="40" t="s">
        <v>4656</v>
      </c>
      <c r="G15" s="40" t="s">
        <v>4588</v>
      </c>
      <c r="H15" s="40" t="s">
        <v>4657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4658</v>
      </c>
      <c r="P15" s="42" t="s">
        <v>4579</v>
      </c>
      <c r="Q15" s="42" t="s">
        <v>4649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4659</v>
      </c>
      <c r="AB15" s="45" t="s">
        <v>4660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4661</v>
      </c>
      <c r="AK15" s="45" t="s">
        <v>4662</v>
      </c>
      <c r="AL15" s="45" t="s">
        <v>4663</v>
      </c>
      <c r="AM15" s="41">
        <v>44678.590277777781</v>
      </c>
      <c r="AN15" s="41">
        <v>44697.625</v>
      </c>
    </row>
    <row r="16" spans="1:50" ht="15.6" customHeight="1">
      <c r="A16" s="36" t="s">
        <v>4664</v>
      </c>
      <c r="B16" s="37">
        <f t="shared" si="0"/>
        <v>65</v>
      </c>
      <c r="D16" s="38">
        <v>14</v>
      </c>
      <c r="E16" s="39" t="s">
        <v>4665</v>
      </c>
      <c r="F16" s="40" t="s">
        <v>4666</v>
      </c>
      <c r="G16" s="40" t="s">
        <v>4604</v>
      </c>
      <c r="H16" s="40" t="s">
        <v>4667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4668</v>
      </c>
      <c r="P16" s="42" t="s">
        <v>4588</v>
      </c>
      <c r="Q16" s="42" t="s">
        <v>4657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4669</v>
      </c>
      <c r="AB16" s="45" t="s">
        <v>4670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4671</v>
      </c>
      <c r="AL16" s="45" t="s">
        <v>4672</v>
      </c>
      <c r="AM16" s="41">
        <v>44678.584722222222</v>
      </c>
      <c r="AN16" s="41">
        <v>44698.458333333343</v>
      </c>
    </row>
    <row r="17" spans="1:40" ht="15.6" customHeight="1">
      <c r="A17" s="36" t="s">
        <v>4606</v>
      </c>
      <c r="B17" s="37">
        <f t="shared" si="0"/>
        <v>152</v>
      </c>
      <c r="D17" s="38">
        <v>15</v>
      </c>
      <c r="E17" s="39" t="s">
        <v>4673</v>
      </c>
      <c r="F17" s="40" t="s">
        <v>4674</v>
      </c>
      <c r="G17" s="40" t="s">
        <v>4570</v>
      </c>
      <c r="H17" s="40" t="s">
        <v>4675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2927</v>
      </c>
      <c r="P17" s="42" t="s">
        <v>4579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4676</v>
      </c>
      <c r="AB17" s="45" t="s">
        <v>4677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4678</v>
      </c>
      <c r="AL17" s="45" t="s">
        <v>4679</v>
      </c>
      <c r="AM17" s="41">
        <v>44672.616666666669</v>
      </c>
      <c r="AN17" s="41">
        <v>44698.625</v>
      </c>
    </row>
    <row r="18" spans="1:40" ht="15.6" customHeight="1">
      <c r="A18" s="36" t="s">
        <v>4680</v>
      </c>
      <c r="B18" s="37">
        <f t="shared" si="0"/>
        <v>53</v>
      </c>
      <c r="D18" s="38">
        <v>16</v>
      </c>
      <c r="E18" s="39">
        <v>4121</v>
      </c>
      <c r="F18" s="40" t="s">
        <v>4681</v>
      </c>
      <c r="G18" s="40" t="s">
        <v>4606</v>
      </c>
      <c r="H18" s="40" t="s">
        <v>4682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4683</v>
      </c>
      <c r="P18" s="42" t="s">
        <v>4579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4684</v>
      </c>
      <c r="AB18" s="45" t="s">
        <v>4643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4685</v>
      </c>
      <c r="AL18" s="45" t="s">
        <v>2841</v>
      </c>
      <c r="AM18" s="41">
        <v>44687.510416666657</v>
      </c>
      <c r="AN18" s="41">
        <v>44700.458333333343</v>
      </c>
    </row>
    <row r="19" spans="1:40" ht="15.6" customHeight="1">
      <c r="A19" s="36" t="s">
        <v>4686</v>
      </c>
      <c r="B19" s="37">
        <f t="shared" si="0"/>
        <v>0</v>
      </c>
      <c r="D19" s="38">
        <v>17</v>
      </c>
      <c r="E19" s="39">
        <v>4076</v>
      </c>
      <c r="F19" s="40" t="s">
        <v>4687</v>
      </c>
      <c r="G19" s="40" t="s">
        <v>4647</v>
      </c>
      <c r="H19" s="40" t="s">
        <v>4657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2929</v>
      </c>
      <c r="P19" s="42" t="s">
        <v>4579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4688</v>
      </c>
      <c r="AB19" s="45" t="s">
        <v>4689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4690</v>
      </c>
      <c r="AL19" s="45" t="s">
        <v>4691</v>
      </c>
      <c r="AM19" s="41">
        <v>44676.393055555563</v>
      </c>
      <c r="AN19" s="41">
        <v>44705.625</v>
      </c>
    </row>
    <row r="20" spans="1:40" ht="15.6" customHeight="1">
      <c r="A20" s="36" t="s">
        <v>4692</v>
      </c>
      <c r="B20" s="37">
        <f t="shared" si="0"/>
        <v>0</v>
      </c>
      <c r="D20" s="38">
        <v>18</v>
      </c>
      <c r="E20" s="39">
        <v>2076</v>
      </c>
      <c r="F20" s="40" t="s">
        <v>4693</v>
      </c>
      <c r="G20" s="40" t="s">
        <v>4680</v>
      </c>
      <c r="H20" s="40" t="s">
        <v>4694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4695</v>
      </c>
      <c r="P20" s="42" t="s">
        <v>4570</v>
      </c>
      <c r="Q20" s="42" t="s">
        <v>4696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4697</v>
      </c>
      <c r="AB20" s="45" t="s">
        <v>4698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4699</v>
      </c>
      <c r="AL20" s="45" t="s">
        <v>4700</v>
      </c>
      <c r="AM20" s="41">
        <v>44692.406944444447</v>
      </c>
      <c r="AN20" s="41">
        <v>44707.458333333343</v>
      </c>
    </row>
    <row r="21" spans="1:40" ht="15.6" customHeight="1">
      <c r="A21" s="36" t="s">
        <v>4701</v>
      </c>
      <c r="B21" s="37">
        <f t="shared" si="0"/>
        <v>0</v>
      </c>
      <c r="D21" s="38">
        <v>19</v>
      </c>
      <c r="E21" s="39">
        <v>4872</v>
      </c>
      <c r="F21" s="40" t="s">
        <v>4702</v>
      </c>
      <c r="G21" s="40" t="s">
        <v>4664</v>
      </c>
      <c r="H21" s="40" t="s">
        <v>4703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4704</v>
      </c>
      <c r="P21" s="42" t="s">
        <v>4622</v>
      </c>
      <c r="Q21" s="42" t="s">
        <v>4705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4706</v>
      </c>
      <c r="AB21" s="45" t="s">
        <v>4707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4708</v>
      </c>
      <c r="AL21" s="45" t="s">
        <v>4709</v>
      </c>
      <c r="AM21" s="41">
        <v>44698.376388888893</v>
      </c>
      <c r="AN21" s="41">
        <v>44714.416666666657</v>
      </c>
    </row>
    <row r="22" spans="1:40" ht="15.6" customHeight="1">
      <c r="A22" s="36" t="s">
        <v>4552</v>
      </c>
      <c r="B22" s="37">
        <f t="shared" si="0"/>
        <v>33</v>
      </c>
      <c r="D22" s="38">
        <v>20</v>
      </c>
      <c r="E22" s="39">
        <v>4812</v>
      </c>
      <c r="F22" s="40" t="s">
        <v>4710</v>
      </c>
      <c r="G22" s="40" t="s">
        <v>4549</v>
      </c>
      <c r="H22" s="40" t="s">
        <v>4711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4712</v>
      </c>
      <c r="P22" s="42" t="s">
        <v>4622</v>
      </c>
      <c r="Q22" s="42" t="s">
        <v>4713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849</v>
      </c>
      <c r="AB22" s="45" t="s">
        <v>4714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4715</v>
      </c>
      <c r="AL22" s="45" t="s">
        <v>4716</v>
      </c>
      <c r="AM22" s="41">
        <v>44699.65</v>
      </c>
      <c r="AN22" s="41">
        <v>44714.625</v>
      </c>
    </row>
    <row r="23" spans="1:40" ht="15.6" customHeight="1">
      <c r="A23" s="49" t="s">
        <v>4717</v>
      </c>
      <c r="B23" s="37">
        <f t="shared" si="0"/>
        <v>0</v>
      </c>
      <c r="D23" s="38">
        <v>21</v>
      </c>
      <c r="E23" s="39">
        <v>4697</v>
      </c>
      <c r="F23" s="40" t="s">
        <v>4718</v>
      </c>
      <c r="G23" s="40" t="s">
        <v>3022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4719</v>
      </c>
      <c r="P23" s="42" t="s">
        <v>4630</v>
      </c>
      <c r="Q23" s="42" t="s">
        <v>4720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186</v>
      </c>
      <c r="AB23" s="45" t="s">
        <v>2969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4721</v>
      </c>
      <c r="AL23" s="45" t="s">
        <v>4722</v>
      </c>
      <c r="AM23" s="41">
        <v>44704.611805555563</v>
      </c>
      <c r="AN23" s="41">
        <v>44719.625</v>
      </c>
    </row>
    <row r="24" spans="1:40" ht="15.6" customHeight="1">
      <c r="A24" s="49" t="s">
        <v>4723</v>
      </c>
      <c r="B24" s="37">
        <f t="shared" si="0"/>
        <v>0</v>
      </c>
      <c r="D24" s="38">
        <v>22</v>
      </c>
      <c r="E24" s="39">
        <v>4573</v>
      </c>
      <c r="F24" s="40" t="s">
        <v>3390</v>
      </c>
      <c r="G24" s="40" t="s">
        <v>3022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4724</v>
      </c>
      <c r="P24" s="42" t="s">
        <v>4570</v>
      </c>
      <c r="Q24" s="42" t="s">
        <v>4725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4726</v>
      </c>
      <c r="AB24" s="45" t="s">
        <v>4727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4728</v>
      </c>
      <c r="AK24" s="45" t="s">
        <v>4729</v>
      </c>
      <c r="AL24" s="45" t="s">
        <v>4730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4731</v>
      </c>
      <c r="G25" s="40" t="s">
        <v>4549</v>
      </c>
      <c r="H25" s="40" t="s">
        <v>4732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4733</v>
      </c>
      <c r="P25" s="42" t="s">
        <v>4570</v>
      </c>
      <c r="Q25" s="42" t="s">
        <v>4734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2901</v>
      </c>
      <c r="AB25" s="45" t="s">
        <v>4735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4736</v>
      </c>
      <c r="AL25" s="45" t="s">
        <v>4737</v>
      </c>
      <c r="AM25" s="41">
        <v>44714.451388888891</v>
      </c>
      <c r="AN25" s="41">
        <v>44721.458333333343</v>
      </c>
    </row>
    <row r="26" spans="1:40" ht="15.6" customHeight="1">
      <c r="A26" s="51" t="s">
        <v>4738</v>
      </c>
      <c r="B26" s="51">
        <f>SUM(B3:B25)</f>
        <v>1629</v>
      </c>
      <c r="D26" s="38">
        <v>24</v>
      </c>
      <c r="E26" s="39">
        <v>4663</v>
      </c>
      <c r="F26" s="40" t="s">
        <v>4739</v>
      </c>
      <c r="G26" s="40" t="s">
        <v>3022</v>
      </c>
      <c r="H26" s="40" t="s">
        <v>4740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4741</v>
      </c>
      <c r="P26" s="42" t="s">
        <v>4630</v>
      </c>
      <c r="Q26" s="42" t="s">
        <v>4720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4742</v>
      </c>
      <c r="AB26" s="45" t="s">
        <v>4743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4744</v>
      </c>
      <c r="AL26" s="45" t="s">
        <v>4745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4746</v>
      </c>
      <c r="G27" s="40" t="s">
        <v>4549</v>
      </c>
      <c r="H27" s="40" t="s">
        <v>4550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4747</v>
      </c>
      <c r="P27" s="42" t="s">
        <v>4622</v>
      </c>
      <c r="Q27" s="42" t="s">
        <v>4713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4748</v>
      </c>
      <c r="AB27" s="45" t="s">
        <v>4749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4750</v>
      </c>
      <c r="AL27" s="45" t="s">
        <v>4751</v>
      </c>
      <c r="AM27" s="41">
        <v>44706.681944444441</v>
      </c>
      <c r="AN27" s="41">
        <v>44726.625</v>
      </c>
    </row>
    <row r="28" spans="1:40" ht="15.6" customHeight="1">
      <c r="A28" s="51" t="s">
        <v>4752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4753</v>
      </c>
      <c r="G28" s="40" t="s">
        <v>3022</v>
      </c>
      <c r="H28" s="40" t="s">
        <v>4754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4755</v>
      </c>
      <c r="P28" s="42" t="s">
        <v>4570</v>
      </c>
      <c r="Q28" s="42" t="s">
        <v>4725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4756</v>
      </c>
      <c r="AB28" s="45" t="s">
        <v>4757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4758</v>
      </c>
      <c r="AL28" s="45" t="s">
        <v>4759</v>
      </c>
      <c r="AM28" s="41">
        <v>44697.463194444441</v>
      </c>
      <c r="AN28" s="41">
        <v>44728.625</v>
      </c>
    </row>
    <row r="29" spans="1:40" ht="15.6" customHeight="1">
      <c r="A29" s="51" t="s">
        <v>4760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4761</v>
      </c>
      <c r="G29" s="40" t="s">
        <v>3022</v>
      </c>
      <c r="H29" s="40" t="s">
        <v>4754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4762</v>
      </c>
      <c r="P29" s="42" t="s">
        <v>4664</v>
      </c>
      <c r="Q29" s="42" t="s">
        <v>4763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4764</v>
      </c>
      <c r="AB29" s="45" t="s">
        <v>4765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4718</v>
      </c>
      <c r="AL29" s="45" t="s">
        <v>4766</v>
      </c>
      <c r="AM29" s="41">
        <v>44718.682638888888</v>
      </c>
      <c r="AN29" s="41">
        <v>44732.625</v>
      </c>
    </row>
    <row r="30" spans="1:40" ht="15.6" customHeight="1">
      <c r="A30" s="51" t="s">
        <v>4767</v>
      </c>
      <c r="B30" s="51">
        <f>SUM(BC:BC)</f>
        <v>0</v>
      </c>
      <c r="D30" s="38">
        <v>28</v>
      </c>
      <c r="E30" s="39">
        <v>4609</v>
      </c>
      <c r="F30" s="40" t="s">
        <v>3175</v>
      </c>
      <c r="G30" s="40" t="s">
        <v>3022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4768</v>
      </c>
      <c r="P30" s="42" t="s">
        <v>4606</v>
      </c>
      <c r="Q30" s="42" t="s">
        <v>4769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4770</v>
      </c>
      <c r="AB30" s="45" t="s">
        <v>4771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4772</v>
      </c>
      <c r="AL30" s="45" t="s">
        <v>4773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2752</v>
      </c>
      <c r="G31" s="40" t="s">
        <v>3022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4774</v>
      </c>
      <c r="P31" s="42" t="s">
        <v>4664</v>
      </c>
      <c r="Q31" s="42" t="s">
        <v>4775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4776</v>
      </c>
      <c r="AB31" s="45" t="s">
        <v>4777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4778</v>
      </c>
      <c r="AL31" s="45" t="s">
        <v>4779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2759</v>
      </c>
      <c r="G32" s="40" t="s">
        <v>3022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4780</v>
      </c>
      <c r="P32" s="42" t="s">
        <v>4606</v>
      </c>
      <c r="Q32" s="42" t="s">
        <v>4781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4782</v>
      </c>
      <c r="AB32" s="45" t="s">
        <v>4783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4784</v>
      </c>
      <c r="AL32" s="45" t="s">
        <v>4785</v>
      </c>
      <c r="AM32" s="41">
        <v>44734.781944444447</v>
      </c>
      <c r="AN32" s="41">
        <v>44743.416666666657</v>
      </c>
    </row>
    <row r="33" spans="1:40" ht="15.6" customHeight="1">
      <c r="A33" s="51" t="s">
        <v>4786</v>
      </c>
      <c r="B33" s="51">
        <f>SUM(I:I)+SUM(R:R)+SUM(Y:Y)-SUM(AI:AI)</f>
        <v>3210</v>
      </c>
      <c r="D33" s="38">
        <v>31</v>
      </c>
      <c r="E33" s="39">
        <v>4788</v>
      </c>
      <c r="F33" s="40" t="s">
        <v>586</v>
      </c>
      <c r="G33" s="40" t="s">
        <v>3022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4787</v>
      </c>
      <c r="P33" s="42" t="s">
        <v>4606</v>
      </c>
      <c r="Q33" s="42" t="s">
        <v>4788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4789</v>
      </c>
      <c r="AB33" s="45" t="s">
        <v>4790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4791</v>
      </c>
      <c r="AL33" s="45" t="s">
        <v>4792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574</v>
      </c>
      <c r="G34" s="40" t="s">
        <v>3022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4793</v>
      </c>
      <c r="AB34" s="45" t="s">
        <v>4794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4795</v>
      </c>
      <c r="AL34" s="45" t="s">
        <v>4796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3048</v>
      </c>
      <c r="G35" s="40" t="s">
        <v>3022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5" t="s">
        <v>77</v>
      </c>
      <c r="N35" s="446"/>
      <c r="O35" s="446"/>
      <c r="P35" s="446"/>
      <c r="Q35" s="446"/>
      <c r="R35" s="446"/>
      <c r="S35" s="446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4797</v>
      </c>
      <c r="AB35" s="45" t="s">
        <v>4798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4799</v>
      </c>
      <c r="AK35" s="45" t="s">
        <v>4800</v>
      </c>
      <c r="AL35" s="45" t="s">
        <v>4801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4802</v>
      </c>
      <c r="G36" s="40" t="s">
        <v>4588</v>
      </c>
      <c r="H36" s="40" t="s">
        <v>4657</v>
      </c>
      <c r="I36" s="39">
        <v>2</v>
      </c>
      <c r="J36" s="41">
        <v>44432.416666666657</v>
      </c>
      <c r="K36" s="41">
        <v>44608.4375</v>
      </c>
      <c r="M36" s="32" t="s">
        <v>283</v>
      </c>
      <c r="N36" s="32" t="s">
        <v>145</v>
      </c>
      <c r="O36" s="32" t="s">
        <v>146</v>
      </c>
      <c r="P36" s="32" t="s">
        <v>4539</v>
      </c>
      <c r="Q36" s="32" t="s">
        <v>4540</v>
      </c>
      <c r="R36" s="32" t="s">
        <v>4541</v>
      </c>
      <c r="S36" s="32" t="s">
        <v>4543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4803</v>
      </c>
      <c r="AB36" s="45" t="s">
        <v>4804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4805</v>
      </c>
      <c r="AL36" s="45" t="s">
        <v>4806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4807</v>
      </c>
      <c r="G37" s="40" t="s">
        <v>4604</v>
      </c>
      <c r="H37" s="40" t="s">
        <v>4667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203</v>
      </c>
      <c r="P37" s="55" t="s">
        <v>3022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4808</v>
      </c>
      <c r="AB37" s="45" t="s">
        <v>4809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4810</v>
      </c>
      <c r="AL37" s="45" t="s">
        <v>4811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4812</v>
      </c>
      <c r="G38" s="40" t="s">
        <v>4570</v>
      </c>
      <c r="H38" s="40" t="s">
        <v>4813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4814</v>
      </c>
      <c r="O38" s="55" t="s">
        <v>4815</v>
      </c>
      <c r="P38" s="55" t="s">
        <v>4606</v>
      </c>
      <c r="Q38" s="55" t="s">
        <v>4682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4816</v>
      </c>
      <c r="AB38" s="45" t="s">
        <v>4817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4818</v>
      </c>
      <c r="AL38" s="45" t="s">
        <v>4819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4820</v>
      </c>
      <c r="G39" s="40" t="s">
        <v>4630</v>
      </c>
      <c r="H39" s="40" t="s">
        <v>4821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4822</v>
      </c>
      <c r="O39" s="55" t="s">
        <v>4823</v>
      </c>
      <c r="P39" s="55" t="s">
        <v>4680</v>
      </c>
      <c r="Q39" s="55" t="s">
        <v>4694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4824</v>
      </c>
      <c r="AB39" s="45" t="s">
        <v>4825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4826</v>
      </c>
      <c r="AL39" s="45" t="s">
        <v>4827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4828</v>
      </c>
      <c r="G40" s="40" t="s">
        <v>4604</v>
      </c>
      <c r="H40" s="40" t="s">
        <v>4829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4830</v>
      </c>
      <c r="O40" s="55" t="s">
        <v>4831</v>
      </c>
      <c r="P40" s="55" t="s">
        <v>4604</v>
      </c>
      <c r="Q40" s="55" t="s">
        <v>4667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4832</v>
      </c>
      <c r="AB40" s="45" t="s">
        <v>4833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4834</v>
      </c>
      <c r="AL40" s="45" t="s">
        <v>4835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4836</v>
      </c>
      <c r="G41" s="40" t="s">
        <v>4640</v>
      </c>
      <c r="H41" s="40" t="s">
        <v>4837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4728</v>
      </c>
      <c r="O41" s="42" t="s">
        <v>4838</v>
      </c>
      <c r="P41" s="42" t="s">
        <v>4622</v>
      </c>
      <c r="Q41" s="42" t="s">
        <v>4839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4840</v>
      </c>
      <c r="AB41" s="45" t="s">
        <v>4841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4842</v>
      </c>
      <c r="AK41" s="45" t="s">
        <v>4787</v>
      </c>
      <c r="AL41" s="45" t="s">
        <v>4843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4844</v>
      </c>
      <c r="G42" s="40" t="s">
        <v>4570</v>
      </c>
      <c r="H42" s="40" t="s">
        <v>4845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4846</v>
      </c>
      <c r="O42" s="55" t="s">
        <v>4847</v>
      </c>
      <c r="P42" s="55" t="s">
        <v>4570</v>
      </c>
      <c r="Q42" s="55" t="s">
        <v>4813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4848</v>
      </c>
      <c r="AB42" s="45" t="s">
        <v>4849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4850</v>
      </c>
      <c r="AK42" s="45" t="s">
        <v>4851</v>
      </c>
      <c r="AL42" s="45" t="s">
        <v>4852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4853</v>
      </c>
      <c r="G43" s="40" t="s">
        <v>4570</v>
      </c>
      <c r="H43" s="40" t="s">
        <v>4854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4855</v>
      </c>
      <c r="O43" s="55" t="s">
        <v>4856</v>
      </c>
      <c r="P43" s="55" t="s">
        <v>4655</v>
      </c>
      <c r="Q43" s="55" t="s">
        <v>4857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4858</v>
      </c>
      <c r="AB43" s="45" t="s">
        <v>4859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4860</v>
      </c>
      <c r="AK43" s="45" t="s">
        <v>4861</v>
      </c>
      <c r="AL43" s="45" t="s">
        <v>4862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4863</v>
      </c>
      <c r="G44" s="40" t="s">
        <v>4606</v>
      </c>
      <c r="H44" s="40" t="s">
        <v>4864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4865</v>
      </c>
      <c r="O44" s="55" t="s">
        <v>4866</v>
      </c>
      <c r="P44" s="55" t="s">
        <v>4588</v>
      </c>
      <c r="Q44" s="55" t="s">
        <v>4657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4867</v>
      </c>
      <c r="AB44" s="45" t="s">
        <v>4868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4869</v>
      </c>
      <c r="AK44" s="45" t="s">
        <v>4870</v>
      </c>
      <c r="AL44" s="45" t="s">
        <v>4871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4872</v>
      </c>
      <c r="G45" s="40" t="s">
        <v>4606</v>
      </c>
      <c r="H45" s="40" t="s">
        <v>4873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4874</v>
      </c>
      <c r="O45" s="55" t="s">
        <v>4875</v>
      </c>
      <c r="P45" s="55" t="s">
        <v>4606</v>
      </c>
      <c r="Q45" s="55" t="s">
        <v>4607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4876</v>
      </c>
      <c r="AB45" s="45" t="s">
        <v>4877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4878</v>
      </c>
      <c r="AL45" s="45" t="s">
        <v>4879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4880</v>
      </c>
      <c r="G46" s="40" t="s">
        <v>4655</v>
      </c>
      <c r="H46" s="40" t="s">
        <v>4881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4882</v>
      </c>
      <c r="O46" s="55" t="s">
        <v>4883</v>
      </c>
      <c r="P46" s="55" t="s">
        <v>4579</v>
      </c>
      <c r="Q46" s="55" t="s">
        <v>4649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4884</v>
      </c>
      <c r="AB46" s="45" t="s">
        <v>4885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4886</v>
      </c>
      <c r="AK46" s="45" t="s">
        <v>4887</v>
      </c>
      <c r="AL46" s="45" t="s">
        <v>4888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4889</v>
      </c>
      <c r="G47" s="40" t="s">
        <v>4606</v>
      </c>
      <c r="H47" s="40" t="s">
        <v>4890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4891</v>
      </c>
      <c r="O47" s="55" t="s">
        <v>4892</v>
      </c>
      <c r="P47" s="55" t="s">
        <v>4664</v>
      </c>
      <c r="Q47" s="55" t="s">
        <v>4675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4893</v>
      </c>
      <c r="AB47" s="45" t="s">
        <v>4894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4895</v>
      </c>
      <c r="AL47" s="45" t="s">
        <v>4896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4897</v>
      </c>
      <c r="G48" s="40" t="s">
        <v>4606</v>
      </c>
      <c r="H48" s="40" t="s">
        <v>4607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4898</v>
      </c>
      <c r="O48" s="55" t="s">
        <v>4899</v>
      </c>
      <c r="P48" s="55" t="s">
        <v>4570</v>
      </c>
      <c r="Q48" s="55" t="s">
        <v>4900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4901</v>
      </c>
      <c r="AB48" s="45" t="s">
        <v>4902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4903</v>
      </c>
      <c r="AL48" s="45" t="s">
        <v>2863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4904</v>
      </c>
      <c r="G49" s="40" t="s">
        <v>4606</v>
      </c>
      <c r="H49" s="40" t="s">
        <v>4769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4905</v>
      </c>
      <c r="AB49" s="45" t="s">
        <v>4906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4907</v>
      </c>
      <c r="AL49" s="45" t="s">
        <v>4908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4909</v>
      </c>
      <c r="G50" s="40" t="s">
        <v>4680</v>
      </c>
      <c r="H50" s="40" t="s">
        <v>4910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4911</v>
      </c>
      <c r="AB50" s="45" t="s">
        <v>4912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4673</v>
      </c>
      <c r="AK50" s="45" t="s">
        <v>4674</v>
      </c>
      <c r="AL50" s="45" t="s">
        <v>4913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4914</v>
      </c>
      <c r="G51" s="40" t="s">
        <v>4549</v>
      </c>
      <c r="H51" s="40" t="s">
        <v>4550</v>
      </c>
      <c r="I51" s="39">
        <v>2</v>
      </c>
      <c r="J51" s="41">
        <v>44440.416666666657</v>
      </c>
      <c r="K51" s="41">
        <v>44607.416666666657</v>
      </c>
      <c r="M51" s="445" t="s">
        <v>4915</v>
      </c>
      <c r="N51" s="446"/>
      <c r="O51" s="446"/>
      <c r="P51" s="446"/>
      <c r="Q51" s="446"/>
      <c r="R51" s="446"/>
      <c r="S51" s="446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4916</v>
      </c>
      <c r="AB51" s="45" t="s">
        <v>4917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4918</v>
      </c>
      <c r="AL51" s="45" t="s">
        <v>4919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4920</v>
      </c>
      <c r="G52" s="40" t="s">
        <v>4549</v>
      </c>
      <c r="H52" s="40" t="s">
        <v>4732</v>
      </c>
      <c r="I52" s="39">
        <v>2</v>
      </c>
      <c r="J52" s="41">
        <v>44441.416666666657</v>
      </c>
      <c r="K52" s="41">
        <v>44578.479166666657</v>
      </c>
      <c r="M52" s="32" t="s">
        <v>283</v>
      </c>
      <c r="N52" s="32" t="s">
        <v>145</v>
      </c>
      <c r="O52" s="32" t="s">
        <v>146</v>
      </c>
      <c r="P52" s="32" t="s">
        <v>4539</v>
      </c>
      <c r="Q52" s="32" t="s">
        <v>4540</v>
      </c>
      <c r="R52" s="32" t="s">
        <v>4541</v>
      </c>
      <c r="S52" s="32" t="s">
        <v>4543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4921</v>
      </c>
      <c r="AB52" s="45" t="s">
        <v>4922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821</v>
      </c>
      <c r="AL52" s="45" t="s">
        <v>3196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4923</v>
      </c>
      <c r="G53" s="40" t="s">
        <v>3022</v>
      </c>
      <c r="H53" s="40" t="s">
        <v>4924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4925</v>
      </c>
      <c r="O53" s="55" t="s">
        <v>4572</v>
      </c>
      <c r="P53" s="55" t="s">
        <v>4549</v>
      </c>
      <c r="Q53" s="55" t="s">
        <v>4550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4926</v>
      </c>
      <c r="AB53" s="45" t="s">
        <v>4927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4928</v>
      </c>
      <c r="AL53" s="45" t="s">
        <v>4929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2972</v>
      </c>
      <c r="G54" s="40" t="s">
        <v>3022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4930</v>
      </c>
      <c r="O54" s="55" t="s">
        <v>4931</v>
      </c>
      <c r="P54" s="55" t="s">
        <v>3022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4932</v>
      </c>
      <c r="AB54" s="45" t="s">
        <v>4933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4934</v>
      </c>
      <c r="AL54" s="45" t="s">
        <v>4935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4936</v>
      </c>
      <c r="G55" s="40" t="s">
        <v>4549</v>
      </c>
      <c r="H55" s="40" t="s">
        <v>4624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4937</v>
      </c>
      <c r="O55" s="55" t="s">
        <v>4938</v>
      </c>
      <c r="P55" s="55" t="s">
        <v>4647</v>
      </c>
      <c r="Q55" s="55" t="s">
        <v>4900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4939</v>
      </c>
      <c r="AB55" s="45" t="s">
        <v>4940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4941</v>
      </c>
      <c r="AL55" s="45" t="s">
        <v>4942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4943</v>
      </c>
      <c r="G56" s="40" t="s">
        <v>4549</v>
      </c>
      <c r="H56" s="40" t="s">
        <v>4624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4944</v>
      </c>
      <c r="O56" s="45" t="s">
        <v>4945</v>
      </c>
      <c r="P56" s="59" t="s">
        <v>4604</v>
      </c>
      <c r="Q56" s="59" t="s">
        <v>4946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4947</v>
      </c>
      <c r="AB56" s="45" t="s">
        <v>4948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4949</v>
      </c>
      <c r="AL56" s="45" t="s">
        <v>4950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4951</v>
      </c>
      <c r="G57" s="40" t="s">
        <v>4549</v>
      </c>
      <c r="H57" s="40" t="s">
        <v>4624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4952</v>
      </c>
      <c r="O57" s="45" t="s">
        <v>4953</v>
      </c>
      <c r="P57" s="59" t="s">
        <v>4549</v>
      </c>
      <c r="Q57" s="59" t="s">
        <v>4550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4954</v>
      </c>
      <c r="AB57" s="45" t="s">
        <v>4955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4956</v>
      </c>
      <c r="AL57" s="45" t="s">
        <v>4957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2725</v>
      </c>
      <c r="G58" s="40" t="s">
        <v>3022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4958</v>
      </c>
      <c r="O58" s="45" t="s">
        <v>4959</v>
      </c>
      <c r="P58" s="59" t="s">
        <v>4549</v>
      </c>
      <c r="Q58" s="59" t="s">
        <v>4624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4960</v>
      </c>
      <c r="AB58" s="45" t="s">
        <v>4961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4863</v>
      </c>
      <c r="AL58" s="45" t="s">
        <v>4962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4592</v>
      </c>
      <c r="G59" s="40" t="s">
        <v>3022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336</v>
      </c>
      <c r="P59" s="59" t="s">
        <v>3022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4963</v>
      </c>
      <c r="AB59" s="45" t="s">
        <v>4964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4965</v>
      </c>
      <c r="AL59" s="45" t="s">
        <v>4966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4967</v>
      </c>
      <c r="G60" s="40" t="s">
        <v>4570</v>
      </c>
      <c r="H60" s="40" t="s">
        <v>4696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341</v>
      </c>
      <c r="P60" s="59" t="s">
        <v>3022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4968</v>
      </c>
      <c r="AB60" s="45" t="s">
        <v>4969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4970</v>
      </c>
      <c r="AL60" s="45" t="s">
        <v>4971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4972</v>
      </c>
      <c r="G61" s="40" t="s">
        <v>4630</v>
      </c>
      <c r="H61" s="40" t="s">
        <v>4973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1025</v>
      </c>
      <c r="P61" s="59" t="s">
        <v>3022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4974</v>
      </c>
      <c r="AB61" s="45" t="s">
        <v>4975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4976</v>
      </c>
      <c r="AL61" s="45" t="s">
        <v>4977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4978</v>
      </c>
      <c r="G62" s="40" t="s">
        <v>4570</v>
      </c>
      <c r="H62" s="40" t="s">
        <v>4979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3062</v>
      </c>
      <c r="P62" s="59" t="s">
        <v>3022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4980</v>
      </c>
      <c r="AB62" s="45" t="s">
        <v>4981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4982</v>
      </c>
      <c r="AL62" s="45" t="s">
        <v>4983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4895</v>
      </c>
      <c r="G63" s="40" t="s">
        <v>4664</v>
      </c>
      <c r="H63" s="40" t="s">
        <v>4763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3067</v>
      </c>
      <c r="P63" s="59" t="s">
        <v>3022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4984</v>
      </c>
      <c r="AB63" s="45" t="s">
        <v>4985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4986</v>
      </c>
      <c r="AK63" s="45" t="s">
        <v>4987</v>
      </c>
      <c r="AL63" s="45" t="s">
        <v>4988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4989</v>
      </c>
      <c r="G64" s="40" t="s">
        <v>4549</v>
      </c>
      <c r="H64" s="40" t="s">
        <v>4990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3136</v>
      </c>
      <c r="P64" s="59" t="s">
        <v>3022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4991</v>
      </c>
      <c r="AB64" s="45" t="s">
        <v>4992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4993</v>
      </c>
      <c r="AL64" s="45" t="s">
        <v>4994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4995</v>
      </c>
      <c r="G65" s="40" t="s">
        <v>4549</v>
      </c>
      <c r="H65" s="40" t="s">
        <v>4990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4996</v>
      </c>
      <c r="O65" s="45" t="s">
        <v>4997</v>
      </c>
      <c r="P65" s="59" t="s">
        <v>4547</v>
      </c>
      <c r="Q65" s="59" t="s">
        <v>4562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2903</v>
      </c>
      <c r="AB65" s="45" t="s">
        <v>4998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4999</v>
      </c>
      <c r="AL65" s="45" t="s">
        <v>5000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5001</v>
      </c>
      <c r="G66" s="40" t="s">
        <v>4547</v>
      </c>
      <c r="H66" s="40" t="s">
        <v>5002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5003</v>
      </c>
      <c r="O66" s="45" t="s">
        <v>5004</v>
      </c>
      <c r="P66" s="59" t="s">
        <v>3022</v>
      </c>
      <c r="Q66" s="59" t="s">
        <v>4617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5005</v>
      </c>
      <c r="AB66" s="45" t="s">
        <v>5006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5007</v>
      </c>
      <c r="AK66" s="45" t="s">
        <v>5008</v>
      </c>
      <c r="AL66" s="45" t="s">
        <v>5009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5010</v>
      </c>
      <c r="F67" s="40" t="s">
        <v>5011</v>
      </c>
      <c r="G67" s="40" t="s">
        <v>4549</v>
      </c>
      <c r="H67" s="40" t="s">
        <v>4550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2927</v>
      </c>
      <c r="P67" s="59" t="s">
        <v>4579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5012</v>
      </c>
      <c r="AB67" s="45" t="s">
        <v>5013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5014</v>
      </c>
      <c r="AK67" s="45" t="s">
        <v>5015</v>
      </c>
      <c r="AL67" s="45" t="s">
        <v>5016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5017</v>
      </c>
      <c r="G68" s="40" t="s">
        <v>4549</v>
      </c>
      <c r="H68" s="40" t="s">
        <v>4550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2929</v>
      </c>
      <c r="P68" s="59" t="s">
        <v>4579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5018</v>
      </c>
      <c r="AB68" s="45" t="s">
        <v>5019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5020</v>
      </c>
      <c r="AK68" s="45" t="s">
        <v>5021</v>
      </c>
      <c r="AL68" s="45" t="s">
        <v>5022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5023</v>
      </c>
      <c r="G69" s="40" t="s">
        <v>4552</v>
      </c>
      <c r="H69" s="40" t="s">
        <v>4553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5024</v>
      </c>
      <c r="O69" s="45" t="s">
        <v>5025</v>
      </c>
      <c r="P69" s="59" t="s">
        <v>4579</v>
      </c>
      <c r="Q69" s="59" t="s">
        <v>4649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5026</v>
      </c>
      <c r="AB69" s="45" t="s">
        <v>5027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5028</v>
      </c>
      <c r="AK69" s="45" t="s">
        <v>5029</v>
      </c>
      <c r="AL69" s="45" t="s">
        <v>5030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5031</v>
      </c>
      <c r="F70" s="40" t="s">
        <v>5032</v>
      </c>
      <c r="G70" s="40" t="s">
        <v>4549</v>
      </c>
      <c r="H70" s="40" t="s">
        <v>4550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5033</v>
      </c>
      <c r="O70" s="45" t="s">
        <v>5034</v>
      </c>
      <c r="P70" s="59" t="s">
        <v>4579</v>
      </c>
      <c r="Q70" s="59" t="s">
        <v>4651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5035</v>
      </c>
      <c r="AB70" s="45" t="s">
        <v>5036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5037</v>
      </c>
      <c r="AK70" s="45" t="s">
        <v>5038</v>
      </c>
      <c r="AL70" s="45" t="s">
        <v>5039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3388</v>
      </c>
      <c r="G71" s="40" t="s">
        <v>3022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5040</v>
      </c>
      <c r="O71" s="45" t="s">
        <v>4724</v>
      </c>
      <c r="P71" s="59" t="s">
        <v>4570</v>
      </c>
      <c r="Q71" s="59" t="s">
        <v>4725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5041</v>
      </c>
      <c r="AB71" s="45" t="s">
        <v>5042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5043</v>
      </c>
      <c r="AK71" s="45" t="s">
        <v>4755</v>
      </c>
      <c r="AL71" s="45" t="s">
        <v>5044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5045</v>
      </c>
      <c r="G72" s="40" t="s">
        <v>4549</v>
      </c>
      <c r="H72" s="40" t="s">
        <v>5046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5047</v>
      </c>
      <c r="O72" s="45" t="s">
        <v>4747</v>
      </c>
      <c r="P72" s="59" t="s">
        <v>4622</v>
      </c>
      <c r="Q72" s="59" t="s">
        <v>4713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3104</v>
      </c>
      <c r="AB72" s="45" t="s">
        <v>3106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5048</v>
      </c>
      <c r="AK72" s="45" t="s">
        <v>5049</v>
      </c>
      <c r="AL72" s="45" t="s">
        <v>5050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5051</v>
      </c>
      <c r="G73" s="40" t="s">
        <v>4549</v>
      </c>
      <c r="H73" s="40" t="s">
        <v>4711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5052</v>
      </c>
      <c r="O73" s="45" t="s">
        <v>5053</v>
      </c>
      <c r="P73" s="59" t="s">
        <v>4622</v>
      </c>
      <c r="Q73" s="59" t="s">
        <v>4839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5054</v>
      </c>
      <c r="AB73" s="45" t="s">
        <v>5055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5056</v>
      </c>
      <c r="AL73" s="45" t="s">
        <v>5057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5058</v>
      </c>
      <c r="G74" s="40" t="s">
        <v>4549</v>
      </c>
      <c r="H74" s="40" t="s">
        <v>4990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5059</v>
      </c>
      <c r="O74" s="45" t="s">
        <v>5060</v>
      </c>
      <c r="P74" s="59" t="s">
        <v>4570</v>
      </c>
      <c r="Q74" s="59" t="s">
        <v>4734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5061</v>
      </c>
      <c r="AB74" s="45" t="s">
        <v>5062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4954</v>
      </c>
      <c r="AL74" s="45" t="s">
        <v>4955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5063</v>
      </c>
      <c r="G75" s="40" t="s">
        <v>3022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5064</v>
      </c>
      <c r="O75" s="45" t="s">
        <v>5065</v>
      </c>
      <c r="P75" s="59" t="s">
        <v>4570</v>
      </c>
      <c r="Q75" s="59" t="s">
        <v>4571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2817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5066</v>
      </c>
      <c r="AK75" s="45" t="s">
        <v>4719</v>
      </c>
      <c r="AL75" s="45" t="s">
        <v>5067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677</v>
      </c>
      <c r="G76" s="40" t="s">
        <v>3022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5068</v>
      </c>
      <c r="O76" s="45" t="s">
        <v>5069</v>
      </c>
      <c r="P76" s="59" t="s">
        <v>4622</v>
      </c>
      <c r="Q76" s="59" t="s">
        <v>4713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5070</v>
      </c>
      <c r="AB76" s="45" t="s">
        <v>5071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5072</v>
      </c>
      <c r="AK76" s="45" t="s">
        <v>4741</v>
      </c>
      <c r="AL76" s="45" t="s">
        <v>5073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5074</v>
      </c>
      <c r="G77" s="40" t="s">
        <v>3022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5075</v>
      </c>
      <c r="O77" s="45" t="s">
        <v>5076</v>
      </c>
      <c r="P77" s="59" t="s">
        <v>4570</v>
      </c>
      <c r="Q77" s="59" t="s">
        <v>5077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5078</v>
      </c>
      <c r="AB77" s="45" t="s">
        <v>5079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5080</v>
      </c>
      <c r="AL77" s="45" t="s">
        <v>5081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5082</v>
      </c>
      <c r="G78" s="40" t="s">
        <v>3022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5083</v>
      </c>
      <c r="O78" s="45" t="s">
        <v>5084</v>
      </c>
      <c r="P78" s="59" t="s">
        <v>4570</v>
      </c>
      <c r="Q78" s="59" t="s">
        <v>4696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5085</v>
      </c>
      <c r="AB78" s="45" t="s">
        <v>5086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5087</v>
      </c>
      <c r="AL78" s="45" t="s">
        <v>5088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4049</v>
      </c>
      <c r="G79" s="40" t="s">
        <v>3022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5089</v>
      </c>
      <c r="O79" s="45" t="s">
        <v>5090</v>
      </c>
      <c r="P79" s="59" t="s">
        <v>4570</v>
      </c>
      <c r="Q79" s="59" t="s">
        <v>4571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2905</v>
      </c>
      <c r="AB79" s="45" t="s">
        <v>2869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5091</v>
      </c>
      <c r="AL79" s="45" t="s">
        <v>5092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3318</v>
      </c>
      <c r="G80" s="40" t="s">
        <v>3022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5093</v>
      </c>
      <c r="O80" s="45" t="s">
        <v>5094</v>
      </c>
      <c r="P80" s="59" t="s">
        <v>4622</v>
      </c>
      <c r="Q80" s="59" t="s">
        <v>5095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5096</v>
      </c>
      <c r="AB80" s="45" t="s">
        <v>5097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5098</v>
      </c>
      <c r="AL80" s="45" t="s">
        <v>5099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3132</v>
      </c>
      <c r="G81" s="40" t="s">
        <v>3022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5100</v>
      </c>
      <c r="O81" s="45" t="s">
        <v>5101</v>
      </c>
      <c r="P81" s="59" t="s">
        <v>4606</v>
      </c>
      <c r="Q81" s="59" t="s">
        <v>4769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2702</v>
      </c>
      <c r="AB81" s="45" t="s">
        <v>2704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5102</v>
      </c>
      <c r="AL81" s="45" t="s">
        <v>5103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3092</v>
      </c>
      <c r="G82" s="40" t="s">
        <v>3022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5104</v>
      </c>
      <c r="O82" s="45" t="s">
        <v>5105</v>
      </c>
      <c r="P82" s="59" t="s">
        <v>4664</v>
      </c>
      <c r="Q82" s="59" t="s">
        <v>4775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5106</v>
      </c>
      <c r="AB82" s="45" t="s">
        <v>5107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5108</v>
      </c>
      <c r="AL82" s="45" t="s">
        <v>2835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5109</v>
      </c>
      <c r="G83" s="40" t="s">
        <v>4549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5110</v>
      </c>
      <c r="O83" s="45" t="s">
        <v>5111</v>
      </c>
      <c r="P83" s="59" t="s">
        <v>4606</v>
      </c>
      <c r="Q83" s="59" t="s">
        <v>5112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5113</v>
      </c>
      <c r="AB83" s="45" t="s">
        <v>5114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5115</v>
      </c>
      <c r="AL83" s="45" t="s">
        <v>5116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5117</v>
      </c>
      <c r="G84" s="40" t="s">
        <v>3022</v>
      </c>
      <c r="H84" s="40" t="s">
        <v>4617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4683</v>
      </c>
      <c r="P84" s="59" t="s">
        <v>4579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5118</v>
      </c>
      <c r="AB84" s="45" t="s">
        <v>5119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5120</v>
      </c>
      <c r="AL84" s="45" t="s">
        <v>5121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5122</v>
      </c>
      <c r="G85" s="40" t="s">
        <v>3022</v>
      </c>
      <c r="H85" s="40" t="s">
        <v>4617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2931</v>
      </c>
      <c r="P85" s="59" t="s">
        <v>4579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5123</v>
      </c>
      <c r="AB85" s="45" t="s">
        <v>5124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5125</v>
      </c>
      <c r="AL85" s="45" t="s">
        <v>5126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2949</v>
      </c>
      <c r="G86" s="40" t="s">
        <v>3022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5127</v>
      </c>
      <c r="O86" s="45" t="s">
        <v>5128</v>
      </c>
      <c r="P86" s="59" t="s">
        <v>4570</v>
      </c>
      <c r="Q86" s="59" t="s">
        <v>5129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5130</v>
      </c>
      <c r="AB86" s="45" t="s">
        <v>5131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5132</v>
      </c>
      <c r="AL86" s="45" t="s">
        <v>5133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543</v>
      </c>
      <c r="G87" s="40" t="s">
        <v>3022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5134</v>
      </c>
      <c r="O87" s="45" t="s">
        <v>5135</v>
      </c>
      <c r="P87" s="59" t="s">
        <v>4680</v>
      </c>
      <c r="Q87" s="59" t="s">
        <v>5136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5137</v>
      </c>
      <c r="AB87" s="45" t="s">
        <v>5138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5139</v>
      </c>
      <c r="AL87" s="45" t="s">
        <v>5140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5141</v>
      </c>
      <c r="G88" s="40" t="s">
        <v>4549</v>
      </c>
      <c r="H88" s="40" t="s">
        <v>4624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3070</v>
      </c>
      <c r="P88" s="212" t="s">
        <v>3022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5142</v>
      </c>
      <c r="AB88" s="45" t="s">
        <v>5143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5118</v>
      </c>
      <c r="AL88" s="45" t="s">
        <v>5119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5144</v>
      </c>
      <c r="G89" s="40" t="s">
        <v>4549</v>
      </c>
      <c r="H89" s="40" t="s">
        <v>4624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5145</v>
      </c>
      <c r="AB89" s="45" t="s">
        <v>5146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5147</v>
      </c>
      <c r="AL89" s="45" t="s">
        <v>5148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3988</v>
      </c>
      <c r="G90" s="40" t="s">
        <v>3022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3160</v>
      </c>
      <c r="AB90" s="45" t="s">
        <v>3162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5149</v>
      </c>
      <c r="AK90" s="45" t="s">
        <v>5150</v>
      </c>
      <c r="AL90" s="45" t="s">
        <v>5151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2688</v>
      </c>
      <c r="G91" s="40" t="s">
        <v>3022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5152</v>
      </c>
      <c r="AB91" s="45" t="s">
        <v>5153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5154</v>
      </c>
      <c r="AL91" s="45" t="s">
        <v>5155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2807</v>
      </c>
      <c r="G92" s="40" t="s">
        <v>3022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5156</v>
      </c>
      <c r="AB92" s="45" t="s">
        <v>5157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5158</v>
      </c>
      <c r="AL92" s="45" t="s">
        <v>5159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598</v>
      </c>
      <c r="G93" s="40" t="s">
        <v>3022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5160</v>
      </c>
      <c r="AB93" s="45" t="s">
        <v>5161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5162</v>
      </c>
      <c r="AL93" s="45" t="s">
        <v>5163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3392</v>
      </c>
      <c r="G94" s="40" t="s">
        <v>3022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5164</v>
      </c>
      <c r="AB94" s="45" t="s">
        <v>5165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5166</v>
      </c>
      <c r="AI94" s="46">
        <v>1</v>
      </c>
      <c r="AJ94" s="45" t="s">
        <v>4925</v>
      </c>
      <c r="AK94" s="45" t="s">
        <v>5167</v>
      </c>
      <c r="AL94" s="45" t="s">
        <v>5168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5169</v>
      </c>
      <c r="G95" s="40" t="s">
        <v>3022</v>
      </c>
      <c r="H95" s="40" t="s">
        <v>4924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5170</v>
      </c>
      <c r="AB95" s="45" t="s">
        <v>5171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5172</v>
      </c>
      <c r="AL95" s="45" t="s">
        <v>5173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5174</v>
      </c>
      <c r="G96" s="40" t="s">
        <v>4549</v>
      </c>
      <c r="H96" s="40" t="s">
        <v>5175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200</v>
      </c>
      <c r="AB96" s="45" t="s">
        <v>2724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5176</v>
      </c>
      <c r="AL96" s="45" t="s">
        <v>5177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5178</v>
      </c>
      <c r="G97" s="40" t="s">
        <v>4547</v>
      </c>
      <c r="H97" s="40" t="s">
        <v>5179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5180</v>
      </c>
      <c r="AB97" s="45" t="s">
        <v>5181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5182</v>
      </c>
      <c r="AL97" s="45" t="s">
        <v>5183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626</v>
      </c>
      <c r="G98" s="40" t="s">
        <v>3022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5184</v>
      </c>
      <c r="AB98" s="45" t="s">
        <v>5185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5186</v>
      </c>
      <c r="AL98" s="45" t="s">
        <v>5187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5188</v>
      </c>
      <c r="G99" s="40" t="s">
        <v>4549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5189</v>
      </c>
      <c r="AB99" s="45" t="s">
        <v>5190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5191</v>
      </c>
      <c r="AL99" s="45" t="s">
        <v>5192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5193</v>
      </c>
      <c r="G100" s="40" t="s">
        <v>4549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2891</v>
      </c>
      <c r="AB100" s="45" t="s">
        <v>5194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5195</v>
      </c>
      <c r="AL100" s="45" t="s">
        <v>5196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3120</v>
      </c>
      <c r="G101" s="40" t="s">
        <v>3022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5197</v>
      </c>
      <c r="AB101" s="45" t="s">
        <v>5198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5199</v>
      </c>
      <c r="AL101" s="45" t="s">
        <v>5200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5201</v>
      </c>
      <c r="G102" s="40" t="s">
        <v>4604</v>
      </c>
      <c r="H102" s="40" t="s">
        <v>4667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5202</v>
      </c>
      <c r="AB102" s="45" t="s">
        <v>5203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5204</v>
      </c>
      <c r="AL102" s="45" t="s">
        <v>3061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5205</v>
      </c>
      <c r="G103" s="40" t="s">
        <v>4604</v>
      </c>
      <c r="H103" s="40" t="s">
        <v>5206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5207</v>
      </c>
      <c r="AB103" s="45" t="s">
        <v>5208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5209</v>
      </c>
      <c r="AL103" s="45" t="s">
        <v>5210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5211</v>
      </c>
      <c r="G104" s="40" t="s">
        <v>4596</v>
      </c>
      <c r="H104" s="40" t="s">
        <v>4598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189</v>
      </c>
      <c r="AB104" s="45" t="s">
        <v>5212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5213</v>
      </c>
      <c r="AL104" s="45" t="s">
        <v>5214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5215</v>
      </c>
      <c r="G105" s="40" t="s">
        <v>4596</v>
      </c>
      <c r="H105" s="40" t="s">
        <v>5216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5217</v>
      </c>
      <c r="AB105" s="45" t="s">
        <v>5218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821</v>
      </c>
      <c r="AL105" s="45" t="s">
        <v>3196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5219</v>
      </c>
      <c r="G106" s="40" t="s">
        <v>4604</v>
      </c>
      <c r="H106" s="40" t="s">
        <v>4946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5220</v>
      </c>
      <c r="AB106" s="45" t="s">
        <v>5221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5222</v>
      </c>
      <c r="AL106" s="45" t="s">
        <v>5223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5224</v>
      </c>
      <c r="G107" s="40" t="s">
        <v>4570</v>
      </c>
      <c r="H107" s="40" t="s">
        <v>5225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5226</v>
      </c>
      <c r="AB107" s="45" t="s">
        <v>5227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5228</v>
      </c>
      <c r="AK107" s="45" t="s">
        <v>5229</v>
      </c>
      <c r="AL107" s="45" t="s">
        <v>5230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5231</v>
      </c>
      <c r="G108" s="40" t="s">
        <v>4570</v>
      </c>
      <c r="H108" s="40" t="s">
        <v>4571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5232</v>
      </c>
      <c r="AB108" s="45" t="s">
        <v>5233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5234</v>
      </c>
      <c r="AL108" s="45" t="s">
        <v>5235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5236</v>
      </c>
      <c r="G109" s="40" t="s">
        <v>4570</v>
      </c>
      <c r="H109" s="40" t="s">
        <v>4979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5237</v>
      </c>
      <c r="AB109" s="45" t="s">
        <v>5238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5018</v>
      </c>
      <c r="AL109" s="45" t="s">
        <v>5019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5239</v>
      </c>
      <c r="G110" s="40" t="s">
        <v>4630</v>
      </c>
      <c r="H110" s="40" t="s">
        <v>4720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5240</v>
      </c>
      <c r="AB110" s="45" t="s">
        <v>5241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5242</v>
      </c>
      <c r="AL110" s="45" t="s">
        <v>5243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5244</v>
      </c>
      <c r="G111" s="40" t="s">
        <v>4630</v>
      </c>
      <c r="H111" s="40" t="s">
        <v>5245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5246</v>
      </c>
      <c r="AB111" s="45" t="s">
        <v>5247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5248</v>
      </c>
      <c r="AL111" s="45" t="s">
        <v>5249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5250</v>
      </c>
      <c r="G112" s="40" t="s">
        <v>4640</v>
      </c>
      <c r="H112" s="40" t="s">
        <v>5251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2768</v>
      </c>
      <c r="AB112" s="45" t="s">
        <v>5252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5253</v>
      </c>
      <c r="AL112" s="45" t="s">
        <v>5254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5255</v>
      </c>
      <c r="G113" s="40" t="s">
        <v>4640</v>
      </c>
      <c r="H113" s="40" t="s">
        <v>5251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5256</v>
      </c>
      <c r="AB113" s="45" t="s">
        <v>5257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5258</v>
      </c>
      <c r="AK113" s="45" t="s">
        <v>5259</v>
      </c>
      <c r="AL113" s="45" t="s">
        <v>5260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5261</v>
      </c>
      <c r="G114" s="40" t="s">
        <v>4622</v>
      </c>
      <c r="H114" s="40" t="s">
        <v>5262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5263</v>
      </c>
      <c r="AB114" s="45" t="s">
        <v>5264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5265</v>
      </c>
      <c r="AL114" s="45" t="s">
        <v>5266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5267</v>
      </c>
      <c r="G115" s="40" t="s">
        <v>4622</v>
      </c>
      <c r="H115" s="40" t="s">
        <v>5262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5268</v>
      </c>
      <c r="AB115" s="45" t="s">
        <v>5269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5041</v>
      </c>
      <c r="AL115" s="45" t="s">
        <v>5270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5271</v>
      </c>
      <c r="G116" s="40" t="s">
        <v>4622</v>
      </c>
      <c r="H116" s="40" t="s">
        <v>5272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5273</v>
      </c>
      <c r="AB116" s="45" t="s">
        <v>5274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5211</v>
      </c>
      <c r="AL116" s="45" t="s">
        <v>5275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5276</v>
      </c>
      <c r="G117" s="40" t="s">
        <v>4622</v>
      </c>
      <c r="H117" s="40" t="s">
        <v>5272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5277</v>
      </c>
      <c r="AB117" s="45" t="s">
        <v>5278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5279</v>
      </c>
      <c r="AL117" s="45" t="s">
        <v>5280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5281</v>
      </c>
      <c r="G118" s="40" t="s">
        <v>4622</v>
      </c>
      <c r="H118" s="40" t="s">
        <v>4713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5282</v>
      </c>
      <c r="AB118" s="45" t="s">
        <v>5283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5284</v>
      </c>
      <c r="AL118" s="45" t="s">
        <v>5285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5286</v>
      </c>
      <c r="G119" s="40" t="s">
        <v>4664</v>
      </c>
      <c r="H119" s="40" t="s">
        <v>4813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5287</v>
      </c>
      <c r="AB119" s="45" t="s">
        <v>5288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5289</v>
      </c>
      <c r="AK119" s="45" t="s">
        <v>5290</v>
      </c>
      <c r="AL119" s="45" t="s">
        <v>5291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4810</v>
      </c>
      <c r="G120" s="40" t="s">
        <v>4664</v>
      </c>
      <c r="H120" s="40" t="s">
        <v>5292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5293</v>
      </c>
      <c r="AB120" s="45" t="s">
        <v>5294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5295</v>
      </c>
      <c r="AL120" s="45" t="s">
        <v>5296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5297</v>
      </c>
      <c r="F121" s="40" t="s">
        <v>5298</v>
      </c>
      <c r="G121" s="40" t="s">
        <v>4606</v>
      </c>
      <c r="H121" s="40" t="s">
        <v>4864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5209</v>
      </c>
      <c r="AB121" s="45" t="s">
        <v>5210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5299</v>
      </c>
      <c r="AL121" s="45" t="s">
        <v>5300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5301</v>
      </c>
      <c r="F122" s="40" t="s">
        <v>5302</v>
      </c>
      <c r="G122" s="40" t="s">
        <v>4606</v>
      </c>
      <c r="H122" s="40" t="s">
        <v>4781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5303</v>
      </c>
      <c r="AB122" s="45" t="s">
        <v>5304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5305</v>
      </c>
      <c r="AL122" s="45" t="s">
        <v>5306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5307</v>
      </c>
      <c r="G123" s="40" t="s">
        <v>4655</v>
      </c>
      <c r="H123" s="40" t="s">
        <v>5308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5309</v>
      </c>
      <c r="AB123" s="45" t="s">
        <v>5310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5311</v>
      </c>
      <c r="AL123" s="45" t="s">
        <v>5312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5313</v>
      </c>
      <c r="G124" s="40" t="s">
        <v>4655</v>
      </c>
      <c r="H124" s="40" t="s">
        <v>4857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5314</v>
      </c>
      <c r="AB124" s="45" t="s">
        <v>5315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5316</v>
      </c>
      <c r="AL124" s="45" t="s">
        <v>5317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5318</v>
      </c>
      <c r="G125" s="40" t="s">
        <v>4647</v>
      </c>
      <c r="H125" s="40" t="s">
        <v>4657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2907</v>
      </c>
      <c r="AB125" s="45" t="s">
        <v>5319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5320</v>
      </c>
      <c r="G126" s="40" t="s">
        <v>4680</v>
      </c>
      <c r="H126" s="40" t="s">
        <v>5321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5322</v>
      </c>
      <c r="AB126" s="45" t="s">
        <v>5323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5324</v>
      </c>
      <c r="G127" s="40" t="s">
        <v>4680</v>
      </c>
      <c r="H127" s="40" t="s">
        <v>5325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5326</v>
      </c>
      <c r="AB127" s="45" t="s">
        <v>5327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5328</v>
      </c>
      <c r="G128" s="40" t="s">
        <v>4680</v>
      </c>
      <c r="H128" s="40" t="s">
        <v>5325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5329</v>
      </c>
      <c r="AB128" s="45" t="s">
        <v>5330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5331</v>
      </c>
      <c r="G129" s="40" t="s">
        <v>4680</v>
      </c>
      <c r="H129" s="40" t="s">
        <v>5332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5333</v>
      </c>
      <c r="AB129" s="45" t="s">
        <v>5334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5335</v>
      </c>
      <c r="G130" s="40" t="s">
        <v>3022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5336</v>
      </c>
      <c r="AB130" s="45" t="s">
        <v>5337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5338</v>
      </c>
      <c r="G131" s="40" t="s">
        <v>4579</v>
      </c>
      <c r="H131" s="40" t="s">
        <v>5339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5340</v>
      </c>
      <c r="AB131" s="45" t="s">
        <v>5341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5342</v>
      </c>
      <c r="G132" s="40" t="s">
        <v>4630</v>
      </c>
      <c r="H132" s="40" t="s">
        <v>5343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5344</v>
      </c>
      <c r="AB132" s="45" t="s">
        <v>5345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5346</v>
      </c>
      <c r="G133" s="40" t="s">
        <v>4549</v>
      </c>
      <c r="H133" s="40" t="s">
        <v>4550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5347</v>
      </c>
      <c r="AB133" s="45" t="s">
        <v>5348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5349</v>
      </c>
      <c r="G134" s="40" t="s">
        <v>4549</v>
      </c>
      <c r="H134" s="40" t="s">
        <v>4550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5350</v>
      </c>
      <c r="AB134" s="45" t="s">
        <v>5351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5352</v>
      </c>
      <c r="F135" s="40" t="s">
        <v>5353</v>
      </c>
      <c r="G135" s="40" t="s">
        <v>4588</v>
      </c>
      <c r="H135" s="40" t="s">
        <v>4675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5354</v>
      </c>
      <c r="AB135" s="45" t="s">
        <v>5355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5356</v>
      </c>
      <c r="F136" s="40" t="s">
        <v>5357</v>
      </c>
      <c r="G136" s="40" t="s">
        <v>4588</v>
      </c>
      <c r="H136" s="40" t="s">
        <v>4675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5358</v>
      </c>
      <c r="AB136" s="45" t="s">
        <v>5359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5360</v>
      </c>
      <c r="G137" s="40" t="s">
        <v>4588</v>
      </c>
      <c r="H137" s="40" t="s">
        <v>4675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5361</v>
      </c>
      <c r="AB137" s="45" t="s">
        <v>5362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5363</v>
      </c>
      <c r="G138" s="40" t="s">
        <v>4588</v>
      </c>
      <c r="H138" s="40" t="s">
        <v>4675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5364</v>
      </c>
      <c r="AB138" s="45" t="s">
        <v>5365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5366</v>
      </c>
      <c r="G139" s="40" t="s">
        <v>4570</v>
      </c>
      <c r="H139" s="40" t="s">
        <v>4979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5367</v>
      </c>
      <c r="AB139" s="45" t="s">
        <v>5368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5369</v>
      </c>
      <c r="G140" s="40" t="s">
        <v>4570</v>
      </c>
      <c r="H140" s="40" t="s">
        <v>4979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5370</v>
      </c>
      <c r="AB140" s="45" t="s">
        <v>5371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5372</v>
      </c>
      <c r="G141" s="40" t="s">
        <v>4570</v>
      </c>
      <c r="H141" s="40" t="s">
        <v>4979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5373</v>
      </c>
      <c r="AB141" s="45" t="s">
        <v>5374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5375</v>
      </c>
      <c r="G142" s="40" t="s">
        <v>4570</v>
      </c>
      <c r="H142" s="40" t="s">
        <v>4979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5376</v>
      </c>
      <c r="AB142" s="45" t="s">
        <v>5377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5378</v>
      </c>
      <c r="F143" s="40" t="s">
        <v>5379</v>
      </c>
      <c r="G143" s="40" t="s">
        <v>4606</v>
      </c>
      <c r="H143" s="40" t="s">
        <v>5380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5381</v>
      </c>
      <c r="AB143" s="45" t="s">
        <v>5382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5383</v>
      </c>
      <c r="G144" s="40" t="s">
        <v>4606</v>
      </c>
      <c r="H144" s="40" t="s">
        <v>5380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5384</v>
      </c>
      <c r="AB144" s="45" t="s">
        <v>5385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5386</v>
      </c>
      <c r="G145" s="40" t="s">
        <v>4606</v>
      </c>
      <c r="H145" s="40" t="s">
        <v>5380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5387</v>
      </c>
      <c r="AB145" s="45" t="s">
        <v>5388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5389</v>
      </c>
      <c r="G146" s="40" t="s">
        <v>4596</v>
      </c>
      <c r="H146" s="40" t="s">
        <v>5390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5391</v>
      </c>
      <c r="AB146" s="45" t="s">
        <v>5392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5393</v>
      </c>
      <c r="G147" s="40" t="s">
        <v>4549</v>
      </c>
      <c r="H147" s="40" t="s">
        <v>4550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5394</v>
      </c>
      <c r="AB147" s="45" t="s">
        <v>5395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5396</v>
      </c>
      <c r="G148" s="40" t="s">
        <v>4549</v>
      </c>
      <c r="H148" s="40" t="s">
        <v>4550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5397</v>
      </c>
      <c r="AB148" s="45" t="s">
        <v>5398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5399</v>
      </c>
      <c r="G149" s="40" t="s">
        <v>4549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5400</v>
      </c>
      <c r="AB149" s="45" t="s">
        <v>5401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5402</v>
      </c>
      <c r="G150" s="40" t="s">
        <v>4549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5403</v>
      </c>
      <c r="AB150" s="45" t="s">
        <v>5404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5405</v>
      </c>
      <c r="G151" s="40" t="s">
        <v>4588</v>
      </c>
      <c r="H151" s="40" t="s">
        <v>4675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5406</v>
      </c>
      <c r="AB151" s="45" t="s">
        <v>5407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5248</v>
      </c>
      <c r="G152" s="40" t="s">
        <v>4588</v>
      </c>
      <c r="H152" s="40" t="s">
        <v>4675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5408</v>
      </c>
      <c r="AB152" s="45" t="s">
        <v>5409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5410</v>
      </c>
      <c r="G153" s="40" t="s">
        <v>4588</v>
      </c>
      <c r="H153" s="40" t="s">
        <v>4675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5411</v>
      </c>
      <c r="AB153" s="45" t="s">
        <v>5412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5413</v>
      </c>
      <c r="G154" s="40" t="s">
        <v>4588</v>
      </c>
      <c r="H154" s="40" t="s">
        <v>4675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5414</v>
      </c>
      <c r="AB154" s="45" t="s">
        <v>5415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5416</v>
      </c>
      <c r="G155" s="40" t="s">
        <v>4570</v>
      </c>
      <c r="H155" s="40" t="s">
        <v>4696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5417</v>
      </c>
      <c r="AB155" s="45" t="s">
        <v>5418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5419</v>
      </c>
      <c r="F156" s="40" t="s">
        <v>5420</v>
      </c>
      <c r="G156" s="40" t="s">
        <v>4570</v>
      </c>
      <c r="H156" s="40" t="s">
        <v>4696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2909</v>
      </c>
      <c r="AB156" s="45" t="s">
        <v>2871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5421</v>
      </c>
      <c r="F157" s="40" t="s">
        <v>5422</v>
      </c>
      <c r="G157" s="40" t="s">
        <v>4570</v>
      </c>
      <c r="H157" s="40" t="s">
        <v>4696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5423</v>
      </c>
      <c r="AB157" s="45" t="s">
        <v>5424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5425</v>
      </c>
      <c r="G158" s="40" t="s">
        <v>4570</v>
      </c>
      <c r="H158" s="40" t="s">
        <v>4979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5426</v>
      </c>
      <c r="AB158" s="45" t="s">
        <v>5427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5428</v>
      </c>
      <c r="G159" s="40" t="s">
        <v>4606</v>
      </c>
      <c r="H159" s="40" t="s">
        <v>5380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5429</v>
      </c>
      <c r="G160" s="40" t="s">
        <v>4606</v>
      </c>
      <c r="H160" s="40" t="s">
        <v>5380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5430</v>
      </c>
      <c r="G161" s="40" t="s">
        <v>4606</v>
      </c>
      <c r="H161" s="40" t="s">
        <v>5380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5431</v>
      </c>
      <c r="G162" s="40" t="s">
        <v>4606</v>
      </c>
      <c r="H162" s="40" t="s">
        <v>5380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4976</v>
      </c>
      <c r="G163" s="40" t="s">
        <v>4549</v>
      </c>
      <c r="H163" s="40" t="s">
        <v>4550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5432</v>
      </c>
      <c r="F164" s="40" t="s">
        <v>5433</v>
      </c>
      <c r="G164" s="40" t="s">
        <v>4549</v>
      </c>
      <c r="H164" s="40" t="s">
        <v>4550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5434</v>
      </c>
      <c r="G165" s="40" t="s">
        <v>4549</v>
      </c>
      <c r="H165" s="40" t="s">
        <v>4550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5435</v>
      </c>
      <c r="G166" s="40" t="s">
        <v>4549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5436</v>
      </c>
      <c r="G167" s="40" t="s">
        <v>4549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5437</v>
      </c>
      <c r="G168" s="40" t="s">
        <v>4549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5438</v>
      </c>
      <c r="G169" s="40" t="s">
        <v>4549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5439</v>
      </c>
      <c r="G170" s="40" t="s">
        <v>4588</v>
      </c>
      <c r="H170" s="40" t="s">
        <v>4675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5440</v>
      </c>
      <c r="G171" s="40" t="s">
        <v>4588</v>
      </c>
      <c r="H171" s="40" t="s">
        <v>4675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5441</v>
      </c>
      <c r="G172" s="40" t="s">
        <v>4588</v>
      </c>
      <c r="H172" s="40" t="s">
        <v>4675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5442</v>
      </c>
      <c r="G173" s="40" t="s">
        <v>4588</v>
      </c>
      <c r="H173" s="40" t="s">
        <v>4675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5443</v>
      </c>
      <c r="G174" s="40" t="s">
        <v>4570</v>
      </c>
      <c r="H174" s="40" t="s">
        <v>4696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5444</v>
      </c>
      <c r="G175" s="40" t="s">
        <v>4570</v>
      </c>
      <c r="H175" s="40" t="s">
        <v>4696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5445</v>
      </c>
      <c r="G176" s="40" t="s">
        <v>4570</v>
      </c>
      <c r="H176" s="40" t="s">
        <v>4696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5446</v>
      </c>
      <c r="G177" s="40" t="s">
        <v>4570</v>
      </c>
      <c r="H177" s="40" t="s">
        <v>4696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5447</v>
      </c>
      <c r="G178" s="40" t="s">
        <v>4606</v>
      </c>
      <c r="H178" s="40" t="s">
        <v>5448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5449</v>
      </c>
      <c r="F179" s="40" t="s">
        <v>5450</v>
      </c>
      <c r="G179" s="40" t="s">
        <v>4606</v>
      </c>
      <c r="H179" s="40" t="s">
        <v>5448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5451</v>
      </c>
      <c r="G180" s="40" t="s">
        <v>4630</v>
      </c>
      <c r="H180" s="40" t="s">
        <v>5452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5453</v>
      </c>
      <c r="G181" s="40" t="s">
        <v>4549</v>
      </c>
      <c r="H181" s="40" t="s">
        <v>4550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4993</v>
      </c>
      <c r="G182" s="40" t="s">
        <v>4549</v>
      </c>
      <c r="H182" s="40" t="s">
        <v>4550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5454</v>
      </c>
      <c r="G183" s="40" t="s">
        <v>4549</v>
      </c>
      <c r="H183" s="40" t="s">
        <v>4550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5455</v>
      </c>
      <c r="G184" s="40" t="s">
        <v>4549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5456</v>
      </c>
      <c r="G185" s="40" t="s">
        <v>4549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5457</v>
      </c>
      <c r="G186" s="40" t="s">
        <v>4549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5458</v>
      </c>
      <c r="G187" s="40" t="s">
        <v>4588</v>
      </c>
      <c r="H187" s="40" t="s">
        <v>5459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5460</v>
      </c>
      <c r="F188" s="40" t="s">
        <v>5461</v>
      </c>
      <c r="G188" s="40" t="s">
        <v>4588</v>
      </c>
      <c r="H188" s="40" t="s">
        <v>5459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5462</v>
      </c>
      <c r="G189" s="40" t="s">
        <v>4588</v>
      </c>
      <c r="H189" s="40" t="s">
        <v>4675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5463</v>
      </c>
      <c r="G190" s="40" t="s">
        <v>4588</v>
      </c>
      <c r="H190" s="40" t="s">
        <v>4675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5464</v>
      </c>
      <c r="G191" s="40" t="s">
        <v>4570</v>
      </c>
      <c r="H191" s="40" t="s">
        <v>4696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5465</v>
      </c>
      <c r="G192" s="40" t="s">
        <v>4570</v>
      </c>
      <c r="H192" s="40" t="s">
        <v>4696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5466</v>
      </c>
      <c r="G193" s="40" t="s">
        <v>4606</v>
      </c>
      <c r="H193" s="40" t="s">
        <v>4682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5467</v>
      </c>
      <c r="G194" s="40" t="s">
        <v>4606</v>
      </c>
      <c r="H194" s="40" t="s">
        <v>4682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5468</v>
      </c>
      <c r="F195" s="40" t="s">
        <v>5469</v>
      </c>
      <c r="G195" s="40" t="s">
        <v>4549</v>
      </c>
      <c r="H195" s="40" t="s">
        <v>4550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5470</v>
      </c>
      <c r="G196" s="40" t="s">
        <v>4549</v>
      </c>
      <c r="H196" s="40" t="s">
        <v>4550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5279</v>
      </c>
      <c r="G197" s="40" t="s">
        <v>4549</v>
      </c>
      <c r="H197" s="40" t="s">
        <v>4550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5471</v>
      </c>
      <c r="G198" s="40" t="s">
        <v>4549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5472</v>
      </c>
      <c r="F199" s="40" t="s">
        <v>5473</v>
      </c>
      <c r="G199" s="40" t="s">
        <v>4549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5474</v>
      </c>
      <c r="G200" s="40" t="s">
        <v>4549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5475</v>
      </c>
      <c r="G201" s="40" t="s">
        <v>4588</v>
      </c>
      <c r="H201" s="40" t="s">
        <v>5459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5476</v>
      </c>
      <c r="G202" s="40" t="s">
        <v>4588</v>
      </c>
      <c r="H202" s="40" t="s">
        <v>5459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5477</v>
      </c>
      <c r="G203" s="40" t="s">
        <v>4588</v>
      </c>
      <c r="H203" s="40" t="s">
        <v>5459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5478</v>
      </c>
      <c r="G204" s="40" t="s">
        <v>4588</v>
      </c>
      <c r="H204" s="40" t="s">
        <v>5459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5479</v>
      </c>
      <c r="G205" s="40" t="s">
        <v>4606</v>
      </c>
      <c r="H205" s="40" t="s">
        <v>4682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5480</v>
      </c>
      <c r="F206" s="40" t="s">
        <v>5481</v>
      </c>
      <c r="G206" s="40" t="s">
        <v>4606</v>
      </c>
      <c r="H206" s="40" t="s">
        <v>4607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5482</v>
      </c>
      <c r="G207" s="40" t="s">
        <v>4606</v>
      </c>
      <c r="H207" s="40" t="s">
        <v>4607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5483</v>
      </c>
      <c r="G208" s="40" t="s">
        <v>4606</v>
      </c>
      <c r="H208" s="40" t="s">
        <v>4607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4934</v>
      </c>
      <c r="G209" s="40" t="s">
        <v>4549</v>
      </c>
      <c r="H209" s="40" t="s">
        <v>4550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5484</v>
      </c>
      <c r="G210" s="40" t="s">
        <v>4549</v>
      </c>
      <c r="H210" s="40" t="s">
        <v>4550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5485</v>
      </c>
      <c r="G211" s="40" t="s">
        <v>4549</v>
      </c>
      <c r="H211" s="40" t="s">
        <v>4550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5486</v>
      </c>
      <c r="G212" s="40" t="s">
        <v>4549</v>
      </c>
      <c r="H212" s="40" t="s">
        <v>4624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5487</v>
      </c>
      <c r="G213" s="40" t="s">
        <v>4549</v>
      </c>
      <c r="H213" s="40" t="s">
        <v>4624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5488</v>
      </c>
      <c r="G214" s="40" t="s">
        <v>4588</v>
      </c>
      <c r="H214" s="40" t="s">
        <v>4657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5489</v>
      </c>
      <c r="G215" s="40" t="s">
        <v>4588</v>
      </c>
      <c r="H215" s="40" t="s">
        <v>4657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5490</v>
      </c>
      <c r="G216" s="40" t="s">
        <v>4588</v>
      </c>
      <c r="H216" s="40" t="s">
        <v>4657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5491</v>
      </c>
      <c r="G217" s="40" t="s">
        <v>4570</v>
      </c>
      <c r="H217" s="40" t="s">
        <v>5492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5493</v>
      </c>
      <c r="G218" s="40" t="s">
        <v>4570</v>
      </c>
      <c r="H218" s="40" t="s">
        <v>5494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5495</v>
      </c>
      <c r="G219" s="40" t="s">
        <v>4570</v>
      </c>
      <c r="H219" s="40" t="s">
        <v>5492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5496</v>
      </c>
      <c r="G220" s="40" t="s">
        <v>4570</v>
      </c>
      <c r="H220" s="40" t="s">
        <v>5492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5497</v>
      </c>
      <c r="G221" s="40" t="s">
        <v>4606</v>
      </c>
      <c r="H221" s="40" t="s">
        <v>4607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5498</v>
      </c>
      <c r="G222" s="40" t="s">
        <v>4606</v>
      </c>
      <c r="H222" s="40" t="s">
        <v>4607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5499</v>
      </c>
      <c r="G223" s="40" t="s">
        <v>4606</v>
      </c>
      <c r="H223" s="40" t="s">
        <v>4607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5500</v>
      </c>
      <c r="G224" s="40" t="s">
        <v>4549</v>
      </c>
      <c r="H224" s="40" t="s">
        <v>4550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5501</v>
      </c>
      <c r="G225" s="40" t="s">
        <v>4549</v>
      </c>
      <c r="H225" s="40" t="s">
        <v>4550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5502</v>
      </c>
      <c r="G226" s="40" t="s">
        <v>4549</v>
      </c>
      <c r="H226" s="40" t="s">
        <v>4550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5503</v>
      </c>
      <c r="G227" s="40" t="s">
        <v>4549</v>
      </c>
      <c r="H227" s="40" t="s">
        <v>4624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5504</v>
      </c>
      <c r="F228" s="40" t="s">
        <v>5505</v>
      </c>
      <c r="G228" s="40" t="s">
        <v>4549</v>
      </c>
      <c r="H228" s="40" t="s">
        <v>4624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5265</v>
      </c>
      <c r="G229" s="40" t="s">
        <v>4549</v>
      </c>
      <c r="H229" s="40" t="s">
        <v>4624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5506</v>
      </c>
      <c r="G230" s="40" t="s">
        <v>4588</v>
      </c>
      <c r="H230" s="40" t="s">
        <v>4657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5507</v>
      </c>
      <c r="G231" s="40" t="s">
        <v>4588</v>
      </c>
      <c r="H231" s="40" t="s">
        <v>4657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4860</v>
      </c>
      <c r="F232" s="40" t="s">
        <v>4861</v>
      </c>
      <c r="G232" s="40" t="s">
        <v>4588</v>
      </c>
      <c r="H232" s="40" t="s">
        <v>4657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5508</v>
      </c>
      <c r="G233" s="40" t="s">
        <v>4570</v>
      </c>
      <c r="H233" s="40" t="s">
        <v>5492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5509</v>
      </c>
      <c r="G234" s="40" t="s">
        <v>4570</v>
      </c>
      <c r="H234" s="40" t="s">
        <v>5492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5510</v>
      </c>
      <c r="G235" s="40" t="s">
        <v>4570</v>
      </c>
      <c r="H235" s="40" t="s">
        <v>5492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5511</v>
      </c>
      <c r="G236" s="40" t="s">
        <v>4570</v>
      </c>
      <c r="H236" s="40" t="s">
        <v>5492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5512</v>
      </c>
      <c r="G237" s="40" t="s">
        <v>4606</v>
      </c>
      <c r="H237" s="40" t="s">
        <v>4607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5513</v>
      </c>
      <c r="G238" s="40" t="s">
        <v>4606</v>
      </c>
      <c r="H238" s="40" t="s">
        <v>4607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5514</v>
      </c>
      <c r="G239" s="40" t="s">
        <v>4606</v>
      </c>
      <c r="H239" s="40" t="s">
        <v>4873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5515</v>
      </c>
      <c r="G240" s="40" t="s">
        <v>4549</v>
      </c>
      <c r="H240" s="40" t="s">
        <v>4550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4965</v>
      </c>
      <c r="G241" s="40" t="s">
        <v>4549</v>
      </c>
      <c r="H241" s="40" t="s">
        <v>4550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5516</v>
      </c>
      <c r="G242" s="40" t="s">
        <v>3022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5517</v>
      </c>
      <c r="G243" s="40" t="s">
        <v>4549</v>
      </c>
      <c r="H243" s="40" t="s">
        <v>4624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5518</v>
      </c>
      <c r="F244" s="40" t="s">
        <v>5519</v>
      </c>
      <c r="G244" s="40" t="s">
        <v>4549</v>
      </c>
      <c r="H244" s="40" t="s">
        <v>4624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4799</v>
      </c>
      <c r="F245" s="40" t="s">
        <v>4800</v>
      </c>
      <c r="G245" s="40" t="s">
        <v>4549</v>
      </c>
      <c r="H245" s="40" t="s">
        <v>4624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5520</v>
      </c>
      <c r="G246" s="40" t="s">
        <v>4549</v>
      </c>
      <c r="H246" s="40" t="s">
        <v>4624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5521</v>
      </c>
      <c r="F247" s="40" t="s">
        <v>5522</v>
      </c>
      <c r="G247" s="40" t="s">
        <v>4588</v>
      </c>
      <c r="H247" s="40" t="s">
        <v>4657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5523</v>
      </c>
      <c r="F248" s="40" t="s">
        <v>5524</v>
      </c>
      <c r="G248" s="40" t="s">
        <v>4588</v>
      </c>
      <c r="H248" s="40" t="s">
        <v>4657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5525</v>
      </c>
      <c r="G249" s="40" t="s">
        <v>4570</v>
      </c>
      <c r="H249" s="40" t="s">
        <v>4813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5526</v>
      </c>
      <c r="G250" s="40" t="s">
        <v>4570</v>
      </c>
      <c r="H250" s="40" t="s">
        <v>5492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5115</v>
      </c>
      <c r="G251" s="40" t="s">
        <v>4570</v>
      </c>
      <c r="H251" s="40" t="s">
        <v>4813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5527</v>
      </c>
      <c r="G252" s="40" t="s">
        <v>4570</v>
      </c>
      <c r="H252" s="40" t="s">
        <v>4813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5528</v>
      </c>
      <c r="F253" s="40" t="s">
        <v>5529</v>
      </c>
      <c r="G253" s="40" t="s">
        <v>4606</v>
      </c>
      <c r="H253" s="40" t="s">
        <v>4781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5530</v>
      </c>
      <c r="F254" s="40" t="s">
        <v>5531</v>
      </c>
      <c r="G254" s="40" t="s">
        <v>4606</v>
      </c>
      <c r="H254" s="40" t="s">
        <v>4781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5532</v>
      </c>
      <c r="G255" s="40" t="s">
        <v>4606</v>
      </c>
      <c r="H255" s="40" t="s">
        <v>4781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3398</v>
      </c>
      <c r="G256" s="40" t="s">
        <v>3022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5533</v>
      </c>
      <c r="G257" s="40" t="s">
        <v>3022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4949</v>
      </c>
      <c r="G258" s="40" t="s">
        <v>4549</v>
      </c>
      <c r="H258" s="40" t="s">
        <v>4624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5534</v>
      </c>
      <c r="G259" s="40" t="s">
        <v>4549</v>
      </c>
      <c r="H259" s="40" t="s">
        <v>4624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5535</v>
      </c>
      <c r="G260" s="40" t="s">
        <v>4549</v>
      </c>
      <c r="H260" s="40" t="s">
        <v>4624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5536</v>
      </c>
      <c r="F261" s="40" t="s">
        <v>5537</v>
      </c>
      <c r="G261" s="40" t="s">
        <v>4588</v>
      </c>
      <c r="H261" s="40" t="s">
        <v>4657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5538</v>
      </c>
      <c r="F262" s="40" t="s">
        <v>5539</v>
      </c>
      <c r="G262" s="40" t="s">
        <v>4588</v>
      </c>
      <c r="H262" s="40" t="s">
        <v>4657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5540</v>
      </c>
      <c r="G263" s="40" t="s">
        <v>4588</v>
      </c>
      <c r="H263" s="40" t="s">
        <v>4657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4611</v>
      </c>
      <c r="G264" s="40" t="s">
        <v>4588</v>
      </c>
      <c r="H264" s="40" t="s">
        <v>4657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5541</v>
      </c>
      <c r="F265" s="40" t="s">
        <v>5542</v>
      </c>
      <c r="G265" s="40" t="s">
        <v>4570</v>
      </c>
      <c r="H265" s="40" t="s">
        <v>5543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5544</v>
      </c>
      <c r="G266" s="40" t="s">
        <v>4570</v>
      </c>
      <c r="H266" s="40" t="s">
        <v>4813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5545</v>
      </c>
      <c r="G267" s="40" t="s">
        <v>4606</v>
      </c>
      <c r="H267" s="40" t="s">
        <v>4781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5546</v>
      </c>
      <c r="G268" s="40" t="s">
        <v>4606</v>
      </c>
      <c r="H268" s="40" t="s">
        <v>4781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5547</v>
      </c>
      <c r="G269" s="40" t="s">
        <v>4606</v>
      </c>
      <c r="H269" s="40" t="s">
        <v>4781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3366</v>
      </c>
      <c r="G270" s="40" t="s">
        <v>3022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3384</v>
      </c>
      <c r="G271" s="40" t="s">
        <v>3022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3400</v>
      </c>
      <c r="G272" s="40" t="s">
        <v>3022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5548</v>
      </c>
      <c r="G273" s="40" t="s">
        <v>3022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3412</v>
      </c>
      <c r="G274" s="40" t="s">
        <v>3022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5549</v>
      </c>
      <c r="G275" s="40" t="s">
        <v>4549</v>
      </c>
      <c r="H275" s="40" t="s">
        <v>4624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5550</v>
      </c>
      <c r="G276" s="40" t="s">
        <v>4549</v>
      </c>
      <c r="H276" s="40" t="s">
        <v>4624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5551</v>
      </c>
      <c r="G277" s="40" t="s">
        <v>4588</v>
      </c>
      <c r="H277" s="40" t="s">
        <v>4657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5552</v>
      </c>
      <c r="G278" s="40" t="s">
        <v>4588</v>
      </c>
      <c r="H278" s="40" t="s">
        <v>4657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5553</v>
      </c>
      <c r="G279" s="40" t="s">
        <v>4588</v>
      </c>
      <c r="H279" s="40" t="s">
        <v>4657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5554</v>
      </c>
      <c r="G280" s="40" t="s">
        <v>4570</v>
      </c>
      <c r="H280" s="40" t="s">
        <v>4813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5555</v>
      </c>
      <c r="G281" s="40" t="s">
        <v>4570</v>
      </c>
      <c r="H281" s="40" t="s">
        <v>5543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5556</v>
      </c>
      <c r="G282" s="40" t="s">
        <v>4606</v>
      </c>
      <c r="H282" s="40" t="s">
        <v>4781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5557</v>
      </c>
      <c r="G283" s="40" t="s">
        <v>4606</v>
      </c>
      <c r="H283" s="40" t="s">
        <v>4781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5558</v>
      </c>
      <c r="G284" s="40" t="s">
        <v>4606</v>
      </c>
      <c r="H284" s="40" t="s">
        <v>4781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5559</v>
      </c>
      <c r="G285" s="40" t="s">
        <v>4588</v>
      </c>
      <c r="H285" s="40" t="s">
        <v>4657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5560</v>
      </c>
      <c r="F286" s="40" t="s">
        <v>5561</v>
      </c>
      <c r="G286" s="40" t="s">
        <v>4549</v>
      </c>
      <c r="H286" s="40" t="s">
        <v>4624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5228</v>
      </c>
      <c r="F287" s="40" t="s">
        <v>5229</v>
      </c>
      <c r="G287" s="40" t="s">
        <v>4588</v>
      </c>
      <c r="H287" s="40" t="s">
        <v>4657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3396</v>
      </c>
      <c r="G288" s="40" t="s">
        <v>3022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5562</v>
      </c>
      <c r="G289" s="40" t="s">
        <v>3022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5563</v>
      </c>
      <c r="G290" s="40" t="s">
        <v>3022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5564</v>
      </c>
      <c r="G291" s="40" t="s">
        <v>4549</v>
      </c>
      <c r="H291" s="40" t="s">
        <v>4633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5176</v>
      </c>
      <c r="G292" s="40" t="s">
        <v>4549</v>
      </c>
      <c r="H292" s="40" t="s">
        <v>4633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5565</v>
      </c>
      <c r="G293" s="40" t="s">
        <v>4549</v>
      </c>
      <c r="H293" s="40" t="s">
        <v>4633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5566</v>
      </c>
      <c r="G294" s="40" t="s">
        <v>4588</v>
      </c>
      <c r="H294" s="40" t="s">
        <v>4657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5567</v>
      </c>
      <c r="G295" s="40" t="s">
        <v>4588</v>
      </c>
      <c r="H295" s="40" t="s">
        <v>4657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5568</v>
      </c>
      <c r="G296" s="40" t="s">
        <v>4570</v>
      </c>
      <c r="H296" s="40" t="s">
        <v>5543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5569</v>
      </c>
      <c r="G297" s="40" t="s">
        <v>4570</v>
      </c>
      <c r="H297" s="40" t="s">
        <v>5543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5570</v>
      </c>
      <c r="G298" s="40" t="s">
        <v>4570</v>
      </c>
      <c r="H298" s="40" t="s">
        <v>5543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5571</v>
      </c>
      <c r="G299" s="40" t="s">
        <v>4570</v>
      </c>
      <c r="H299" s="40" t="s">
        <v>5543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5572</v>
      </c>
      <c r="G300" s="40" t="s">
        <v>4606</v>
      </c>
      <c r="H300" s="40" t="s">
        <v>4781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5573</v>
      </c>
      <c r="G301" s="40" t="s">
        <v>4606</v>
      </c>
      <c r="H301" s="40" t="s">
        <v>4781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5574</v>
      </c>
      <c r="G302" s="40" t="s">
        <v>3022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5575</v>
      </c>
      <c r="G303" s="40" t="s">
        <v>3022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3386</v>
      </c>
      <c r="G304" s="40" t="s">
        <v>3022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5576</v>
      </c>
      <c r="F305" s="40" t="s">
        <v>5577</v>
      </c>
      <c r="G305" s="40" t="s">
        <v>4549</v>
      </c>
      <c r="H305" s="40" t="s">
        <v>4633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5578</v>
      </c>
      <c r="G306" s="40" t="s">
        <v>4549</v>
      </c>
      <c r="H306" s="40" t="s">
        <v>4633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5579</v>
      </c>
      <c r="G307" s="40" t="s">
        <v>4549</v>
      </c>
      <c r="H307" s="40" t="s">
        <v>4633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5580</v>
      </c>
      <c r="G308" s="40" t="s">
        <v>4549</v>
      </c>
      <c r="H308" s="40" t="s">
        <v>4633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5098</v>
      </c>
      <c r="G309" s="40" t="s">
        <v>4588</v>
      </c>
      <c r="H309" s="40" t="s">
        <v>4657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5581</v>
      </c>
      <c r="G310" s="40" t="s">
        <v>4588</v>
      </c>
      <c r="H310" s="40" t="s">
        <v>4657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5582</v>
      </c>
      <c r="F311" s="40" t="s">
        <v>5583</v>
      </c>
      <c r="G311" s="40" t="s">
        <v>4570</v>
      </c>
      <c r="H311" s="40" t="s">
        <v>4571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5584</v>
      </c>
      <c r="G312" s="40" t="s">
        <v>4570</v>
      </c>
      <c r="H312" s="40" t="s">
        <v>5543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5585</v>
      </c>
      <c r="G313" s="40" t="s">
        <v>4570</v>
      </c>
      <c r="H313" s="40" t="s">
        <v>5543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5586</v>
      </c>
      <c r="G314" s="40" t="s">
        <v>4606</v>
      </c>
      <c r="H314" s="40" t="s">
        <v>4769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5587</v>
      </c>
      <c r="F315" s="40" t="s">
        <v>5588</v>
      </c>
      <c r="G315" s="40" t="s">
        <v>4606</v>
      </c>
      <c r="H315" s="40" t="s">
        <v>4769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5589</v>
      </c>
      <c r="G316" s="40" t="s">
        <v>4606</v>
      </c>
      <c r="H316" s="40" t="s">
        <v>4769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5590</v>
      </c>
      <c r="G317" s="40" t="s">
        <v>3022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5591</v>
      </c>
      <c r="G318" s="40" t="s">
        <v>3022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3394</v>
      </c>
      <c r="G319" s="40" t="s">
        <v>3022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5592</v>
      </c>
      <c r="G320" s="40" t="s">
        <v>4549</v>
      </c>
      <c r="H320" s="40" t="s">
        <v>4633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5593</v>
      </c>
      <c r="G321" s="40" t="s">
        <v>4549</v>
      </c>
      <c r="H321" s="40" t="s">
        <v>4633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5594</v>
      </c>
      <c r="G322" s="40" t="s">
        <v>4549</v>
      </c>
      <c r="H322" s="40" t="s">
        <v>4633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5595</v>
      </c>
      <c r="G323" s="40" t="s">
        <v>4549</v>
      </c>
      <c r="H323" s="40" t="s">
        <v>4633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5596</v>
      </c>
      <c r="G324" s="40" t="s">
        <v>4588</v>
      </c>
      <c r="H324" s="40" t="s">
        <v>4657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5597</v>
      </c>
      <c r="G325" s="40" t="s">
        <v>4588</v>
      </c>
      <c r="H325" s="40" t="s">
        <v>4657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5598</v>
      </c>
      <c r="G326" s="40" t="s">
        <v>4588</v>
      </c>
      <c r="H326" s="40" t="s">
        <v>4657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5599</v>
      </c>
      <c r="G327" s="40" t="s">
        <v>4588</v>
      </c>
      <c r="H327" s="40" t="s">
        <v>4657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5600</v>
      </c>
      <c r="G328" s="40" t="s">
        <v>4570</v>
      </c>
      <c r="H328" s="40" t="s">
        <v>4571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5601</v>
      </c>
      <c r="G329" s="40" t="s">
        <v>4570</v>
      </c>
      <c r="H329" s="40" t="s">
        <v>4571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5602</v>
      </c>
      <c r="G330" s="40" t="s">
        <v>4570</v>
      </c>
      <c r="H330" s="40" t="s">
        <v>4571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5603</v>
      </c>
      <c r="G331" s="40" t="s">
        <v>4570</v>
      </c>
      <c r="H331" s="40" t="s">
        <v>4571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5604</v>
      </c>
      <c r="G332" s="40" t="s">
        <v>4606</v>
      </c>
      <c r="H332" s="40" t="s">
        <v>4769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5605</v>
      </c>
      <c r="G333" s="40" t="s">
        <v>4606</v>
      </c>
      <c r="H333" s="40" t="s">
        <v>4769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4986</v>
      </c>
      <c r="F334" s="40" t="s">
        <v>4987</v>
      </c>
      <c r="G334" s="40" t="s">
        <v>4588</v>
      </c>
      <c r="H334" s="40" t="s">
        <v>4657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5606</v>
      </c>
      <c r="G335" s="40" t="s">
        <v>3022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5607</v>
      </c>
      <c r="G336" s="40" t="s">
        <v>3022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5608</v>
      </c>
      <c r="G337" s="40" t="s">
        <v>3022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5609</v>
      </c>
      <c r="G338" s="40" t="s">
        <v>3022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5610</v>
      </c>
      <c r="G339" s="40" t="s">
        <v>3022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3880</v>
      </c>
      <c r="G340" s="40" t="s">
        <v>3022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5611</v>
      </c>
      <c r="G341" s="40" t="s">
        <v>4588</v>
      </c>
      <c r="H341" s="40" t="s">
        <v>4657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5612</v>
      </c>
      <c r="G342" s="40" t="s">
        <v>4588</v>
      </c>
      <c r="H342" s="40" t="s">
        <v>4657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5613</v>
      </c>
      <c r="G343" s="40" t="s">
        <v>4570</v>
      </c>
      <c r="H343" s="40" t="s">
        <v>4571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5614</v>
      </c>
      <c r="G344" s="40" t="s">
        <v>4570</v>
      </c>
      <c r="H344" s="40" t="s">
        <v>4571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5615</v>
      </c>
      <c r="G345" s="40" t="s">
        <v>4606</v>
      </c>
      <c r="H345" s="40" t="s">
        <v>4769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5616</v>
      </c>
      <c r="G346" s="40" t="s">
        <v>4606</v>
      </c>
      <c r="H346" s="40" t="s">
        <v>4769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5617</v>
      </c>
      <c r="G347" s="40" t="s">
        <v>4606</v>
      </c>
      <c r="H347" s="40" t="s">
        <v>4769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5618</v>
      </c>
      <c r="G348" s="40" t="s">
        <v>4606</v>
      </c>
      <c r="H348" s="40" t="s">
        <v>5619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5620</v>
      </c>
      <c r="F349" s="40" t="s">
        <v>5621</v>
      </c>
      <c r="G349" s="40" t="s">
        <v>3022</v>
      </c>
      <c r="H349" s="40" t="s">
        <v>5622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5623</v>
      </c>
      <c r="G350" s="40" t="s">
        <v>3022</v>
      </c>
      <c r="H350" s="40" t="s">
        <v>5622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5624</v>
      </c>
      <c r="G351" s="40" t="s">
        <v>3022</v>
      </c>
      <c r="H351" s="40" t="s">
        <v>5622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5625</v>
      </c>
      <c r="G352" s="40" t="s">
        <v>3022</v>
      </c>
      <c r="H352" s="40" t="s">
        <v>5622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4008</v>
      </c>
      <c r="G353" s="40" t="s">
        <v>3022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5626</v>
      </c>
      <c r="G354" s="40" t="s">
        <v>3022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4736</v>
      </c>
      <c r="G355" s="61" t="s">
        <v>3022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5627</v>
      </c>
      <c r="G356" s="40" t="s">
        <v>4588</v>
      </c>
      <c r="H356" s="40" t="s">
        <v>4657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5628</v>
      </c>
      <c r="G357" s="40" t="s">
        <v>4588</v>
      </c>
      <c r="H357" s="40" t="s">
        <v>4657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5629</v>
      </c>
      <c r="G358" s="40" t="s">
        <v>4606</v>
      </c>
      <c r="H358" s="40" t="s">
        <v>4769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5630</v>
      </c>
      <c r="G359" s="40" t="s">
        <v>4606</v>
      </c>
      <c r="H359" s="40" t="s">
        <v>4769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5631</v>
      </c>
      <c r="G360" s="40" t="s">
        <v>4606</v>
      </c>
      <c r="H360" s="40" t="s">
        <v>4769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5632</v>
      </c>
      <c r="G361" s="40" t="s">
        <v>3022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5633</v>
      </c>
      <c r="G362" s="40" t="s">
        <v>4596</v>
      </c>
      <c r="H362" s="40" t="s">
        <v>5216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5634</v>
      </c>
      <c r="G363" s="40" t="s">
        <v>4664</v>
      </c>
      <c r="H363" s="40" t="s">
        <v>5292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5635</v>
      </c>
      <c r="G364" s="40" t="s">
        <v>4604</v>
      </c>
      <c r="H364" s="40" t="s">
        <v>5636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5637</v>
      </c>
      <c r="G365" s="40" t="s">
        <v>4549</v>
      </c>
      <c r="H365" s="40" t="s">
        <v>4562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5638</v>
      </c>
      <c r="G366" s="40" t="s">
        <v>4630</v>
      </c>
      <c r="H366" s="40" t="s">
        <v>5452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5639</v>
      </c>
      <c r="G367" s="40" t="s">
        <v>3022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5640</v>
      </c>
      <c r="G368" s="40" t="s">
        <v>3022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685</v>
      </c>
      <c r="G369" s="40" t="s">
        <v>3022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3347</v>
      </c>
      <c r="G370" s="40" t="s">
        <v>3022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3321</v>
      </c>
      <c r="G371" s="40" t="s">
        <v>3022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5641</v>
      </c>
      <c r="G372" s="40" t="s">
        <v>4596</v>
      </c>
      <c r="H372" s="40" t="s">
        <v>5642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5643</v>
      </c>
      <c r="G373" s="40" t="s">
        <v>4596</v>
      </c>
      <c r="H373" s="40" t="s">
        <v>5642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5644</v>
      </c>
      <c r="G374" s="40" t="s">
        <v>4596</v>
      </c>
      <c r="H374" s="40" t="s">
        <v>5642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5645</v>
      </c>
      <c r="G375" s="40" t="s">
        <v>4570</v>
      </c>
      <c r="H375" s="40" t="s">
        <v>5646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5647</v>
      </c>
      <c r="G376" s="40" t="s">
        <v>4570</v>
      </c>
      <c r="H376" s="40" t="s">
        <v>5646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5648</v>
      </c>
      <c r="G377" s="40" t="s">
        <v>4570</v>
      </c>
      <c r="H377" s="40" t="s">
        <v>5646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5649</v>
      </c>
      <c r="G378" s="40" t="s">
        <v>4606</v>
      </c>
      <c r="H378" s="40" t="s">
        <v>5619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5650</v>
      </c>
      <c r="G379" s="40" t="s">
        <v>4606</v>
      </c>
      <c r="H379" s="40" t="s">
        <v>5619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5651</v>
      </c>
      <c r="G380" s="40" t="s">
        <v>3022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5652</v>
      </c>
      <c r="G381" s="40" t="s">
        <v>3022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4031</v>
      </c>
      <c r="G382" s="40" t="s">
        <v>3022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5653</v>
      </c>
      <c r="G383" s="40" t="s">
        <v>3022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4027</v>
      </c>
      <c r="G384" s="40" t="s">
        <v>3022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5654</v>
      </c>
      <c r="G385" s="40" t="s">
        <v>3022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5655</v>
      </c>
      <c r="G386" s="40" t="s">
        <v>4596</v>
      </c>
      <c r="H386" s="40" t="s">
        <v>5642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5656</v>
      </c>
      <c r="G387" s="40" t="s">
        <v>4596</v>
      </c>
      <c r="H387" s="40" t="s">
        <v>5642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5657</v>
      </c>
      <c r="G388" s="40" t="s">
        <v>4596</v>
      </c>
      <c r="H388" s="40" t="s">
        <v>5642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5658</v>
      </c>
      <c r="G389" s="40" t="s">
        <v>4570</v>
      </c>
      <c r="H389" s="40" t="s">
        <v>5646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5659</v>
      </c>
      <c r="G390" s="40" t="s">
        <v>4570</v>
      </c>
      <c r="H390" s="40" t="s">
        <v>5646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5660</v>
      </c>
      <c r="G391" s="40" t="s">
        <v>4570</v>
      </c>
      <c r="H391" s="40" t="s">
        <v>5661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5662</v>
      </c>
      <c r="G392" s="40" t="s">
        <v>4549</v>
      </c>
      <c r="H392" s="40" t="s">
        <v>5175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5663</v>
      </c>
      <c r="G393" s="40" t="s">
        <v>4549</v>
      </c>
      <c r="H393" s="40" t="s">
        <v>5175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5664</v>
      </c>
      <c r="F394" s="40" t="s">
        <v>5665</v>
      </c>
      <c r="G394" s="40" t="s">
        <v>3022</v>
      </c>
      <c r="H394" s="40" t="s">
        <v>4924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5666</v>
      </c>
      <c r="G395" s="40" t="s">
        <v>3022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689</v>
      </c>
      <c r="G396" s="40" t="s">
        <v>3022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681</v>
      </c>
      <c r="G397" s="40" t="s">
        <v>3022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5667</v>
      </c>
      <c r="G398" s="40" t="s">
        <v>3022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5668</v>
      </c>
      <c r="G399" s="40" t="s">
        <v>4579</v>
      </c>
      <c r="H399" s="40" t="s">
        <v>5669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4586</v>
      </c>
      <c r="G400" s="40" t="s">
        <v>4579</v>
      </c>
      <c r="H400" s="40" t="s">
        <v>5670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4750</v>
      </c>
      <c r="G401" s="40" t="s">
        <v>4570</v>
      </c>
      <c r="H401" s="40" t="s">
        <v>5671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5672</v>
      </c>
      <c r="G402" s="40" t="s">
        <v>4570</v>
      </c>
      <c r="H402" s="40" t="s">
        <v>5671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4850</v>
      </c>
      <c r="F403" s="40" t="s">
        <v>4851</v>
      </c>
      <c r="G403" s="40" t="s">
        <v>3022</v>
      </c>
      <c r="H403" s="40" t="s">
        <v>4924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5673</v>
      </c>
      <c r="F404" s="40" t="s">
        <v>5674</v>
      </c>
      <c r="G404" s="40" t="s">
        <v>3022</v>
      </c>
      <c r="H404" s="40" t="s">
        <v>4924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5675</v>
      </c>
      <c r="G405" s="40" t="s">
        <v>3022</v>
      </c>
      <c r="H405" s="40" t="s">
        <v>4924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5676</v>
      </c>
      <c r="G406" s="40" t="s">
        <v>3022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3248</v>
      </c>
      <c r="G407" s="40" t="s">
        <v>3022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5677</v>
      </c>
      <c r="G408" s="40" t="s">
        <v>3022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5678</v>
      </c>
      <c r="G409" s="40" t="s">
        <v>4579</v>
      </c>
      <c r="H409" s="40" t="s">
        <v>5679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5680</v>
      </c>
      <c r="G410" s="40" t="s">
        <v>4579</v>
      </c>
      <c r="H410" s="40" t="s">
        <v>5681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5682</v>
      </c>
      <c r="G411" s="40" t="s">
        <v>4606</v>
      </c>
      <c r="H411" s="40" t="s">
        <v>4864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5683</v>
      </c>
      <c r="G412" s="40" t="s">
        <v>4606</v>
      </c>
      <c r="H412" s="40" t="s">
        <v>4864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5684</v>
      </c>
      <c r="G413" s="40" t="s">
        <v>4606</v>
      </c>
      <c r="H413" s="40" t="s">
        <v>4864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5685</v>
      </c>
      <c r="G414" s="40" t="s">
        <v>3022</v>
      </c>
      <c r="H414" s="40" t="s">
        <v>4924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5686</v>
      </c>
      <c r="G415" s="40" t="s">
        <v>3022</v>
      </c>
      <c r="H415" s="40" t="s">
        <v>4924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5687</v>
      </c>
      <c r="G416" s="40" t="s">
        <v>3022</v>
      </c>
      <c r="H416" s="40" t="s">
        <v>4924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4907</v>
      </c>
      <c r="G417" s="40" t="s">
        <v>3022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5688</v>
      </c>
      <c r="G418" s="40" t="s">
        <v>3022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5689</v>
      </c>
      <c r="G419" s="40" t="s">
        <v>3022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5690</v>
      </c>
      <c r="G420" s="40" t="s">
        <v>4596</v>
      </c>
      <c r="H420" s="40" t="s">
        <v>5691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5692</v>
      </c>
      <c r="G421" s="40" t="s">
        <v>4604</v>
      </c>
      <c r="H421" s="40" t="s">
        <v>5206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5693</v>
      </c>
      <c r="G422" s="40" t="s">
        <v>4606</v>
      </c>
      <c r="H422" s="40" t="s">
        <v>5694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5695</v>
      </c>
      <c r="G423" s="40" t="s">
        <v>4549</v>
      </c>
      <c r="H423" s="40" t="s">
        <v>5046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5696</v>
      </c>
      <c r="F424" s="40" t="s">
        <v>5697</v>
      </c>
      <c r="G424" s="40" t="s">
        <v>4549</v>
      </c>
      <c r="H424" s="40" t="s">
        <v>5046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5698</v>
      </c>
      <c r="G425" s="40" t="s">
        <v>4549</v>
      </c>
      <c r="H425" s="40" t="s">
        <v>5046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5699</v>
      </c>
      <c r="F426" s="40" t="s">
        <v>5700</v>
      </c>
      <c r="G426" s="40" t="s">
        <v>4549</v>
      </c>
      <c r="H426" s="40" t="s">
        <v>5046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565</v>
      </c>
      <c r="G427" s="40" t="s">
        <v>3022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5701</v>
      </c>
      <c r="G428" s="40" t="s">
        <v>3022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776</v>
      </c>
      <c r="G429" s="40" t="s">
        <v>3022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5702</v>
      </c>
      <c r="G430" s="40" t="s">
        <v>3022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5222</v>
      </c>
      <c r="G431" s="40" t="s">
        <v>4596</v>
      </c>
      <c r="H431" s="40" t="s">
        <v>4598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5703</v>
      </c>
      <c r="G432" s="40" t="s">
        <v>4596</v>
      </c>
      <c r="H432" s="40" t="s">
        <v>4598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5704</v>
      </c>
      <c r="G433" s="40" t="s">
        <v>4596</v>
      </c>
      <c r="H433" s="40" t="s">
        <v>4598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5705</v>
      </c>
      <c r="F434" s="40" t="s">
        <v>5706</v>
      </c>
      <c r="G434" s="40" t="s">
        <v>4570</v>
      </c>
      <c r="H434" s="40" t="s">
        <v>4734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5707</v>
      </c>
      <c r="G435" s="40" t="s">
        <v>4570</v>
      </c>
      <c r="H435" s="40" t="s">
        <v>4734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5708</v>
      </c>
      <c r="G436" s="40" t="s">
        <v>4570</v>
      </c>
      <c r="H436" s="40" t="s">
        <v>4734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5709</v>
      </c>
      <c r="G437" s="40" t="s">
        <v>4570</v>
      </c>
      <c r="H437" s="40" t="s">
        <v>4734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5710</v>
      </c>
      <c r="G438" s="40" t="s">
        <v>4606</v>
      </c>
      <c r="H438" s="40" t="s">
        <v>4890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5711</v>
      </c>
      <c r="G439" s="40" t="s">
        <v>4606</v>
      </c>
      <c r="H439" s="40" t="s">
        <v>4890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5712</v>
      </c>
      <c r="G440" s="40" t="s">
        <v>4606</v>
      </c>
      <c r="H440" s="40" t="s">
        <v>4890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5713</v>
      </c>
      <c r="G441" s="40" t="s">
        <v>4549</v>
      </c>
      <c r="H441" s="40" t="s">
        <v>4562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5714</v>
      </c>
      <c r="G442" s="40" t="s">
        <v>4549</v>
      </c>
      <c r="H442" s="40" t="s">
        <v>4562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2795</v>
      </c>
      <c r="G443" s="40" t="s">
        <v>3022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5125</v>
      </c>
      <c r="G444" s="40" t="s">
        <v>3022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5715</v>
      </c>
      <c r="G445" s="40" t="s">
        <v>3022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160</v>
      </c>
      <c r="G446" s="40" t="s">
        <v>3022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5716</v>
      </c>
      <c r="G447" s="40" t="s">
        <v>4596</v>
      </c>
      <c r="H447" s="40" t="s">
        <v>4598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5717</v>
      </c>
      <c r="G448" s="40" t="s">
        <v>4596</v>
      </c>
      <c r="H448" s="40" t="s">
        <v>4598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5718</v>
      </c>
      <c r="G449" s="40" t="s">
        <v>4596</v>
      </c>
      <c r="H449" s="40" t="s">
        <v>4598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5719</v>
      </c>
      <c r="G450" s="40" t="s">
        <v>4570</v>
      </c>
      <c r="H450" s="40" t="s">
        <v>4675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5720</v>
      </c>
      <c r="G451" s="40" t="s">
        <v>4570</v>
      </c>
      <c r="H451" s="40" t="s">
        <v>4675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5721</v>
      </c>
      <c r="F452" s="40" t="s">
        <v>5722</v>
      </c>
      <c r="G452" s="40" t="s">
        <v>4570</v>
      </c>
      <c r="H452" s="40" t="s">
        <v>4900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5723</v>
      </c>
      <c r="G453" s="40" t="s">
        <v>4570</v>
      </c>
      <c r="H453" s="40" t="s">
        <v>4900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5724</v>
      </c>
      <c r="F454" s="40" t="s">
        <v>5725</v>
      </c>
      <c r="G454" s="40" t="s">
        <v>4606</v>
      </c>
      <c r="H454" s="40" t="s">
        <v>4788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5726</v>
      </c>
      <c r="G455" s="40" t="s">
        <v>4606</v>
      </c>
      <c r="H455" s="40" t="s">
        <v>4788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5727</v>
      </c>
      <c r="G456" s="40" t="s">
        <v>4606</v>
      </c>
      <c r="H456" s="40" t="s">
        <v>4788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5728</v>
      </c>
      <c r="G457" s="40" t="s">
        <v>4549</v>
      </c>
      <c r="H457" s="40" t="s">
        <v>4562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5729</v>
      </c>
      <c r="G458" s="40" t="s">
        <v>4549</v>
      </c>
      <c r="H458" s="40" t="s">
        <v>4562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5730</v>
      </c>
      <c r="G459" s="40" t="s">
        <v>4549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5731</v>
      </c>
      <c r="F460" s="40" t="s">
        <v>5732</v>
      </c>
      <c r="G460" s="40" t="s">
        <v>4549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5733</v>
      </c>
      <c r="F461" s="40" t="s">
        <v>5734</v>
      </c>
      <c r="G461" s="40" t="s">
        <v>4549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5735</v>
      </c>
      <c r="G462" s="40" t="s">
        <v>4596</v>
      </c>
      <c r="H462" s="40" t="s">
        <v>4598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5736</v>
      </c>
      <c r="G463" s="40" t="s">
        <v>4596</v>
      </c>
      <c r="H463" s="40" t="s">
        <v>4598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5737</v>
      </c>
      <c r="G464" s="40" t="s">
        <v>4596</v>
      </c>
      <c r="H464" s="40" t="s">
        <v>4598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5738</v>
      </c>
      <c r="G465" s="40" t="s">
        <v>4622</v>
      </c>
      <c r="H465" s="40" t="s">
        <v>5272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5739</v>
      </c>
      <c r="G466" s="40" t="s">
        <v>4622</v>
      </c>
      <c r="H466" s="40" t="s">
        <v>5272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5740</v>
      </c>
      <c r="G467" s="40" t="s">
        <v>4606</v>
      </c>
      <c r="H467" s="40" t="s">
        <v>4788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5741</v>
      </c>
      <c r="G468" s="40" t="s">
        <v>4606</v>
      </c>
      <c r="H468" s="40" t="s">
        <v>4788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5742</v>
      </c>
      <c r="G469" s="40" t="s">
        <v>4606</v>
      </c>
      <c r="H469" s="40" t="s">
        <v>4788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5743</v>
      </c>
      <c r="G470" s="40" t="s">
        <v>4549</v>
      </c>
      <c r="H470" s="40" t="s">
        <v>4562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5744</v>
      </c>
      <c r="G471" s="40" t="s">
        <v>4549</v>
      </c>
      <c r="H471" s="40" t="s">
        <v>4562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5745</v>
      </c>
      <c r="G472" s="40" t="s">
        <v>4549</v>
      </c>
      <c r="H472" s="40" t="s">
        <v>4562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5147</v>
      </c>
      <c r="G473" s="40" t="s">
        <v>4549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5746</v>
      </c>
      <c r="G474" s="40" t="s">
        <v>4549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5747</v>
      </c>
      <c r="G475" s="40" t="s">
        <v>4549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5748</v>
      </c>
      <c r="F476" s="40" t="s">
        <v>5749</v>
      </c>
      <c r="G476" s="40" t="s">
        <v>4596</v>
      </c>
      <c r="H476" s="40" t="s">
        <v>4598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5750</v>
      </c>
      <c r="G477" s="40" t="s">
        <v>4596</v>
      </c>
      <c r="H477" s="40" t="s">
        <v>4598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5751</v>
      </c>
      <c r="G478" s="40" t="s">
        <v>4596</v>
      </c>
      <c r="H478" s="40" t="s">
        <v>4598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5752</v>
      </c>
      <c r="G479" s="40" t="s">
        <v>4606</v>
      </c>
      <c r="H479" s="40" t="s">
        <v>5112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5258</v>
      </c>
      <c r="F480" s="40" t="s">
        <v>5259</v>
      </c>
      <c r="G480" s="40" t="s">
        <v>3022</v>
      </c>
      <c r="H480" s="40" t="s">
        <v>4740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5753</v>
      </c>
      <c r="F481" s="40" t="s">
        <v>5754</v>
      </c>
      <c r="G481" s="40" t="s">
        <v>3022</v>
      </c>
      <c r="H481" s="40" t="s">
        <v>4740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5755</v>
      </c>
      <c r="G482" s="40" t="s">
        <v>3022</v>
      </c>
      <c r="H482" s="40" t="s">
        <v>4740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5756</v>
      </c>
      <c r="G483" s="40" t="s">
        <v>4549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5757</v>
      </c>
      <c r="G484" s="40" t="s">
        <v>4549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5758</v>
      </c>
      <c r="F485" s="40" t="s">
        <v>5759</v>
      </c>
      <c r="G485" s="40" t="s">
        <v>4549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5760</v>
      </c>
      <c r="G486" s="40" t="s">
        <v>4596</v>
      </c>
      <c r="H486" s="40" t="s">
        <v>4598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5761</v>
      </c>
      <c r="G487" s="40" t="s">
        <v>4596</v>
      </c>
      <c r="H487" s="40" t="s">
        <v>4598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5762</v>
      </c>
      <c r="G488" s="40" t="s">
        <v>4596</v>
      </c>
      <c r="H488" s="40" t="s">
        <v>4598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5763</v>
      </c>
      <c r="G489" s="40" t="s">
        <v>4622</v>
      </c>
      <c r="H489" s="40" t="s">
        <v>5272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5764</v>
      </c>
      <c r="G490" s="40" t="s">
        <v>4606</v>
      </c>
      <c r="H490" s="40" t="s">
        <v>5112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5765</v>
      </c>
      <c r="G491" s="40" t="s">
        <v>4606</v>
      </c>
      <c r="H491" s="40" t="s">
        <v>4788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5766</v>
      </c>
      <c r="G492" s="40" t="s">
        <v>4606</v>
      </c>
      <c r="H492" s="40" t="s">
        <v>4788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5767</v>
      </c>
      <c r="G493" s="40" t="s">
        <v>3022</v>
      </c>
      <c r="H493" s="40" t="s">
        <v>4740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5768</v>
      </c>
      <c r="G494" s="40" t="s">
        <v>3022</v>
      </c>
      <c r="H494" s="40" t="s">
        <v>4740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5769</v>
      </c>
      <c r="G495" s="40" t="s">
        <v>3022</v>
      </c>
      <c r="H495" s="40" t="s">
        <v>4740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488</v>
      </c>
      <c r="G496" s="40" t="s">
        <v>3022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5299</v>
      </c>
      <c r="G497" s="40" t="s">
        <v>3022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5770</v>
      </c>
      <c r="G498" s="40" t="s">
        <v>3022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3080</v>
      </c>
      <c r="G499" s="40" t="s">
        <v>3022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5771</v>
      </c>
      <c r="G500" s="40" t="s">
        <v>4596</v>
      </c>
      <c r="H500" s="40" t="s">
        <v>5642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5772</v>
      </c>
      <c r="G501" s="40" t="s">
        <v>4596</v>
      </c>
      <c r="H501" s="40" t="s">
        <v>5642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5773</v>
      </c>
      <c r="G502" s="40" t="s">
        <v>4596</v>
      </c>
      <c r="H502" s="40" t="s">
        <v>5642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5774</v>
      </c>
      <c r="G503" s="40" t="s">
        <v>4622</v>
      </c>
      <c r="H503" s="40" t="s">
        <v>5775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5776</v>
      </c>
      <c r="G504" s="40" t="s">
        <v>4622</v>
      </c>
      <c r="H504" s="40" t="s">
        <v>5775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5777</v>
      </c>
      <c r="G505" s="40" t="s">
        <v>4622</v>
      </c>
      <c r="H505" s="40" t="s">
        <v>5778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5779</v>
      </c>
      <c r="G506" s="40" t="s">
        <v>4606</v>
      </c>
      <c r="H506" s="40" t="s">
        <v>5619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5780</v>
      </c>
      <c r="G507" s="40" t="s">
        <v>4606</v>
      </c>
      <c r="H507" s="40" t="s">
        <v>5619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5781</v>
      </c>
      <c r="G508" s="40" t="s">
        <v>4606</v>
      </c>
      <c r="H508" s="40" t="s">
        <v>5619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5782</v>
      </c>
      <c r="G509" s="40" t="s">
        <v>3022</v>
      </c>
      <c r="H509" s="40" t="s">
        <v>4740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1006</v>
      </c>
      <c r="G510" s="40" t="s">
        <v>3022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5783</v>
      </c>
      <c r="G511" s="40" t="s">
        <v>3022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4928</v>
      </c>
      <c r="G512" s="40" t="s">
        <v>3022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5784</v>
      </c>
      <c r="G513" s="40" t="s">
        <v>4596</v>
      </c>
      <c r="H513" s="40" t="s">
        <v>5642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5785</v>
      </c>
      <c r="G514" s="40" t="s">
        <v>4596</v>
      </c>
      <c r="H514" s="40" t="s">
        <v>5642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5786</v>
      </c>
      <c r="G515" s="40" t="s">
        <v>4596</v>
      </c>
      <c r="H515" s="40" t="s">
        <v>5642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5787</v>
      </c>
      <c r="G516" s="40" t="s">
        <v>4622</v>
      </c>
      <c r="H516" s="40" t="s">
        <v>5788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5789</v>
      </c>
      <c r="G517" s="40" t="s">
        <v>4622</v>
      </c>
      <c r="H517" s="40" t="s">
        <v>5788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5790</v>
      </c>
      <c r="F518" s="40" t="s">
        <v>5791</v>
      </c>
      <c r="G518" s="40" t="s">
        <v>4606</v>
      </c>
      <c r="H518" s="40" t="s">
        <v>5792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5793</v>
      </c>
      <c r="G519" s="40" t="s">
        <v>4606</v>
      </c>
      <c r="H519" s="40" t="s">
        <v>5792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5794</v>
      </c>
      <c r="G520" s="40" t="s">
        <v>4606</v>
      </c>
      <c r="H520" s="40" t="s">
        <v>5792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5795</v>
      </c>
      <c r="G521" s="40" t="s">
        <v>3022</v>
      </c>
      <c r="H521" s="40" t="s">
        <v>4740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5796</v>
      </c>
      <c r="G522" s="40" t="s">
        <v>3022</v>
      </c>
      <c r="H522" s="40" t="s">
        <v>4740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5120</v>
      </c>
      <c r="G523" s="40" t="s">
        <v>3022</v>
      </c>
      <c r="H523" s="40" t="s">
        <v>4740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5797</v>
      </c>
      <c r="G524" s="40" t="s">
        <v>3022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5798</v>
      </c>
      <c r="G525" s="40" t="s">
        <v>3022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5799</v>
      </c>
      <c r="G526" s="40" t="s">
        <v>3022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5800</v>
      </c>
      <c r="G527" s="40" t="s">
        <v>4596</v>
      </c>
      <c r="H527" s="40" t="s">
        <v>5642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5801</v>
      </c>
      <c r="G528" s="40" t="s">
        <v>4596</v>
      </c>
      <c r="H528" s="40" t="s">
        <v>5642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5802</v>
      </c>
      <c r="G529" s="40" t="s">
        <v>4596</v>
      </c>
      <c r="H529" s="40" t="s">
        <v>5642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5803</v>
      </c>
      <c r="G530" s="40" t="s">
        <v>4570</v>
      </c>
      <c r="H530" s="40" t="s">
        <v>5804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5805</v>
      </c>
      <c r="G531" s="40" t="s">
        <v>4570</v>
      </c>
      <c r="H531" s="40" t="s">
        <v>5804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5806</v>
      </c>
      <c r="G532" s="40" t="s">
        <v>4570</v>
      </c>
      <c r="H532" s="40" t="s">
        <v>5804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5807</v>
      </c>
      <c r="G533" s="40" t="s">
        <v>4606</v>
      </c>
      <c r="H533" s="40" t="s">
        <v>5792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5808</v>
      </c>
      <c r="G534" s="40" t="s">
        <v>4606</v>
      </c>
      <c r="H534" s="40" t="s">
        <v>5792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5809</v>
      </c>
      <c r="G535" s="40" t="s">
        <v>4606</v>
      </c>
      <c r="H535" s="40" t="s">
        <v>5792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5810</v>
      </c>
      <c r="F536" s="63" t="s">
        <v>5811</v>
      </c>
      <c r="G536" s="63" t="s">
        <v>4549</v>
      </c>
      <c r="H536" s="63" t="s">
        <v>5812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5813</v>
      </c>
      <c r="F537" s="63" t="s">
        <v>5814</v>
      </c>
      <c r="G537" s="63" t="s">
        <v>4549</v>
      </c>
      <c r="H537" s="63" t="s">
        <v>5812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5815</v>
      </c>
      <c r="G538" s="63" t="s">
        <v>4549</v>
      </c>
      <c r="H538" s="63" t="s">
        <v>5812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5816</v>
      </c>
      <c r="G539" s="63" t="s">
        <v>3022</v>
      </c>
      <c r="H539" s="63" t="s">
        <v>4617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5817</v>
      </c>
      <c r="G540" s="63" t="s">
        <v>3022</v>
      </c>
      <c r="H540" s="63" t="s">
        <v>4617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5818</v>
      </c>
      <c r="G541" s="63" t="s">
        <v>3022</v>
      </c>
      <c r="H541" s="63" t="s">
        <v>4617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5819</v>
      </c>
      <c r="G542" s="63" t="s">
        <v>3022</v>
      </c>
      <c r="H542" s="63" t="s">
        <v>4617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5820</v>
      </c>
      <c r="G543" s="63" t="s">
        <v>3022</v>
      </c>
      <c r="H543" s="63" t="s">
        <v>5622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5821</v>
      </c>
      <c r="G544" s="63" t="s">
        <v>3022</v>
      </c>
      <c r="H544" s="63" t="s">
        <v>5622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5822</v>
      </c>
      <c r="G545" s="63" t="s">
        <v>3022</v>
      </c>
      <c r="H545" s="63" t="s">
        <v>5622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5823</v>
      </c>
      <c r="G546" s="63" t="s">
        <v>3022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3197</v>
      </c>
      <c r="G547" s="63" t="s">
        <v>3022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5824</v>
      </c>
      <c r="G548" s="63" t="s">
        <v>3022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5825</v>
      </c>
      <c r="G549" s="63" t="s">
        <v>4596</v>
      </c>
      <c r="H549" s="63" t="s">
        <v>5642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5826</v>
      </c>
      <c r="F550" s="63" t="s">
        <v>5827</v>
      </c>
      <c r="G550" s="63" t="s">
        <v>4596</v>
      </c>
      <c r="H550" s="63" t="s">
        <v>5828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5829</v>
      </c>
      <c r="G551" s="63" t="s">
        <v>4596</v>
      </c>
      <c r="H551" s="63" t="s">
        <v>5828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5830</v>
      </c>
      <c r="G552" s="63" t="s">
        <v>4570</v>
      </c>
      <c r="H552" s="63" t="s">
        <v>4854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5831</v>
      </c>
      <c r="F553" s="63" t="s">
        <v>5832</v>
      </c>
      <c r="G553" s="63" t="s">
        <v>4570</v>
      </c>
      <c r="H553" s="63" t="s">
        <v>4854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5833</v>
      </c>
      <c r="G554" s="63" t="s">
        <v>4570</v>
      </c>
      <c r="H554" s="63" t="s">
        <v>4854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5834</v>
      </c>
      <c r="G555" s="63" t="s">
        <v>4606</v>
      </c>
      <c r="H555" s="63" t="s">
        <v>5792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5835</v>
      </c>
      <c r="G556" s="63" t="s">
        <v>4606</v>
      </c>
      <c r="H556" s="63" t="s">
        <v>5836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5837</v>
      </c>
      <c r="G557" s="63" t="s">
        <v>4606</v>
      </c>
      <c r="H557" s="63" t="s">
        <v>5838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5839</v>
      </c>
      <c r="G558" s="63" t="s">
        <v>3022</v>
      </c>
      <c r="H558" s="63" t="s">
        <v>5622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5840</v>
      </c>
      <c r="G559" s="63" t="s">
        <v>3022</v>
      </c>
      <c r="H559" s="63" t="s">
        <v>5622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5841</v>
      </c>
      <c r="G560" s="63" t="s">
        <v>3022</v>
      </c>
      <c r="H560" s="63" t="s">
        <v>5622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5842</v>
      </c>
      <c r="G561" s="63" t="s">
        <v>3022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673</v>
      </c>
      <c r="G562" s="63" t="s">
        <v>3022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3326</v>
      </c>
      <c r="G563" s="63" t="s">
        <v>3022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3281</v>
      </c>
      <c r="G564" s="63" t="s">
        <v>3022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5843</v>
      </c>
      <c r="G565" s="63" t="s">
        <v>4596</v>
      </c>
      <c r="H565" s="63" t="s">
        <v>5828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5844</v>
      </c>
      <c r="G566" s="63" t="s">
        <v>4596</v>
      </c>
      <c r="H566" s="63" t="s">
        <v>5828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5845</v>
      </c>
      <c r="G567" s="63" t="s">
        <v>4596</v>
      </c>
      <c r="H567" s="63" t="s">
        <v>5828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5846</v>
      </c>
      <c r="G568" s="63" t="s">
        <v>4570</v>
      </c>
      <c r="H568" s="63" t="s">
        <v>5847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5848</v>
      </c>
      <c r="G569" s="63" t="s">
        <v>4570</v>
      </c>
      <c r="H569" s="63" t="s">
        <v>5849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5850</v>
      </c>
      <c r="F570" s="63" t="s">
        <v>5851</v>
      </c>
      <c r="G570" s="63" t="s">
        <v>4570</v>
      </c>
      <c r="H570" s="63" t="s">
        <v>5849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5852</v>
      </c>
      <c r="F571" s="63" t="s">
        <v>5853</v>
      </c>
      <c r="G571" s="63" t="s">
        <v>4570</v>
      </c>
      <c r="H571" s="63" t="s">
        <v>5849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5854</v>
      </c>
      <c r="G572" s="63" t="s">
        <v>4606</v>
      </c>
      <c r="H572" s="63" t="s">
        <v>5855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5856</v>
      </c>
      <c r="G573" s="63" t="s">
        <v>4606</v>
      </c>
      <c r="H573" s="63" t="s">
        <v>5857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5858</v>
      </c>
      <c r="G574" s="63" t="s">
        <v>4606</v>
      </c>
      <c r="H574" s="63" t="s">
        <v>5857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5859</v>
      </c>
      <c r="G575" s="63" t="s">
        <v>3022</v>
      </c>
      <c r="H575" s="63" t="s">
        <v>5622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5860</v>
      </c>
      <c r="G576" s="63" t="s">
        <v>3022</v>
      </c>
      <c r="H576" s="63" t="s">
        <v>5622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5861</v>
      </c>
      <c r="G577" s="63" t="s">
        <v>3022</v>
      </c>
      <c r="H577" s="63" t="s">
        <v>5622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5862</v>
      </c>
      <c r="G578" s="63" t="s">
        <v>3022</v>
      </c>
      <c r="H578" s="63" t="s">
        <v>5622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3200</v>
      </c>
      <c r="G579" s="63" t="s">
        <v>3022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821</v>
      </c>
      <c r="G580" s="63" t="s">
        <v>3022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4035</v>
      </c>
      <c r="G581" s="63" t="s">
        <v>3022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5863</v>
      </c>
      <c r="G582" s="63" t="s">
        <v>3022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5864</v>
      </c>
      <c r="G583" s="63" t="s">
        <v>4596</v>
      </c>
      <c r="H583" s="63" t="s">
        <v>5828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5865</v>
      </c>
      <c r="G584" s="63" t="s">
        <v>4596</v>
      </c>
      <c r="H584" s="63" t="s">
        <v>4598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5866</v>
      </c>
      <c r="G585" s="63" t="s">
        <v>4579</v>
      </c>
      <c r="H585" s="63" t="s">
        <v>5339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5867</v>
      </c>
      <c r="G586" s="63" t="s">
        <v>4570</v>
      </c>
      <c r="H586" s="63" t="s">
        <v>5849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5868</v>
      </c>
      <c r="G587" s="63" t="s">
        <v>4570</v>
      </c>
      <c r="H587" s="63" t="s">
        <v>5849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5869</v>
      </c>
      <c r="G588" s="63" t="s">
        <v>4570</v>
      </c>
      <c r="H588" s="63" t="s">
        <v>5849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5870</v>
      </c>
      <c r="G589" s="63" t="s">
        <v>4664</v>
      </c>
      <c r="H589" s="63" t="s">
        <v>5871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5872</v>
      </c>
      <c r="G590" s="63" t="s">
        <v>4664</v>
      </c>
      <c r="H590" s="63" t="s">
        <v>5871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5873</v>
      </c>
      <c r="G591" s="63" t="s">
        <v>3022</v>
      </c>
      <c r="H591" s="63" t="s">
        <v>5622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5874</v>
      </c>
      <c r="G592" s="63" t="s">
        <v>3022</v>
      </c>
      <c r="H592" s="63" t="s">
        <v>5622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5875</v>
      </c>
      <c r="G593" s="63" t="s">
        <v>3022</v>
      </c>
      <c r="H593" s="63" t="s">
        <v>5622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5876</v>
      </c>
      <c r="G594" s="63" t="s">
        <v>3022</v>
      </c>
      <c r="H594" s="63" t="s">
        <v>5622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5877</v>
      </c>
      <c r="G595" s="63" t="s">
        <v>3022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5878</v>
      </c>
      <c r="G596" s="63" t="s">
        <v>3022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618</v>
      </c>
      <c r="G597" s="63" t="s">
        <v>3022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4042</v>
      </c>
      <c r="G598" s="63" t="s">
        <v>3022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5879</v>
      </c>
      <c r="G599" s="63" t="s">
        <v>4596</v>
      </c>
      <c r="H599" s="63" t="s">
        <v>4598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5880</v>
      </c>
      <c r="G600" s="63" t="s">
        <v>4596</v>
      </c>
      <c r="H600" s="63" t="s">
        <v>4598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5881</v>
      </c>
      <c r="G601" s="63" t="s">
        <v>4640</v>
      </c>
      <c r="H601" s="63" t="s">
        <v>5882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5883</v>
      </c>
      <c r="G602" s="63" t="s">
        <v>4570</v>
      </c>
      <c r="H602" s="63" t="s">
        <v>4854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5884</v>
      </c>
      <c r="G603" s="63" t="s">
        <v>4570</v>
      </c>
      <c r="H603" s="63" t="s">
        <v>4854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5885</v>
      </c>
      <c r="G604" s="63" t="s">
        <v>4549</v>
      </c>
      <c r="H604" s="63" t="s">
        <v>4990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5886</v>
      </c>
      <c r="G605" s="63" t="s">
        <v>4549</v>
      </c>
      <c r="H605" s="63" t="s">
        <v>4990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5887</v>
      </c>
      <c r="G606" s="63" t="s">
        <v>4549</v>
      </c>
      <c r="H606" s="63" t="s">
        <v>4990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5888</v>
      </c>
      <c r="G607" s="63" t="s">
        <v>3022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5889</v>
      </c>
      <c r="G608" s="63" t="s">
        <v>3022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3995</v>
      </c>
      <c r="G609" s="63" t="s">
        <v>3022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5890</v>
      </c>
      <c r="G610" s="63" t="s">
        <v>3022</v>
      </c>
      <c r="H610" s="63" t="s">
        <v>4617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5891</v>
      </c>
      <c r="G611" s="63" t="s">
        <v>4579</v>
      </c>
      <c r="H611" s="63" t="s">
        <v>5339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5892</v>
      </c>
      <c r="G612" s="63" t="s">
        <v>4579</v>
      </c>
      <c r="H612" s="63" t="s">
        <v>5679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5893</v>
      </c>
      <c r="G613" s="63" t="s">
        <v>4630</v>
      </c>
      <c r="H613" s="63" t="s">
        <v>5894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5895</v>
      </c>
      <c r="G614" s="63" t="s">
        <v>4630</v>
      </c>
      <c r="H614" s="63" t="s">
        <v>5894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5896</v>
      </c>
      <c r="G615" s="63" t="s">
        <v>4630</v>
      </c>
      <c r="H615" s="63" t="s">
        <v>5897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5898</v>
      </c>
      <c r="G616" s="63" t="s">
        <v>4664</v>
      </c>
      <c r="H616" s="63" t="s">
        <v>5899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5900</v>
      </c>
      <c r="G617" s="63" t="s">
        <v>4664</v>
      </c>
      <c r="H617" s="63" t="s">
        <v>5901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5902</v>
      </c>
      <c r="G618" s="63" t="s">
        <v>4664</v>
      </c>
      <c r="H618" s="63" t="s">
        <v>5901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5903</v>
      </c>
      <c r="G619" s="63" t="s">
        <v>4549</v>
      </c>
      <c r="H619" s="63" t="s">
        <v>4990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5182</v>
      </c>
      <c r="G620" s="63" t="s">
        <v>4549</v>
      </c>
      <c r="H620" s="63" t="s">
        <v>4990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5904</v>
      </c>
      <c r="G621" s="63" t="s">
        <v>4549</v>
      </c>
      <c r="H621" s="63" t="s">
        <v>4990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5905</v>
      </c>
      <c r="G622" s="63" t="s">
        <v>4549</v>
      </c>
      <c r="H622" s="63" t="s">
        <v>4990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4818</v>
      </c>
      <c r="G623" s="63" t="s">
        <v>3022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5234</v>
      </c>
      <c r="G624" s="63" t="s">
        <v>3022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5906</v>
      </c>
      <c r="G625" s="63" t="s">
        <v>3022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5907</v>
      </c>
      <c r="G626" s="63" t="s">
        <v>4579</v>
      </c>
      <c r="H626" s="63" t="s">
        <v>5679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5908</v>
      </c>
      <c r="G627" s="63" t="s">
        <v>4579</v>
      </c>
      <c r="H627" s="63" t="s">
        <v>5669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5909</v>
      </c>
      <c r="G628" s="63" t="s">
        <v>4579</v>
      </c>
      <c r="H628" s="63" t="s">
        <v>5669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5910</v>
      </c>
      <c r="G629" s="63" t="s">
        <v>4579</v>
      </c>
      <c r="H629" s="63" t="s">
        <v>5669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5911</v>
      </c>
      <c r="G630" s="63" t="s">
        <v>4570</v>
      </c>
      <c r="H630" s="63" t="s">
        <v>5225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5912</v>
      </c>
      <c r="G631" s="63" t="s">
        <v>4570</v>
      </c>
      <c r="H631" s="63" t="s">
        <v>5225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5913</v>
      </c>
      <c r="G632" s="63" t="s">
        <v>4570</v>
      </c>
      <c r="H632" s="63" t="s">
        <v>5225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5914</v>
      </c>
      <c r="G633" s="63" t="s">
        <v>4664</v>
      </c>
      <c r="H633" s="63" t="s">
        <v>5901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5915</v>
      </c>
      <c r="G634" s="63" t="s">
        <v>3022</v>
      </c>
      <c r="H634" s="63" t="s">
        <v>4754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5916</v>
      </c>
      <c r="G635" s="63" t="s">
        <v>3022</v>
      </c>
      <c r="H635" s="63" t="s">
        <v>4754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5917</v>
      </c>
      <c r="G636" s="63" t="s">
        <v>3022</v>
      </c>
      <c r="H636" s="63" t="s">
        <v>4754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4869</v>
      </c>
      <c r="F637" s="63" t="s">
        <v>4870</v>
      </c>
      <c r="G637" s="63" t="s">
        <v>3022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5918</v>
      </c>
      <c r="G638" s="63" t="s">
        <v>3022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4021</v>
      </c>
      <c r="G639" s="63" t="s">
        <v>3022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5919</v>
      </c>
      <c r="G640" s="63" t="s">
        <v>3022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5920</v>
      </c>
      <c r="G641" s="63" t="s">
        <v>4579</v>
      </c>
      <c r="H641" s="63" t="s">
        <v>5669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5921</v>
      </c>
      <c r="G642" s="63" t="s">
        <v>4579</v>
      </c>
      <c r="H642" s="63" t="s">
        <v>5669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5922</v>
      </c>
      <c r="G643" s="63" t="s">
        <v>4570</v>
      </c>
      <c r="H643" s="63" t="s">
        <v>4845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5923</v>
      </c>
      <c r="G644" s="63" t="s">
        <v>4622</v>
      </c>
      <c r="H644" s="63" t="s">
        <v>4839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5924</v>
      </c>
      <c r="G645" s="63" t="s">
        <v>4664</v>
      </c>
      <c r="H645" s="63" t="s">
        <v>4775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5925</v>
      </c>
      <c r="G646" s="63" t="s">
        <v>4664</v>
      </c>
      <c r="H646" s="63" t="s">
        <v>4775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5926</v>
      </c>
      <c r="G647" s="63" t="s">
        <v>4664</v>
      </c>
      <c r="H647" s="63" t="s">
        <v>4775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5927</v>
      </c>
      <c r="F648" s="63" t="s">
        <v>5928</v>
      </c>
      <c r="G648" s="63" t="s">
        <v>3022</v>
      </c>
      <c r="H648" s="63" t="s">
        <v>4754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5929</v>
      </c>
      <c r="G649" s="63" t="s">
        <v>3022</v>
      </c>
      <c r="H649" s="63" t="s">
        <v>4754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5930</v>
      </c>
      <c r="G650" s="63" t="s">
        <v>3022</v>
      </c>
      <c r="H650" s="63" t="s">
        <v>4754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5931</v>
      </c>
      <c r="G651" s="63" t="s">
        <v>3022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5932</v>
      </c>
      <c r="G652" s="63" t="s">
        <v>3022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5102</v>
      </c>
      <c r="G653" s="63" t="s">
        <v>3022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5933</v>
      </c>
      <c r="G654" s="63" t="s">
        <v>4579</v>
      </c>
      <c r="H654" s="63" t="s">
        <v>5669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5934</v>
      </c>
      <c r="G655" s="63" t="s">
        <v>4622</v>
      </c>
      <c r="H655" s="63" t="s">
        <v>4839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5935</v>
      </c>
      <c r="G656" s="63" t="s">
        <v>4622</v>
      </c>
      <c r="H656" s="63" t="s">
        <v>4839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5936</v>
      </c>
      <c r="G657" s="63" t="s">
        <v>4664</v>
      </c>
      <c r="H657" s="63" t="s">
        <v>5937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5087</v>
      </c>
      <c r="G658" s="63" t="s">
        <v>4664</v>
      </c>
      <c r="H658" s="63" t="s">
        <v>5937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5938</v>
      </c>
      <c r="G659" s="63" t="s">
        <v>3022</v>
      </c>
      <c r="H659" s="63" t="s">
        <v>5939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5940</v>
      </c>
      <c r="G660" s="63" t="s">
        <v>3022</v>
      </c>
      <c r="H660" s="63" t="s">
        <v>5939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5941</v>
      </c>
      <c r="G661" s="63" t="s">
        <v>3022</v>
      </c>
      <c r="H661" s="63" t="s">
        <v>5939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5942</v>
      </c>
      <c r="G662" s="63" t="s">
        <v>3022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5943</v>
      </c>
      <c r="F663" s="63" t="s">
        <v>5944</v>
      </c>
      <c r="G663" s="63" t="s">
        <v>3022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515</v>
      </c>
      <c r="G664" s="63" t="s">
        <v>3022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5945</v>
      </c>
      <c r="G665" s="63" t="s">
        <v>4579</v>
      </c>
      <c r="H665" s="63" t="s">
        <v>4651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5946</v>
      </c>
      <c r="G666" s="63" t="s">
        <v>4579</v>
      </c>
      <c r="H666" s="63" t="s">
        <v>4651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5947</v>
      </c>
      <c r="G667" s="63" t="s">
        <v>4570</v>
      </c>
      <c r="H667" s="63" t="s">
        <v>5225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5948</v>
      </c>
      <c r="G668" s="63" t="s">
        <v>4570</v>
      </c>
      <c r="H668" s="63" t="s">
        <v>5225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5949</v>
      </c>
      <c r="G669" s="63" t="s">
        <v>3022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5950</v>
      </c>
      <c r="G670" s="63" t="s">
        <v>4549</v>
      </c>
      <c r="H670" s="63" t="s">
        <v>5812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4956</v>
      </c>
      <c r="G671" s="63" t="s">
        <v>4549</v>
      </c>
      <c r="H671" s="63" t="s">
        <v>5812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5951</v>
      </c>
      <c r="G672" s="63" t="s">
        <v>3022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5952</v>
      </c>
      <c r="G673" s="63" t="s">
        <v>3022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853</v>
      </c>
      <c r="G674" s="63" t="s">
        <v>3022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5953</v>
      </c>
      <c r="G675" s="63" t="s">
        <v>4604</v>
      </c>
      <c r="H675" s="63" t="s">
        <v>5954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5955</v>
      </c>
      <c r="G676" s="63" t="s">
        <v>4604</v>
      </c>
      <c r="H676" s="63" t="s">
        <v>5954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5956</v>
      </c>
      <c r="G677" s="63" t="s">
        <v>4622</v>
      </c>
      <c r="H677" s="63" t="s">
        <v>4839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5957</v>
      </c>
      <c r="G678" s="63" t="s">
        <v>4622</v>
      </c>
      <c r="H678" s="63" t="s">
        <v>4839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5958</v>
      </c>
      <c r="G679" s="63" t="s">
        <v>4664</v>
      </c>
      <c r="H679" s="63" t="s">
        <v>5937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5959</v>
      </c>
      <c r="G680" s="63" t="s">
        <v>4664</v>
      </c>
      <c r="H680" s="63" t="s">
        <v>5937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5960</v>
      </c>
      <c r="G681" s="63" t="s">
        <v>4596</v>
      </c>
      <c r="H681" s="63" t="s">
        <v>4598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5961</v>
      </c>
      <c r="G682" s="63" t="s">
        <v>4549</v>
      </c>
      <c r="H682" s="63" t="s">
        <v>5812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5962</v>
      </c>
      <c r="G683" s="63" t="s">
        <v>4549</v>
      </c>
      <c r="H683" s="63" t="s">
        <v>5812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5963</v>
      </c>
      <c r="G684" s="63" t="s">
        <v>4549</v>
      </c>
      <c r="H684" s="63" t="s">
        <v>5812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190</v>
      </c>
      <c r="G685" s="63" t="s">
        <v>3022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857</v>
      </c>
      <c r="G686" s="63" t="s">
        <v>3022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5964</v>
      </c>
      <c r="G687" s="63" t="s">
        <v>4604</v>
      </c>
      <c r="H687" s="63" t="s">
        <v>5965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5966</v>
      </c>
      <c r="G688" s="63" t="s">
        <v>4604</v>
      </c>
      <c r="H688" s="63" t="s">
        <v>5965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5967</v>
      </c>
      <c r="G689" s="63" t="s">
        <v>4622</v>
      </c>
      <c r="H689" s="63" t="s">
        <v>5968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5969</v>
      </c>
      <c r="G690" s="63" t="s">
        <v>4622</v>
      </c>
      <c r="H690" s="63" t="s">
        <v>5970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5971</v>
      </c>
      <c r="G691" s="63" t="s">
        <v>4664</v>
      </c>
      <c r="H691" s="63" t="s">
        <v>5937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5972</v>
      </c>
      <c r="G692" s="63" t="s">
        <v>4664</v>
      </c>
      <c r="H692" s="63" t="s">
        <v>5937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5973</v>
      </c>
      <c r="G693" s="63" t="s">
        <v>4664</v>
      </c>
      <c r="H693" s="63" t="s">
        <v>5937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5974</v>
      </c>
      <c r="F694" s="63" t="s">
        <v>5975</v>
      </c>
      <c r="G694" s="63" t="s">
        <v>4549</v>
      </c>
      <c r="H694" s="63" t="s">
        <v>4732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5976</v>
      </c>
      <c r="F695" s="63" t="s">
        <v>5977</v>
      </c>
      <c r="G695" s="63" t="s">
        <v>4549</v>
      </c>
      <c r="H695" s="63" t="s">
        <v>4732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5978</v>
      </c>
      <c r="F696" s="63" t="s">
        <v>5979</v>
      </c>
      <c r="G696" s="63" t="s">
        <v>4549</v>
      </c>
      <c r="H696" s="63" t="s">
        <v>4732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5980</v>
      </c>
      <c r="F697" s="63" t="s">
        <v>5981</v>
      </c>
      <c r="G697" s="63" t="s">
        <v>4549</v>
      </c>
      <c r="H697" s="63" t="s">
        <v>4732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5982</v>
      </c>
      <c r="G698" s="63" t="s">
        <v>3022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5983</v>
      </c>
      <c r="G699" s="63" t="s">
        <v>3022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438</v>
      </c>
      <c r="G700" s="63" t="s">
        <v>3022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5984</v>
      </c>
      <c r="G701" s="63" t="s">
        <v>3022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5985</v>
      </c>
      <c r="G702" s="63" t="s">
        <v>4604</v>
      </c>
      <c r="H702" s="63" t="s">
        <v>5965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5986</v>
      </c>
      <c r="G703" s="63" t="s">
        <v>4604</v>
      </c>
      <c r="H703" s="63" t="s">
        <v>5965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5987</v>
      </c>
      <c r="F704" s="63" t="s">
        <v>5988</v>
      </c>
      <c r="G704" s="63" t="s">
        <v>4622</v>
      </c>
      <c r="H704" s="63" t="s">
        <v>4713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5989</v>
      </c>
      <c r="F705" s="63" t="s">
        <v>5990</v>
      </c>
      <c r="G705" s="63" t="s">
        <v>4622</v>
      </c>
      <c r="H705" s="63" t="s">
        <v>4713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5991</v>
      </c>
      <c r="G706" s="63" t="s">
        <v>4622</v>
      </c>
      <c r="H706" s="63" t="s">
        <v>4713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5992</v>
      </c>
      <c r="G707" s="63" t="s">
        <v>4664</v>
      </c>
      <c r="H707" s="63" t="s">
        <v>5937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5993</v>
      </c>
      <c r="G708" s="63" t="s">
        <v>4664</v>
      </c>
      <c r="H708" s="63" t="s">
        <v>5994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5995</v>
      </c>
      <c r="G709" s="63" t="s">
        <v>4549</v>
      </c>
      <c r="H709" s="63" t="s">
        <v>4732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5996</v>
      </c>
      <c r="G710" s="63" t="s">
        <v>4549</v>
      </c>
      <c r="H710" s="63" t="s">
        <v>4732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5997</v>
      </c>
      <c r="G711" s="63" t="s">
        <v>4549</v>
      </c>
      <c r="H711" s="63" t="s">
        <v>4732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5998</v>
      </c>
      <c r="G712" s="63" t="s">
        <v>4549</v>
      </c>
      <c r="H712" s="63" t="s">
        <v>4732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5999</v>
      </c>
      <c r="G713" s="63" t="s">
        <v>3022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6000</v>
      </c>
      <c r="G714" s="63" t="s">
        <v>3022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6001</v>
      </c>
      <c r="G715" s="63" t="s">
        <v>3022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6002</v>
      </c>
      <c r="G716" s="63" t="s">
        <v>4604</v>
      </c>
      <c r="H716" s="63" t="s">
        <v>4667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6003</v>
      </c>
      <c r="G717" s="63" t="s">
        <v>4604</v>
      </c>
      <c r="H717" s="63" t="s">
        <v>4667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6004</v>
      </c>
      <c r="G718" s="63" t="s">
        <v>4622</v>
      </c>
      <c r="H718" s="63" t="s">
        <v>4713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6005</v>
      </c>
      <c r="G719" s="63" t="s">
        <v>4622</v>
      </c>
      <c r="H719" s="63" t="s">
        <v>4713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6006</v>
      </c>
      <c r="G720" s="63" t="s">
        <v>4606</v>
      </c>
      <c r="H720" s="63" t="s">
        <v>6007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6008</v>
      </c>
      <c r="G721" s="63" t="s">
        <v>4579</v>
      </c>
      <c r="H721" s="63" t="s">
        <v>5669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6009</v>
      </c>
      <c r="G722" s="63" t="s">
        <v>4549</v>
      </c>
      <c r="H722" s="63" t="s">
        <v>4732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5213</v>
      </c>
      <c r="G723" s="63" t="s">
        <v>4549</v>
      </c>
      <c r="H723" s="63" t="s">
        <v>4732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6010</v>
      </c>
      <c r="G724" s="63" t="s">
        <v>4549</v>
      </c>
      <c r="H724" s="63" t="s">
        <v>4732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4970</v>
      </c>
      <c r="G725" s="63" t="s">
        <v>3022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6011</v>
      </c>
      <c r="G726" s="63" t="s">
        <v>3022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6012</v>
      </c>
      <c r="G727" s="63" t="s">
        <v>3022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6013</v>
      </c>
      <c r="G728" s="63" t="s">
        <v>4604</v>
      </c>
      <c r="H728" s="63" t="s">
        <v>4667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6014</v>
      </c>
      <c r="G729" s="63" t="s">
        <v>4604</v>
      </c>
      <c r="H729" s="63" t="s">
        <v>4667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6015</v>
      </c>
      <c r="G730" s="63" t="s">
        <v>4549</v>
      </c>
      <c r="H730" s="63" t="s">
        <v>4732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6016</v>
      </c>
      <c r="G731" s="63" t="s">
        <v>4549</v>
      </c>
      <c r="H731" s="63" t="s">
        <v>4732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6017</v>
      </c>
      <c r="F732" s="63" t="s">
        <v>6018</v>
      </c>
      <c r="G732" s="63" t="s">
        <v>4549</v>
      </c>
      <c r="H732" s="63" t="s">
        <v>5175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6019</v>
      </c>
      <c r="G733" s="63" t="s">
        <v>3022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4486</v>
      </c>
      <c r="G734" s="63" t="s">
        <v>3022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6020</v>
      </c>
      <c r="G735" s="63" t="s">
        <v>3022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6021</v>
      </c>
      <c r="G736" s="63" t="s">
        <v>4604</v>
      </c>
      <c r="H736" s="63" t="s">
        <v>4667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6022</v>
      </c>
      <c r="G737" s="63" t="s">
        <v>4604</v>
      </c>
      <c r="H737" s="63" t="s">
        <v>4667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6023</v>
      </c>
      <c r="G738" s="63" t="s">
        <v>4622</v>
      </c>
      <c r="H738" s="63" t="s">
        <v>5095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6024</v>
      </c>
      <c r="G739" s="63" t="s">
        <v>4622</v>
      </c>
      <c r="H739" s="63" t="s">
        <v>5095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6025</v>
      </c>
      <c r="G740" s="63" t="s">
        <v>4622</v>
      </c>
      <c r="H740" s="63" t="s">
        <v>5095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6026</v>
      </c>
      <c r="G741" s="63" t="s">
        <v>4664</v>
      </c>
      <c r="H741" s="63" t="s">
        <v>6027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6028</v>
      </c>
      <c r="G742" s="63" t="s">
        <v>4664</v>
      </c>
      <c r="H742" s="63" t="s">
        <v>6029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6030</v>
      </c>
      <c r="G743" s="63" t="s">
        <v>3022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6031</v>
      </c>
      <c r="F744" s="63" t="s">
        <v>6032</v>
      </c>
      <c r="G744" s="63" t="s">
        <v>4549</v>
      </c>
      <c r="H744" s="63" t="s">
        <v>5175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6033</v>
      </c>
      <c r="G745" s="63" t="s">
        <v>4549</v>
      </c>
      <c r="H745" s="63" t="s">
        <v>5175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6034</v>
      </c>
      <c r="G746" s="63" t="s">
        <v>4549</v>
      </c>
      <c r="H746" s="63" t="s">
        <v>5175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3166</v>
      </c>
      <c r="G747" s="63" t="s">
        <v>3022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3172</v>
      </c>
      <c r="G748" s="63" t="s">
        <v>3022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6035</v>
      </c>
      <c r="G749" s="63" t="s">
        <v>4604</v>
      </c>
      <c r="H749" s="63" t="s">
        <v>5206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6036</v>
      </c>
      <c r="G750" s="63" t="s">
        <v>4604</v>
      </c>
      <c r="H750" s="63" t="s">
        <v>5206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6037</v>
      </c>
      <c r="G751" s="63" t="s">
        <v>4622</v>
      </c>
      <c r="H751" s="63" t="s">
        <v>6038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5149</v>
      </c>
      <c r="F752" s="63" t="s">
        <v>5150</v>
      </c>
      <c r="G752" s="63" t="s">
        <v>4622</v>
      </c>
      <c r="H752" s="63" t="s">
        <v>6039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6040</v>
      </c>
      <c r="G753" s="63" t="s">
        <v>4664</v>
      </c>
      <c r="H753" s="63" t="s">
        <v>6041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6042</v>
      </c>
      <c r="G754" s="63" t="s">
        <v>4664</v>
      </c>
      <c r="H754" s="63" t="s">
        <v>6041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6043</v>
      </c>
      <c r="G755" s="63" t="s">
        <v>4664</v>
      </c>
      <c r="H755" s="63" t="s">
        <v>6044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6045</v>
      </c>
      <c r="G756" s="63" t="s">
        <v>4549</v>
      </c>
      <c r="H756" s="63" t="s">
        <v>5175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6046</v>
      </c>
      <c r="G757" s="63" t="s">
        <v>4549</v>
      </c>
      <c r="H757" s="63" t="s">
        <v>5175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6047</v>
      </c>
      <c r="G758" s="63" t="s">
        <v>4549</v>
      </c>
      <c r="H758" s="63" t="s">
        <v>5175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6048</v>
      </c>
      <c r="G759" s="63" t="s">
        <v>3022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3147</v>
      </c>
      <c r="G760" s="63" t="s">
        <v>3022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5289</v>
      </c>
      <c r="F761" s="63" t="s">
        <v>5290</v>
      </c>
      <c r="G761" s="63" t="s">
        <v>3022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6049</v>
      </c>
      <c r="G762" s="63" t="s">
        <v>4604</v>
      </c>
      <c r="H762" s="63" t="s">
        <v>5206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6050</v>
      </c>
      <c r="G763" s="63" t="s">
        <v>4604</v>
      </c>
      <c r="H763" s="63" t="s">
        <v>5206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6051</v>
      </c>
      <c r="F764" s="63" t="s">
        <v>6052</v>
      </c>
      <c r="G764" s="63" t="s">
        <v>4570</v>
      </c>
      <c r="H764" s="63" t="s">
        <v>6053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6054</v>
      </c>
      <c r="F765" s="63" t="s">
        <v>6055</v>
      </c>
      <c r="G765" s="63" t="s">
        <v>4570</v>
      </c>
      <c r="H765" s="63" t="s">
        <v>6053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6056</v>
      </c>
      <c r="G766" s="63" t="s">
        <v>4664</v>
      </c>
      <c r="H766" s="63" t="s">
        <v>6057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6058</v>
      </c>
      <c r="G767" s="63" t="s">
        <v>4549</v>
      </c>
      <c r="H767" s="63" t="s">
        <v>5175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6059</v>
      </c>
      <c r="G768" s="63" t="s">
        <v>4549</v>
      </c>
      <c r="H768" s="63" t="s">
        <v>5175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6060</v>
      </c>
      <c r="G769" s="63" t="s">
        <v>4549</v>
      </c>
      <c r="H769" s="63" t="s">
        <v>5175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3157</v>
      </c>
      <c r="G770" s="63" t="s">
        <v>3022</v>
      </c>
      <c r="H770" s="63" t="s">
        <v>6061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6062</v>
      </c>
      <c r="G771" s="63" t="s">
        <v>3022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6063</v>
      </c>
      <c r="G772" s="63" t="s">
        <v>3022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6064</v>
      </c>
      <c r="G773" s="63" t="s">
        <v>4604</v>
      </c>
      <c r="H773" s="63" t="s">
        <v>5206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6065</v>
      </c>
      <c r="G774" s="63" t="s">
        <v>4604</v>
      </c>
      <c r="H774" s="63" t="s">
        <v>5206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6066</v>
      </c>
      <c r="F775" s="63" t="s">
        <v>6067</v>
      </c>
      <c r="G775" s="63" t="s">
        <v>4604</v>
      </c>
      <c r="H775" s="63" t="s">
        <v>4829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6068</v>
      </c>
      <c r="G776" s="63" t="s">
        <v>4604</v>
      </c>
      <c r="H776" s="63" t="s">
        <v>6069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6070</v>
      </c>
      <c r="G777" s="63" t="s">
        <v>4664</v>
      </c>
      <c r="H777" s="63" t="s">
        <v>4763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6071</v>
      </c>
      <c r="G778" s="63" t="s">
        <v>4549</v>
      </c>
      <c r="H778" s="63" t="s">
        <v>5175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6072</v>
      </c>
      <c r="G779" s="63" t="s">
        <v>4549</v>
      </c>
      <c r="H779" s="63" t="s">
        <v>5175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5080</v>
      </c>
      <c r="G780" s="63" t="s">
        <v>4549</v>
      </c>
      <c r="H780" s="63" t="s">
        <v>5175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2695</v>
      </c>
      <c r="G781" s="63" t="s">
        <v>3022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2692</v>
      </c>
      <c r="G782" s="63" t="s">
        <v>3022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2699</v>
      </c>
      <c r="G783" s="63" t="s">
        <v>3022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6073</v>
      </c>
      <c r="G784" s="63" t="s">
        <v>3022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6074</v>
      </c>
      <c r="G785" s="63" t="s">
        <v>4604</v>
      </c>
      <c r="H785" s="63" t="s">
        <v>5206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6075</v>
      </c>
      <c r="G786" s="63" t="s">
        <v>3022</v>
      </c>
      <c r="H786" s="63" t="s">
        <v>5939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6076</v>
      </c>
      <c r="G787" s="63" t="s">
        <v>3022</v>
      </c>
      <c r="H787" s="63" t="s">
        <v>5939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6077</v>
      </c>
      <c r="G788" s="63" t="s">
        <v>3022</v>
      </c>
      <c r="H788" s="63" t="s">
        <v>5939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551</v>
      </c>
      <c r="G789" s="63" t="s">
        <v>3022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4146</v>
      </c>
      <c r="G790" s="63" t="s">
        <v>3022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4644</v>
      </c>
      <c r="F791" s="63" t="s">
        <v>6078</v>
      </c>
      <c r="G791" s="63" t="s">
        <v>4579</v>
      </c>
      <c r="H791" s="63" t="s">
        <v>6079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6080</v>
      </c>
      <c r="G792" s="63" t="s">
        <v>4579</v>
      </c>
      <c r="H792" s="63" t="s">
        <v>6079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6081</v>
      </c>
      <c r="G793" s="63" t="s">
        <v>4579</v>
      </c>
      <c r="H793" s="63" t="s">
        <v>6079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6082</v>
      </c>
      <c r="G794" s="63" t="s">
        <v>4570</v>
      </c>
      <c r="H794" s="63" t="s">
        <v>6053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6083</v>
      </c>
      <c r="G795" s="63" t="s">
        <v>4570</v>
      </c>
      <c r="H795" s="63" t="s">
        <v>6053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6084</v>
      </c>
      <c r="G796" s="63" t="s">
        <v>4570</v>
      </c>
      <c r="H796" s="63" t="s">
        <v>6053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6085</v>
      </c>
      <c r="G797" s="63" t="s">
        <v>4606</v>
      </c>
      <c r="H797" s="63" t="s">
        <v>6086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6087</v>
      </c>
      <c r="G798" s="63" t="s">
        <v>4606</v>
      </c>
      <c r="H798" s="63" t="s">
        <v>6086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6088</v>
      </c>
      <c r="G799" s="63" t="s">
        <v>4606</v>
      </c>
      <c r="H799" s="63" t="s">
        <v>6086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6089</v>
      </c>
      <c r="G800" s="63" t="s">
        <v>3022</v>
      </c>
      <c r="H800" s="63" t="s">
        <v>5939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6090</v>
      </c>
      <c r="G801" s="63" t="s">
        <v>3022</v>
      </c>
      <c r="H801" s="63" t="s">
        <v>5939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6091</v>
      </c>
      <c r="G802" s="63" t="s">
        <v>4549</v>
      </c>
      <c r="H802" s="63" t="s">
        <v>4711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1039</v>
      </c>
      <c r="G803" s="63" t="s">
        <v>3022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6092</v>
      </c>
      <c r="G804" s="63" t="s">
        <v>3022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6093</v>
      </c>
      <c r="G805" s="63" t="s">
        <v>3022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6094</v>
      </c>
      <c r="G806" s="63" t="s">
        <v>4579</v>
      </c>
      <c r="H806" s="63" t="s">
        <v>6079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6095</v>
      </c>
      <c r="G807" s="63" t="s">
        <v>4579</v>
      </c>
      <c r="H807" s="63" t="s">
        <v>6079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6096</v>
      </c>
      <c r="G808" s="63" t="s">
        <v>4570</v>
      </c>
      <c r="H808" s="63" t="s">
        <v>6053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6097</v>
      </c>
      <c r="G809" s="63" t="s">
        <v>4570</v>
      </c>
      <c r="H809" s="63" t="s">
        <v>6053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6098</v>
      </c>
      <c r="G810" s="63" t="s">
        <v>4630</v>
      </c>
      <c r="H810" s="63" t="s">
        <v>4973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6099</v>
      </c>
      <c r="G811" s="63" t="s">
        <v>4579</v>
      </c>
      <c r="H811" s="63" t="s">
        <v>6079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6100</v>
      </c>
      <c r="G812" s="63" t="s">
        <v>4549</v>
      </c>
      <c r="H812" s="63" t="s">
        <v>4711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6101</v>
      </c>
      <c r="G813" s="63" t="s">
        <v>4549</v>
      </c>
      <c r="H813" s="63" t="s">
        <v>4711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6102</v>
      </c>
      <c r="G814" s="63" t="s">
        <v>4549</v>
      </c>
      <c r="H814" s="63" t="s">
        <v>4711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6103</v>
      </c>
      <c r="G815" s="63" t="s">
        <v>3022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2965</v>
      </c>
      <c r="G816" s="63" t="s">
        <v>3022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6104</v>
      </c>
      <c r="G817" s="63" t="s">
        <v>3022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6105</v>
      </c>
      <c r="G818" s="63" t="s">
        <v>4579</v>
      </c>
      <c r="H818" s="63" t="s">
        <v>6079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6106</v>
      </c>
      <c r="G819" s="63" t="s">
        <v>4579</v>
      </c>
      <c r="H819" s="63" t="s">
        <v>6079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6107</v>
      </c>
      <c r="G820" s="63" t="s">
        <v>4579</v>
      </c>
      <c r="H820" s="63" t="s">
        <v>6079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6108</v>
      </c>
      <c r="G821" s="63" t="s">
        <v>4630</v>
      </c>
      <c r="H821" s="63" t="s">
        <v>4973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6109</v>
      </c>
      <c r="G822" s="63" t="s">
        <v>4630</v>
      </c>
      <c r="H822" s="63" t="s">
        <v>4973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6110</v>
      </c>
      <c r="G823" s="63" t="s">
        <v>4630</v>
      </c>
      <c r="H823" s="63" t="s">
        <v>4720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6111</v>
      </c>
      <c r="G824" s="63" t="s">
        <v>4606</v>
      </c>
      <c r="H824" s="63" t="s">
        <v>6112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6113</v>
      </c>
      <c r="G825" s="63" t="s">
        <v>4606</v>
      </c>
      <c r="H825" s="63" t="s">
        <v>6114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6115</v>
      </c>
      <c r="G826" s="63" t="s">
        <v>4549</v>
      </c>
      <c r="H826" s="63" t="s">
        <v>4711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6116</v>
      </c>
      <c r="G827" s="63" t="s">
        <v>4549</v>
      </c>
      <c r="H827" s="63" t="s">
        <v>4711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2956</v>
      </c>
      <c r="G828" s="63" t="s">
        <v>3022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6117</v>
      </c>
      <c r="G829" s="63" t="s">
        <v>3022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4188</v>
      </c>
      <c r="G830" s="63" t="s">
        <v>3022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4153</v>
      </c>
      <c r="G831" s="63" t="s">
        <v>3022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6118</v>
      </c>
      <c r="G832" s="63" t="s">
        <v>4579</v>
      </c>
      <c r="H832" s="63" t="s">
        <v>6079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6119</v>
      </c>
      <c r="G833" s="63" t="s">
        <v>4579</v>
      </c>
      <c r="H833" s="63" t="s">
        <v>6079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6120</v>
      </c>
      <c r="G834" s="63" t="s">
        <v>4579</v>
      </c>
      <c r="H834" s="63" t="s">
        <v>6079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6121</v>
      </c>
      <c r="F835" s="63" t="s">
        <v>6122</v>
      </c>
      <c r="G835" s="63" t="s">
        <v>4604</v>
      </c>
      <c r="H835" s="63" t="s">
        <v>5636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6123</v>
      </c>
      <c r="G836" s="63" t="s">
        <v>4680</v>
      </c>
      <c r="H836" s="63" t="s">
        <v>4694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6124</v>
      </c>
      <c r="G837" s="63" t="s">
        <v>4680</v>
      </c>
      <c r="H837" s="63" t="s">
        <v>4694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6125</v>
      </c>
      <c r="G838" s="63" t="s">
        <v>4549</v>
      </c>
      <c r="H838" s="63" t="s">
        <v>4711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6126</v>
      </c>
      <c r="F839" s="63" t="s">
        <v>6127</v>
      </c>
      <c r="G839" s="63" t="s">
        <v>4549</v>
      </c>
      <c r="H839" s="63" t="s">
        <v>4711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6128</v>
      </c>
      <c r="F840" s="63" t="s">
        <v>6129</v>
      </c>
      <c r="G840" s="63" t="s">
        <v>4549</v>
      </c>
      <c r="H840" s="63" t="s">
        <v>4711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5158</v>
      </c>
      <c r="G841" s="63" t="s">
        <v>3022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6130</v>
      </c>
      <c r="G842" s="63" t="s">
        <v>3022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6131</v>
      </c>
      <c r="G843" s="63" t="s">
        <v>3022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6132</v>
      </c>
      <c r="G844" s="63" t="s">
        <v>4547</v>
      </c>
      <c r="H844" s="63" t="s">
        <v>6133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6134</v>
      </c>
      <c r="G845" s="63" t="s">
        <v>4547</v>
      </c>
      <c r="H845" s="63" t="s">
        <v>6133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6135</v>
      </c>
      <c r="G846" s="63" t="s">
        <v>3022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4165</v>
      </c>
      <c r="G847" s="63" t="s">
        <v>3022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2990</v>
      </c>
      <c r="G848" s="63" t="s">
        <v>3022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6136</v>
      </c>
      <c r="G849" s="63" t="s">
        <v>4588</v>
      </c>
      <c r="H849" s="63" t="s">
        <v>4657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6137</v>
      </c>
      <c r="G850" s="63" t="s">
        <v>4588</v>
      </c>
      <c r="H850" s="63" t="s">
        <v>4657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6138</v>
      </c>
      <c r="G851" s="63" t="s">
        <v>4622</v>
      </c>
      <c r="H851" s="63" t="s">
        <v>6139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6140</v>
      </c>
      <c r="G852" s="63" t="s">
        <v>4622</v>
      </c>
      <c r="H852" s="63" t="s">
        <v>6139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6141</v>
      </c>
      <c r="G853" s="63" t="s">
        <v>4622</v>
      </c>
      <c r="H853" s="63" t="s">
        <v>6139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6142</v>
      </c>
      <c r="G854" s="63" t="s">
        <v>4680</v>
      </c>
      <c r="H854" s="63" t="s">
        <v>6143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6144</v>
      </c>
      <c r="G855" s="63" t="s">
        <v>4680</v>
      </c>
      <c r="H855" s="63" t="s">
        <v>6143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6145</v>
      </c>
      <c r="G856" s="63" t="s">
        <v>3022</v>
      </c>
      <c r="H856" s="63" t="s">
        <v>6146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590</v>
      </c>
      <c r="G857" s="63" t="s">
        <v>3022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4124</v>
      </c>
      <c r="G858" s="63" t="s">
        <v>3022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6147</v>
      </c>
      <c r="G859" s="63" t="s">
        <v>3022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6148</v>
      </c>
      <c r="G860" s="63" t="s">
        <v>4588</v>
      </c>
      <c r="H860" s="63" t="s">
        <v>5459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5242</v>
      </c>
      <c r="G861" s="63" t="s">
        <v>4622</v>
      </c>
      <c r="H861" s="63" t="s">
        <v>5970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6149</v>
      </c>
      <c r="G862" s="63" t="s">
        <v>4622</v>
      </c>
      <c r="H862" s="63" t="s">
        <v>5970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6150</v>
      </c>
      <c r="G863" s="63" t="s">
        <v>4622</v>
      </c>
      <c r="H863" s="63" t="s">
        <v>5970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6151</v>
      </c>
      <c r="G864" s="63" t="s">
        <v>4680</v>
      </c>
      <c r="H864" s="63" t="s">
        <v>6152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6153</v>
      </c>
      <c r="G865" s="63" t="s">
        <v>4680</v>
      </c>
      <c r="H865" s="63" t="s">
        <v>4694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6154</v>
      </c>
      <c r="G866" s="63" t="s">
        <v>4680</v>
      </c>
      <c r="H866" s="63" t="s">
        <v>4694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6155</v>
      </c>
      <c r="G867" s="63" t="s">
        <v>4547</v>
      </c>
      <c r="H867" s="63" t="s">
        <v>5812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6156</v>
      </c>
      <c r="G868" s="63" t="s">
        <v>4547</v>
      </c>
      <c r="H868" s="63" t="s">
        <v>5812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3008</v>
      </c>
      <c r="G869" s="63" t="s">
        <v>3022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3015</v>
      </c>
      <c r="G870" s="63" t="s">
        <v>3022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527</v>
      </c>
      <c r="G871" s="63" t="s">
        <v>3022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6157</v>
      </c>
      <c r="G872" s="63" t="s">
        <v>4596</v>
      </c>
      <c r="H872" s="63" t="s">
        <v>5216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6158</v>
      </c>
      <c r="G873" s="63" t="s">
        <v>4596</v>
      </c>
      <c r="H873" s="63" t="s">
        <v>5216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6159</v>
      </c>
      <c r="G874" s="63" t="s">
        <v>4596</v>
      </c>
      <c r="H874" s="63" t="s">
        <v>5216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2870</v>
      </c>
      <c r="G875" s="63" t="s">
        <v>4579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6160</v>
      </c>
      <c r="G876" s="63" t="s">
        <v>4622</v>
      </c>
      <c r="H876" s="63" t="s">
        <v>4839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6161</v>
      </c>
      <c r="G877" s="63" t="s">
        <v>4622</v>
      </c>
      <c r="H877" s="63" t="s">
        <v>4839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6162</v>
      </c>
      <c r="G878" s="63" t="s">
        <v>4622</v>
      </c>
      <c r="H878" s="63" t="s">
        <v>4839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6163</v>
      </c>
      <c r="G879" s="63" t="s">
        <v>4680</v>
      </c>
      <c r="H879" s="63" t="s">
        <v>4694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6164</v>
      </c>
      <c r="G880" s="63" t="s">
        <v>4680</v>
      </c>
      <c r="H880" s="63" t="s">
        <v>4694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6165</v>
      </c>
      <c r="G881" s="63" t="s">
        <v>4547</v>
      </c>
      <c r="H881" s="63" t="s">
        <v>6133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6166</v>
      </c>
      <c r="G882" s="63" t="s">
        <v>4547</v>
      </c>
      <c r="H882" s="63" t="s">
        <v>5179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6167</v>
      </c>
      <c r="G883" s="63" t="s">
        <v>4547</v>
      </c>
      <c r="H883" s="63" t="s">
        <v>5179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1021</v>
      </c>
      <c r="G884" s="63" t="s">
        <v>3022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6168</v>
      </c>
      <c r="G885" s="63" t="s">
        <v>3022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4399</v>
      </c>
      <c r="G886" s="63" t="s">
        <v>3022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6169</v>
      </c>
      <c r="G887" s="63" t="s">
        <v>4588</v>
      </c>
      <c r="H887" s="63" t="s">
        <v>5459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6170</v>
      </c>
      <c r="G888" s="63" t="s">
        <v>4596</v>
      </c>
      <c r="H888" s="63" t="s">
        <v>6171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6172</v>
      </c>
      <c r="G889" s="63" t="s">
        <v>4596</v>
      </c>
      <c r="H889" s="63" t="s">
        <v>6171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6173</v>
      </c>
      <c r="G890" s="63" t="s">
        <v>4622</v>
      </c>
      <c r="H890" s="63" t="s">
        <v>6174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6175</v>
      </c>
      <c r="G891" s="63" t="s">
        <v>4622</v>
      </c>
      <c r="H891" s="63" t="s">
        <v>6176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6177</v>
      </c>
      <c r="G892" s="63" t="s">
        <v>4622</v>
      </c>
      <c r="H892" s="63" t="s">
        <v>5272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6178</v>
      </c>
      <c r="G893" s="63" t="s">
        <v>4680</v>
      </c>
      <c r="H893" s="63" t="s">
        <v>6179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6180</v>
      </c>
      <c r="G894" s="63" t="s">
        <v>4680</v>
      </c>
      <c r="H894" s="63" t="s">
        <v>6179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6181</v>
      </c>
      <c r="G895" s="63" t="s">
        <v>4549</v>
      </c>
      <c r="H895" s="63" t="s">
        <v>5046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4383</v>
      </c>
      <c r="G896" s="63" t="s">
        <v>3022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6182</v>
      </c>
      <c r="G897" s="63" t="s">
        <v>3022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3127</v>
      </c>
      <c r="G898" s="63" t="s">
        <v>3022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767</v>
      </c>
      <c r="G899" s="63" t="s">
        <v>3022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6183</v>
      </c>
      <c r="G900" s="63" t="s">
        <v>4588</v>
      </c>
      <c r="H900" s="63" t="s">
        <v>4657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6184</v>
      </c>
      <c r="G901" s="63" t="s">
        <v>4579</v>
      </c>
      <c r="H901" s="63" t="s">
        <v>6185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6186</v>
      </c>
      <c r="G902" s="63" t="s">
        <v>4579</v>
      </c>
      <c r="H902" s="63" t="s">
        <v>6185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6187</v>
      </c>
      <c r="G903" s="63" t="s">
        <v>4622</v>
      </c>
      <c r="H903" s="63" t="s">
        <v>5272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6188</v>
      </c>
      <c r="G904" s="63" t="s">
        <v>4622</v>
      </c>
      <c r="H904" s="63" t="s">
        <v>5272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6189</v>
      </c>
      <c r="G905" s="63" t="s">
        <v>4588</v>
      </c>
      <c r="H905" s="63" t="s">
        <v>5459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6190</v>
      </c>
      <c r="G906" s="63" t="s">
        <v>4596</v>
      </c>
      <c r="H906" s="63" t="s">
        <v>6171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6191</v>
      </c>
      <c r="G907" s="63" t="s">
        <v>4552</v>
      </c>
      <c r="H907" s="63" t="s">
        <v>6192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6193</v>
      </c>
      <c r="G908" s="63" t="s">
        <v>4552</v>
      </c>
      <c r="H908" s="63" t="s">
        <v>6194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3099</v>
      </c>
      <c r="G909" s="63" t="s">
        <v>3022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771</v>
      </c>
      <c r="G910" s="63" t="s">
        <v>3022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6195</v>
      </c>
      <c r="G911" s="63" t="s">
        <v>3022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6196</v>
      </c>
      <c r="G912" s="63" t="s">
        <v>4596</v>
      </c>
      <c r="H912" s="63" t="s">
        <v>5390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6197</v>
      </c>
      <c r="G913" s="63" t="s">
        <v>4596</v>
      </c>
      <c r="H913" s="63" t="s">
        <v>5390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2897</v>
      </c>
      <c r="G914" s="63" t="s">
        <v>4579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2895</v>
      </c>
      <c r="G915" s="63" t="s">
        <v>4579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6198</v>
      </c>
      <c r="G916" s="63" t="s">
        <v>4622</v>
      </c>
      <c r="H916" s="63" t="s">
        <v>5788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6199</v>
      </c>
      <c r="G917" s="63" t="s">
        <v>4622</v>
      </c>
      <c r="H917" s="63" t="s">
        <v>4713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6200</v>
      </c>
      <c r="G918" s="63" t="s">
        <v>4622</v>
      </c>
      <c r="H918" s="63" t="s">
        <v>6201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6202</v>
      </c>
      <c r="G919" s="63" t="s">
        <v>4606</v>
      </c>
      <c r="H919" s="63" t="s">
        <v>4769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6203</v>
      </c>
      <c r="G920" s="63" t="s">
        <v>4606</v>
      </c>
      <c r="H920" s="63" t="s">
        <v>6204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6205</v>
      </c>
      <c r="G921" s="63" t="s">
        <v>4552</v>
      </c>
      <c r="H921" s="63" t="s">
        <v>4553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6206</v>
      </c>
      <c r="G922" s="63" t="s">
        <v>4552</v>
      </c>
      <c r="H922" s="63" t="s">
        <v>4553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6207</v>
      </c>
      <c r="G923" s="63" t="s">
        <v>3022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6208</v>
      </c>
      <c r="G924" s="63" t="s">
        <v>3022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3077</v>
      </c>
      <c r="G925" s="63" t="s">
        <v>3022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6209</v>
      </c>
      <c r="G926" s="63" t="s">
        <v>4579</v>
      </c>
      <c r="H926" s="63" t="s">
        <v>6185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6210</v>
      </c>
      <c r="G927" s="63" t="s">
        <v>4579</v>
      </c>
      <c r="H927" s="63" t="s">
        <v>6185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6211</v>
      </c>
      <c r="G928" s="63" t="s">
        <v>4579</v>
      </c>
      <c r="H928" s="63" t="s">
        <v>6185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6212</v>
      </c>
      <c r="G929" s="63" t="s">
        <v>4570</v>
      </c>
      <c r="H929" s="63" t="s">
        <v>6213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6214</v>
      </c>
      <c r="G930" s="63" t="s">
        <v>4570</v>
      </c>
      <c r="H930" s="63" t="s">
        <v>6213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6215</v>
      </c>
      <c r="G931" s="63" t="s">
        <v>4570</v>
      </c>
      <c r="H931" s="63" t="s">
        <v>6213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6216</v>
      </c>
      <c r="F932" s="63" t="s">
        <v>6217</v>
      </c>
      <c r="G932" s="63" t="s">
        <v>4570</v>
      </c>
      <c r="H932" s="63" t="s">
        <v>6213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6218</v>
      </c>
      <c r="G933" s="63" t="s">
        <v>4606</v>
      </c>
      <c r="H933" s="63" t="s">
        <v>5694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6219</v>
      </c>
      <c r="G934" s="63" t="s">
        <v>4606</v>
      </c>
      <c r="H934" s="63" t="s">
        <v>5694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6220</v>
      </c>
      <c r="G935" s="63" t="s">
        <v>4552</v>
      </c>
      <c r="H935" s="63" t="s">
        <v>6221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6222</v>
      </c>
      <c r="G936" s="63" t="s">
        <v>4552</v>
      </c>
      <c r="H936" s="63" t="s">
        <v>6223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889</v>
      </c>
      <c r="G937" s="63" t="s">
        <v>3022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893</v>
      </c>
      <c r="G938" s="63" t="s">
        <v>3022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3022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6224</v>
      </c>
      <c r="G940" s="63" t="s">
        <v>4579</v>
      </c>
      <c r="H940" s="63" t="s">
        <v>6185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6225</v>
      </c>
      <c r="G941" s="63" t="s">
        <v>4579</v>
      </c>
      <c r="H941" s="63" t="s">
        <v>6185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6226</v>
      </c>
      <c r="G942" s="63" t="s">
        <v>4570</v>
      </c>
      <c r="H942" s="63" t="s">
        <v>6213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6227</v>
      </c>
      <c r="G943" s="63" t="s">
        <v>4570</v>
      </c>
      <c r="H943" s="63" t="s">
        <v>6213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6228</v>
      </c>
      <c r="F944" s="63" t="s">
        <v>6229</v>
      </c>
      <c r="G944" s="63" t="s">
        <v>4570</v>
      </c>
      <c r="H944" s="63" t="s">
        <v>5804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6230</v>
      </c>
      <c r="G945" s="63" t="s">
        <v>4606</v>
      </c>
      <c r="H945" s="63" t="s">
        <v>4788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6231</v>
      </c>
      <c r="G946" s="63" t="s">
        <v>4606</v>
      </c>
      <c r="H946" s="63" t="s">
        <v>4788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6232</v>
      </c>
      <c r="G947" s="63" t="s">
        <v>4552</v>
      </c>
      <c r="H947" s="63" t="s">
        <v>6233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6234</v>
      </c>
      <c r="G948" s="63" t="s">
        <v>3022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6235</v>
      </c>
      <c r="G949" s="63" t="s">
        <v>3022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6236</v>
      </c>
      <c r="G950" s="63" t="s">
        <v>3022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6237</v>
      </c>
      <c r="G951" s="63" t="s">
        <v>4579</v>
      </c>
      <c r="H951" s="63" t="s">
        <v>6185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6238</v>
      </c>
      <c r="G952" s="63" t="s">
        <v>4579</v>
      </c>
      <c r="H952" s="63" t="s">
        <v>5670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6239</v>
      </c>
      <c r="G953" s="63" t="s">
        <v>4579</v>
      </c>
      <c r="H953" s="63" t="s">
        <v>5670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6240</v>
      </c>
      <c r="G954" s="63" t="s">
        <v>4570</v>
      </c>
      <c r="H954" s="63" t="s">
        <v>5804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6241</v>
      </c>
      <c r="G955" s="63" t="s">
        <v>4570</v>
      </c>
      <c r="H955" s="63" t="s">
        <v>4725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6242</v>
      </c>
      <c r="G956" s="63" t="s">
        <v>4570</v>
      </c>
      <c r="H956" s="63" t="s">
        <v>4725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6243</v>
      </c>
      <c r="G957" s="63" t="s">
        <v>4606</v>
      </c>
      <c r="H957" s="63" t="s">
        <v>5836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6244</v>
      </c>
      <c r="G958" s="63" t="s">
        <v>4606</v>
      </c>
      <c r="H958" s="63" t="s">
        <v>5857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6245</v>
      </c>
      <c r="G959" s="63" t="s">
        <v>3022</v>
      </c>
      <c r="H959" s="63" t="s">
        <v>6246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5139</v>
      </c>
      <c r="G960" s="63" t="s">
        <v>3022</v>
      </c>
      <c r="H960" s="63" t="s">
        <v>6247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3051</v>
      </c>
      <c r="G961" s="63" t="s">
        <v>3022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3039</v>
      </c>
      <c r="G962" s="63" t="s">
        <v>3022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5132</v>
      </c>
      <c r="G963" s="63" t="s">
        <v>3022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6248</v>
      </c>
      <c r="G964" s="63" t="s">
        <v>4579</v>
      </c>
      <c r="H964" s="63" t="s">
        <v>6185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6249</v>
      </c>
      <c r="G965" s="63" t="s">
        <v>4579</v>
      </c>
      <c r="H965" s="63" t="s">
        <v>5670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6250</v>
      </c>
      <c r="G966" s="63" t="s">
        <v>4579</v>
      </c>
      <c r="H966" s="63" t="s">
        <v>6185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6251</v>
      </c>
      <c r="G967" s="63" t="s">
        <v>4570</v>
      </c>
      <c r="H967" s="63" t="s">
        <v>6252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6253</v>
      </c>
      <c r="G968" s="63" t="s">
        <v>4606</v>
      </c>
      <c r="H968" s="63" t="s">
        <v>5112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6254</v>
      </c>
      <c r="G969" s="63" t="s">
        <v>4552</v>
      </c>
      <c r="H969" s="63" t="s">
        <v>6233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6255</v>
      </c>
      <c r="G970" s="63" t="s">
        <v>4552</v>
      </c>
      <c r="H970" s="63" t="s">
        <v>6256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6257</v>
      </c>
      <c r="G971" s="63" t="s">
        <v>4552</v>
      </c>
      <c r="H971" s="63" t="s">
        <v>6256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3034</v>
      </c>
      <c r="G972" s="63" t="s">
        <v>3022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3042</v>
      </c>
      <c r="G973" s="63" t="s">
        <v>3022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3045</v>
      </c>
      <c r="G974" s="63" t="s">
        <v>3022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6258</v>
      </c>
      <c r="G975" s="63" t="s">
        <v>4579</v>
      </c>
      <c r="H975" s="63" t="s">
        <v>5670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6259</v>
      </c>
      <c r="G976" s="63" t="s">
        <v>4579</v>
      </c>
      <c r="H976" s="63" t="s">
        <v>5670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6260</v>
      </c>
      <c r="G977" s="63" t="s">
        <v>4570</v>
      </c>
      <c r="H977" s="63" t="s">
        <v>5129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6261</v>
      </c>
      <c r="G978" s="63" t="s">
        <v>4606</v>
      </c>
      <c r="H978" s="63" t="s">
        <v>6262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6263</v>
      </c>
      <c r="G979" s="63" t="s">
        <v>4606</v>
      </c>
      <c r="H979" s="63" t="s">
        <v>6264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6265</v>
      </c>
      <c r="G980" s="63" t="s">
        <v>4552</v>
      </c>
      <c r="H980" s="63" t="s">
        <v>6256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6266</v>
      </c>
      <c r="G981" s="63" t="s">
        <v>4552</v>
      </c>
      <c r="H981" s="63" t="s">
        <v>6256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6267</v>
      </c>
      <c r="G982" s="63" t="s">
        <v>4552</v>
      </c>
      <c r="H982" s="63" t="s">
        <v>6256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3022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332</v>
      </c>
      <c r="G984" s="63" t="s">
        <v>3022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6268</v>
      </c>
      <c r="G985" s="63" t="s">
        <v>4579</v>
      </c>
      <c r="H985" s="63" t="s">
        <v>5670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6269</v>
      </c>
      <c r="G986" s="63" t="s">
        <v>4579</v>
      </c>
      <c r="H986" s="63" t="s">
        <v>5670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6270</v>
      </c>
      <c r="G987" s="63" t="s">
        <v>4570</v>
      </c>
      <c r="H987" s="63" t="s">
        <v>4734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6271</v>
      </c>
      <c r="G988" s="63" t="s">
        <v>4570</v>
      </c>
      <c r="H988" s="63" t="s">
        <v>4734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6272</v>
      </c>
      <c r="G989" s="63" t="s">
        <v>4570</v>
      </c>
      <c r="H989" s="63" t="s">
        <v>5671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6273</v>
      </c>
      <c r="G990" s="63" t="s">
        <v>4680</v>
      </c>
      <c r="H990" s="63" t="s">
        <v>6274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6275</v>
      </c>
      <c r="G991" s="63" t="s">
        <v>4680</v>
      </c>
      <c r="H991" s="63" t="s">
        <v>6276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6277</v>
      </c>
      <c r="G992" s="63" t="s">
        <v>4680</v>
      </c>
      <c r="H992" s="63" t="s">
        <v>6276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6278</v>
      </c>
      <c r="G993" s="63" t="s">
        <v>3022</v>
      </c>
      <c r="H993" s="63" t="s">
        <v>5939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6279</v>
      </c>
      <c r="G994" s="63" t="s">
        <v>4549</v>
      </c>
      <c r="H994" s="63" t="s">
        <v>4711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2744</v>
      </c>
      <c r="G995" s="63" t="s">
        <v>3022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353</v>
      </c>
      <c r="G996" s="63" t="s">
        <v>3022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2749</v>
      </c>
      <c r="G997" s="63" t="s">
        <v>3022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345</v>
      </c>
      <c r="G998" s="63" t="s">
        <v>3022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6280</v>
      </c>
      <c r="G999" s="63" t="s">
        <v>4579</v>
      </c>
      <c r="H999" s="63" t="s">
        <v>5670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6281</v>
      </c>
      <c r="G1000" s="63" t="s">
        <v>4579</v>
      </c>
      <c r="H1000" s="63" t="s">
        <v>5670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6282</v>
      </c>
      <c r="G1001" s="63" t="s">
        <v>4579</v>
      </c>
      <c r="H1001" s="63" t="s">
        <v>5670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6283</v>
      </c>
      <c r="G1002" s="63" t="s">
        <v>4630</v>
      </c>
      <c r="H1002" s="63" t="s">
        <v>5452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6284</v>
      </c>
      <c r="G1003" s="63" t="s">
        <v>4630</v>
      </c>
      <c r="H1003" s="63" t="s">
        <v>5452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6285</v>
      </c>
      <c r="G1004" s="63" t="s">
        <v>4630</v>
      </c>
      <c r="H1004" s="63" t="s">
        <v>6286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6287</v>
      </c>
      <c r="G1005" s="63" t="s">
        <v>4680</v>
      </c>
      <c r="H1005" s="63" t="s">
        <v>6288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6289</v>
      </c>
      <c r="G1006" s="63" t="s">
        <v>4680</v>
      </c>
      <c r="H1006" s="63" t="s">
        <v>5332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5091</v>
      </c>
      <c r="G1007" s="63" t="s">
        <v>4549</v>
      </c>
      <c r="H1007" s="63" t="s">
        <v>4990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6290</v>
      </c>
      <c r="G1008" s="63" t="s">
        <v>3022</v>
      </c>
      <c r="H1008" s="63" t="s">
        <v>4617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6291</v>
      </c>
      <c r="G1009" s="63" t="s">
        <v>3022</v>
      </c>
      <c r="H1009" s="63" t="s">
        <v>4617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6292</v>
      </c>
      <c r="F1010" s="63" t="s">
        <v>6293</v>
      </c>
      <c r="G1010" s="63" t="s">
        <v>3022</v>
      </c>
      <c r="H1010" s="63" t="s">
        <v>4617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6294</v>
      </c>
      <c r="G1011" s="63" t="s">
        <v>4579</v>
      </c>
      <c r="H1011" s="63" t="s">
        <v>5670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6295</v>
      </c>
      <c r="G1012" s="63" t="s">
        <v>4579</v>
      </c>
      <c r="H1012" s="63" t="s">
        <v>5670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6296</v>
      </c>
      <c r="G1013" s="63" t="s">
        <v>4579</v>
      </c>
      <c r="H1013" s="63" t="s">
        <v>5670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6297</v>
      </c>
      <c r="F1014" s="63" t="s">
        <v>6298</v>
      </c>
      <c r="G1014" s="63" t="s">
        <v>4570</v>
      </c>
      <c r="H1014" s="63" t="s">
        <v>4657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5186</v>
      </c>
      <c r="G1015" s="63" t="s">
        <v>4640</v>
      </c>
      <c r="H1015" s="63" t="s">
        <v>6299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6300</v>
      </c>
      <c r="G1016" s="63" t="s">
        <v>4640</v>
      </c>
      <c r="H1016" s="63" t="s">
        <v>6301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6302</v>
      </c>
      <c r="G1017" s="63" t="s">
        <v>4680</v>
      </c>
      <c r="H1017" s="63" t="s">
        <v>4694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6303</v>
      </c>
      <c r="G1018" s="63" t="s">
        <v>4680</v>
      </c>
      <c r="H1018" s="63" t="s">
        <v>4694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6304</v>
      </c>
      <c r="G1019" s="63" t="s">
        <v>4680</v>
      </c>
      <c r="H1019" s="63" t="s">
        <v>5321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6305</v>
      </c>
      <c r="G1020" s="63" t="s">
        <v>4549</v>
      </c>
      <c r="H1020" s="63" t="s">
        <v>5046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6306</v>
      </c>
      <c r="G1021" s="63" t="s">
        <v>4549</v>
      </c>
      <c r="H1021" s="63" t="s">
        <v>5046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6307</v>
      </c>
      <c r="G1022" s="63" t="s">
        <v>3022</v>
      </c>
      <c r="H1022" s="63" t="s">
        <v>4617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6308</v>
      </c>
      <c r="G1023" s="63" t="s">
        <v>3022</v>
      </c>
      <c r="H1023" s="63" t="s">
        <v>4617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6309</v>
      </c>
      <c r="G1024" s="63" t="s">
        <v>4579</v>
      </c>
      <c r="H1024" s="63" t="s">
        <v>5670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6310</v>
      </c>
      <c r="G1025" s="63" t="s">
        <v>4640</v>
      </c>
      <c r="H1025" s="63" t="s">
        <v>6311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6312</v>
      </c>
      <c r="G1026" s="63" t="s">
        <v>4640</v>
      </c>
      <c r="H1026" s="63" t="s">
        <v>6313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6314</v>
      </c>
      <c r="G1027" s="63" t="s">
        <v>4579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2842</v>
      </c>
      <c r="G1028" s="63" t="s">
        <v>4579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6315</v>
      </c>
      <c r="G1029" s="63" t="s">
        <v>4579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6316</v>
      </c>
      <c r="G1030" s="63" t="s">
        <v>4579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2720</v>
      </c>
      <c r="G1031" s="63" t="s">
        <v>3022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2765</v>
      </c>
      <c r="G1032" s="63" t="s">
        <v>3022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6317</v>
      </c>
      <c r="G1033" s="63" t="s">
        <v>4579</v>
      </c>
      <c r="H1033" s="63" t="s">
        <v>5670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6318</v>
      </c>
      <c r="G1034" s="63" t="s">
        <v>4579</v>
      </c>
      <c r="H1034" s="63" t="s">
        <v>5670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6319</v>
      </c>
      <c r="F1035" s="63" t="s">
        <v>6320</v>
      </c>
      <c r="G1035" s="63" t="s">
        <v>4640</v>
      </c>
      <c r="H1035" s="63" t="s">
        <v>5251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6321</v>
      </c>
      <c r="G1036" s="63" t="s">
        <v>4640</v>
      </c>
      <c r="H1036" s="63" t="s">
        <v>5251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6322</v>
      </c>
      <c r="G1037" s="63" t="s">
        <v>4640</v>
      </c>
      <c r="H1037" s="63" t="s">
        <v>5251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6323</v>
      </c>
      <c r="G1038" s="63" t="s">
        <v>4640</v>
      </c>
      <c r="H1038" s="63" t="s">
        <v>5251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6324</v>
      </c>
      <c r="G1039" s="63" t="s">
        <v>4680</v>
      </c>
      <c r="H1039" s="63" t="s">
        <v>6325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6326</v>
      </c>
      <c r="G1040" s="63" t="s">
        <v>4680</v>
      </c>
      <c r="H1040" s="63" t="s">
        <v>6327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349</v>
      </c>
      <c r="G1041" s="63" t="s">
        <v>3022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2848</v>
      </c>
      <c r="G1042" s="63" t="s">
        <v>4579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2880</v>
      </c>
      <c r="G1043" s="63" t="s">
        <v>4579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2776</v>
      </c>
      <c r="G1044" s="63" t="s">
        <v>3022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2779</v>
      </c>
      <c r="G1045" s="63" t="s">
        <v>3022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6328</v>
      </c>
      <c r="G1046" s="63" t="s">
        <v>4579</v>
      </c>
      <c r="H1046" s="63" t="s">
        <v>5670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5048</v>
      </c>
      <c r="F1047" s="63" t="s">
        <v>5049</v>
      </c>
      <c r="G1047" s="63" t="s">
        <v>4579</v>
      </c>
      <c r="H1047" s="63" t="s">
        <v>5670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6329</v>
      </c>
      <c r="G1048" s="63" t="s">
        <v>4588</v>
      </c>
      <c r="H1048" s="63" t="s">
        <v>4657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6330</v>
      </c>
      <c r="G1049" s="63" t="s">
        <v>4640</v>
      </c>
      <c r="H1049" s="63" t="s">
        <v>5251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6331</v>
      </c>
      <c r="G1050" s="63" t="s">
        <v>4640</v>
      </c>
      <c r="H1050" s="63" t="s">
        <v>5882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6332</v>
      </c>
      <c r="G1051" s="63" t="s">
        <v>4640</v>
      </c>
      <c r="H1051" s="63" t="s">
        <v>5882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6333</v>
      </c>
      <c r="G1052" s="63" t="s">
        <v>4664</v>
      </c>
      <c r="H1052" s="63" t="s">
        <v>4657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6334</v>
      </c>
      <c r="G1053" s="63" t="s">
        <v>4579</v>
      </c>
      <c r="H1053" s="63" t="s">
        <v>5670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6335</v>
      </c>
      <c r="G1054" s="63" t="s">
        <v>4579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6336</v>
      </c>
      <c r="G1055" s="63" t="s">
        <v>4579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982</v>
      </c>
      <c r="G1056" s="63" t="s">
        <v>3022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6337</v>
      </c>
      <c r="G1057" s="63" t="s">
        <v>3022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2711</v>
      </c>
      <c r="G1058" s="63" t="s">
        <v>3022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6338</v>
      </c>
      <c r="G1059" s="63" t="s">
        <v>4579</v>
      </c>
      <c r="H1059" s="63" t="s">
        <v>5670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5154</v>
      </c>
      <c r="G1060" s="63" t="s">
        <v>4579</v>
      </c>
      <c r="H1060" s="63" t="s">
        <v>5670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6339</v>
      </c>
      <c r="G1061" s="63" t="s">
        <v>4579</v>
      </c>
      <c r="H1061" s="63" t="s">
        <v>5670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6340</v>
      </c>
      <c r="G1062" s="63" t="s">
        <v>4640</v>
      </c>
      <c r="H1062" s="63" t="s">
        <v>5882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6341</v>
      </c>
      <c r="G1063" s="63" t="s">
        <v>4664</v>
      </c>
      <c r="H1063" s="63" t="s">
        <v>4657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6342</v>
      </c>
      <c r="G1064" s="63" t="s">
        <v>4664</v>
      </c>
      <c r="H1064" s="63" t="s">
        <v>4657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5108</v>
      </c>
      <c r="G1065" s="63" t="s">
        <v>4579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6343</v>
      </c>
      <c r="G1066" s="63" t="s">
        <v>4579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2828</v>
      </c>
      <c r="G1067" s="63" t="s">
        <v>4579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582</v>
      </c>
      <c r="G1068" s="63" t="s">
        <v>3022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6344</v>
      </c>
      <c r="G1069" s="63" t="s">
        <v>3022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6345</v>
      </c>
      <c r="F1070" s="63" t="s">
        <v>6346</v>
      </c>
      <c r="G1070" s="63" t="s">
        <v>4579</v>
      </c>
      <c r="H1070" s="63" t="s">
        <v>5679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6347</v>
      </c>
      <c r="F1071" s="63" t="s">
        <v>6348</v>
      </c>
      <c r="G1071" s="63" t="s">
        <v>4579</v>
      </c>
      <c r="H1071" s="63" t="s">
        <v>5679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6349</v>
      </c>
      <c r="G1072" s="63" t="s">
        <v>4579</v>
      </c>
      <c r="H1072" s="63" t="s">
        <v>5679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6350</v>
      </c>
      <c r="G1073" s="63" t="s">
        <v>4640</v>
      </c>
      <c r="H1073" s="63" t="s">
        <v>6351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6352</v>
      </c>
      <c r="G1074" s="63" t="s">
        <v>4640</v>
      </c>
      <c r="H1074" s="63" t="s">
        <v>6351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6353</v>
      </c>
      <c r="G1075" s="63" t="s">
        <v>4664</v>
      </c>
      <c r="H1075" s="63" t="s">
        <v>4813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6354</v>
      </c>
      <c r="G1076" s="63" t="s">
        <v>4664</v>
      </c>
      <c r="H1076" s="63" t="s">
        <v>4813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6355</v>
      </c>
      <c r="G1077" s="63" t="s">
        <v>4579</v>
      </c>
      <c r="H1077" s="63" t="s">
        <v>5670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2889</v>
      </c>
      <c r="G1078" s="63" t="s">
        <v>4579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2868</v>
      </c>
      <c r="G1079" s="63" t="s">
        <v>4579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6356</v>
      </c>
      <c r="G1080" s="63" t="s">
        <v>4549</v>
      </c>
      <c r="H1080" s="63" t="s">
        <v>4562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6357</v>
      </c>
      <c r="F1081" s="63" t="s">
        <v>6358</v>
      </c>
      <c r="G1081" s="63" t="s">
        <v>4549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6359</v>
      </c>
      <c r="G1082" s="63" t="s">
        <v>4588</v>
      </c>
      <c r="H1082" s="63" t="s">
        <v>5670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6360</v>
      </c>
      <c r="G1083" s="63" t="s">
        <v>4579</v>
      </c>
      <c r="H1083" s="63" t="s">
        <v>5670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6361</v>
      </c>
      <c r="G1084" s="63" t="s">
        <v>4640</v>
      </c>
      <c r="H1084" s="63" t="s">
        <v>6362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6363</v>
      </c>
      <c r="G1085" s="63" t="s">
        <v>4640</v>
      </c>
      <c r="H1085" s="63" t="s">
        <v>6364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6365</v>
      </c>
      <c r="G1086" s="63" t="s">
        <v>4579</v>
      </c>
      <c r="H1086" s="63" t="s">
        <v>5669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6366</v>
      </c>
      <c r="G1087" s="63" t="s">
        <v>4579</v>
      </c>
      <c r="H1087" s="63" t="s">
        <v>5669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6367</v>
      </c>
      <c r="G1088" s="63" t="s">
        <v>4579</v>
      </c>
      <c r="H1088" s="63" t="s">
        <v>5669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6368</v>
      </c>
      <c r="G1089" s="63" t="s">
        <v>4579</v>
      </c>
      <c r="H1089" s="63" t="s">
        <v>5669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6369</v>
      </c>
      <c r="F1090" s="63" t="s">
        <v>6370</v>
      </c>
      <c r="G1090" s="63" t="s">
        <v>4579</v>
      </c>
      <c r="H1090" s="63" t="s">
        <v>5339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6371</v>
      </c>
      <c r="G1091" s="63" t="s">
        <v>4579</v>
      </c>
      <c r="H1091" s="63" t="s">
        <v>5339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6372</v>
      </c>
      <c r="G1092" s="63" t="s">
        <v>4579</v>
      </c>
      <c r="H1092" s="63" t="s">
        <v>5339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6373</v>
      </c>
      <c r="G1093" s="63" t="s">
        <v>4604</v>
      </c>
      <c r="H1093" s="63" t="s">
        <v>6374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5056</v>
      </c>
      <c r="G1094" s="63" t="s">
        <v>4604</v>
      </c>
      <c r="H1094" s="63" t="s">
        <v>6374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6375</v>
      </c>
      <c r="G1095" s="63" t="s">
        <v>4664</v>
      </c>
      <c r="H1095" s="63" t="s">
        <v>6376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6377</v>
      </c>
      <c r="G1096" s="63" t="s">
        <v>4664</v>
      </c>
      <c r="H1096" s="63" t="s">
        <v>5292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6378</v>
      </c>
      <c r="G1097" s="63" t="s">
        <v>4664</v>
      </c>
      <c r="H1097" s="63" t="s">
        <v>6379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3697</v>
      </c>
      <c r="G1098" s="63" t="s">
        <v>3022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6380</v>
      </c>
      <c r="G1099" s="63" t="s">
        <v>4549</v>
      </c>
      <c r="H1099" s="63" t="s">
        <v>5046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6381</v>
      </c>
      <c r="G1100" s="63" t="s">
        <v>4579</v>
      </c>
      <c r="H1100" s="63" t="s">
        <v>5669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6382</v>
      </c>
      <c r="G1101" s="63" t="s">
        <v>4579</v>
      </c>
      <c r="H1101" s="63" t="s">
        <v>5669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6383</v>
      </c>
      <c r="G1102" s="63" t="s">
        <v>4579</v>
      </c>
      <c r="H1102" s="63" t="s">
        <v>5669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6384</v>
      </c>
      <c r="G1103" s="63" t="s">
        <v>4579</v>
      </c>
      <c r="H1103" s="63" t="s">
        <v>5339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6385</v>
      </c>
      <c r="G1104" s="63" t="s">
        <v>4579</v>
      </c>
      <c r="H1104" s="63" t="s">
        <v>5339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6386</v>
      </c>
      <c r="G1105" s="63" t="s">
        <v>4579</v>
      </c>
      <c r="H1105" s="63" t="s">
        <v>5339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6387</v>
      </c>
      <c r="G1106" s="63" t="s">
        <v>4604</v>
      </c>
      <c r="H1106" s="63" t="s">
        <v>6388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6389</v>
      </c>
      <c r="G1107" s="63" t="s">
        <v>4664</v>
      </c>
      <c r="H1107" s="63" t="s">
        <v>4675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6390</v>
      </c>
      <c r="G1108" s="63" t="s">
        <v>4664</v>
      </c>
      <c r="H1108" s="63" t="s">
        <v>4675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6391</v>
      </c>
      <c r="G1109" s="63" t="s">
        <v>4664</v>
      </c>
      <c r="H1109" s="63" t="s">
        <v>4675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4941</v>
      </c>
      <c r="G1110" s="63" t="s">
        <v>4579</v>
      </c>
      <c r="H1110" s="63" t="s">
        <v>5669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6392</v>
      </c>
      <c r="G1111" s="63" t="s">
        <v>4579</v>
      </c>
      <c r="H1111" s="63" t="s">
        <v>5669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6393</v>
      </c>
      <c r="F1112" s="63" t="s">
        <v>6394</v>
      </c>
      <c r="G1112" s="63" t="s">
        <v>4579</v>
      </c>
      <c r="H1112" s="63" t="s">
        <v>5669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6395</v>
      </c>
      <c r="G1113" s="63" t="s">
        <v>4579</v>
      </c>
      <c r="H1113" s="63" t="s">
        <v>5669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6396</v>
      </c>
      <c r="G1114" s="63" t="s">
        <v>4579</v>
      </c>
      <c r="H1114" s="63" t="s">
        <v>5669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6397</v>
      </c>
      <c r="G1115" s="63" t="s">
        <v>4579</v>
      </c>
      <c r="H1115" s="63" t="s">
        <v>5339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6398</v>
      </c>
      <c r="G1116" s="63" t="s">
        <v>4579</v>
      </c>
      <c r="H1116" s="63" t="s">
        <v>5339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6399</v>
      </c>
      <c r="G1117" s="63" t="s">
        <v>4579</v>
      </c>
      <c r="H1117" s="63" t="s">
        <v>5339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6400</v>
      </c>
      <c r="G1118" s="63" t="s">
        <v>4604</v>
      </c>
      <c r="H1118" s="63" t="s">
        <v>6401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6402</v>
      </c>
      <c r="G1119" s="63" t="s">
        <v>4604</v>
      </c>
      <c r="H1119" s="63" t="s">
        <v>6401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6403</v>
      </c>
      <c r="G1120" s="63" t="s">
        <v>4664</v>
      </c>
      <c r="H1120" s="63" t="s">
        <v>5901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6404</v>
      </c>
      <c r="G1121" s="63" t="s">
        <v>4664</v>
      </c>
      <c r="H1121" s="63" t="s">
        <v>6405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6406</v>
      </c>
      <c r="G1122" s="63" t="s">
        <v>4579</v>
      </c>
      <c r="H1122" s="63" t="s">
        <v>5670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6407</v>
      </c>
      <c r="F1123" s="63" t="s">
        <v>6408</v>
      </c>
      <c r="G1123" s="63" t="s">
        <v>4579</v>
      </c>
      <c r="H1123" s="63" t="s">
        <v>5669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6409</v>
      </c>
      <c r="G1124" s="63" t="s">
        <v>4579</v>
      </c>
      <c r="H1124" s="63" t="s">
        <v>5669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4982</v>
      </c>
      <c r="G1125" s="63" t="s">
        <v>4579</v>
      </c>
      <c r="H1125" s="63" t="s">
        <v>5669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6410</v>
      </c>
      <c r="F1126" s="63" t="s">
        <v>6411</v>
      </c>
      <c r="G1126" s="63" t="s">
        <v>4579</v>
      </c>
      <c r="H1126" s="63" t="s">
        <v>5669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6412</v>
      </c>
      <c r="G1127" s="63" t="s">
        <v>4579</v>
      </c>
      <c r="H1127" s="63" t="s">
        <v>5339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6413</v>
      </c>
      <c r="G1128" s="63" t="s">
        <v>4579</v>
      </c>
      <c r="H1128" s="63" t="s">
        <v>5339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6414</v>
      </c>
      <c r="G1129" s="63" t="s">
        <v>4579</v>
      </c>
      <c r="H1129" s="63" t="s">
        <v>5339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6415</v>
      </c>
      <c r="G1130" s="63" t="s">
        <v>4664</v>
      </c>
      <c r="H1130" s="63" t="s">
        <v>4813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6416</v>
      </c>
      <c r="G1131" s="63" t="s">
        <v>4664</v>
      </c>
      <c r="H1131" s="63" t="s">
        <v>4813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6417</v>
      </c>
      <c r="G1132" s="63" t="s">
        <v>4579</v>
      </c>
      <c r="H1132" s="63" t="s">
        <v>5669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6418</v>
      </c>
      <c r="F1133" s="63" t="s">
        <v>6419</v>
      </c>
      <c r="G1133" s="63" t="s">
        <v>4579</v>
      </c>
      <c r="H1133" s="63" t="s">
        <v>5669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6420</v>
      </c>
      <c r="G1134" s="63" t="s">
        <v>4579</v>
      </c>
      <c r="H1134" s="63" t="s">
        <v>5339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6421</v>
      </c>
      <c r="G1135" s="63" t="s">
        <v>4579</v>
      </c>
      <c r="H1135" s="63" t="s">
        <v>5339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6422</v>
      </c>
      <c r="G1136" s="63" t="s">
        <v>4579</v>
      </c>
      <c r="H1136" s="63" t="s">
        <v>5339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6423</v>
      </c>
      <c r="G1137" s="63" t="s">
        <v>4579</v>
      </c>
      <c r="H1137" s="63" t="s">
        <v>5669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6424</v>
      </c>
      <c r="G1138" s="63" t="s">
        <v>4579</v>
      </c>
      <c r="H1138" s="63" t="s">
        <v>5669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6425</v>
      </c>
      <c r="F1139" s="63" t="s">
        <v>6426</v>
      </c>
      <c r="G1139" s="63" t="s">
        <v>4579</v>
      </c>
      <c r="H1139" s="63" t="s">
        <v>5669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6427</v>
      </c>
      <c r="G1140" s="63" t="s">
        <v>4579</v>
      </c>
      <c r="H1140" s="63" t="s">
        <v>4649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6428</v>
      </c>
      <c r="G1141" s="63" t="s">
        <v>4579</v>
      </c>
      <c r="H1141" s="63" t="s">
        <v>4649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6429</v>
      </c>
      <c r="G1142" s="63" t="s">
        <v>4579</v>
      </c>
      <c r="H1142" s="63" t="s">
        <v>4649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6430</v>
      </c>
      <c r="G1143" s="63" t="s">
        <v>4664</v>
      </c>
      <c r="H1143" s="63" t="s">
        <v>6431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6432</v>
      </c>
      <c r="G1144" s="63" t="s">
        <v>4664</v>
      </c>
      <c r="H1144" s="63" t="s">
        <v>6027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6433</v>
      </c>
      <c r="G1145" s="63" t="s">
        <v>4664</v>
      </c>
      <c r="H1145" s="63" t="s">
        <v>6434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6435</v>
      </c>
      <c r="G1146" s="63" t="s">
        <v>4579</v>
      </c>
      <c r="H1146" s="63" t="s">
        <v>5669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6436</v>
      </c>
      <c r="G1147" s="63" t="s">
        <v>4579</v>
      </c>
      <c r="H1147" s="63" t="s">
        <v>5669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6437</v>
      </c>
      <c r="G1148" s="63" t="s">
        <v>4579</v>
      </c>
      <c r="H1148" s="63" t="s">
        <v>5669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6438</v>
      </c>
      <c r="G1149" s="63" t="s">
        <v>4579</v>
      </c>
      <c r="H1149" s="63" t="s">
        <v>5669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6439</v>
      </c>
      <c r="G1150" s="63" t="s">
        <v>4579</v>
      </c>
      <c r="H1150" s="63" t="s">
        <v>5669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6440</v>
      </c>
      <c r="F1151" s="63" t="s">
        <v>6441</v>
      </c>
      <c r="G1151" s="63" t="s">
        <v>4579</v>
      </c>
      <c r="H1151" s="63" t="s">
        <v>4649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6442</v>
      </c>
      <c r="G1152" s="63" t="s">
        <v>4579</v>
      </c>
      <c r="H1152" s="63" t="s">
        <v>4649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6443</v>
      </c>
      <c r="G1153" s="63" t="s">
        <v>4579</v>
      </c>
      <c r="H1153" s="63" t="s">
        <v>4649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6444</v>
      </c>
      <c r="G1154" s="63" t="s">
        <v>4664</v>
      </c>
      <c r="H1154" s="63" t="s">
        <v>6445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6446</v>
      </c>
      <c r="G1155" s="63" t="s">
        <v>4680</v>
      </c>
      <c r="H1155" s="63" t="s">
        <v>6447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6448</v>
      </c>
      <c r="G1156" s="63" t="s">
        <v>4579</v>
      </c>
      <c r="H1156" s="63" t="s">
        <v>4651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6449</v>
      </c>
      <c r="G1157" s="63" t="s">
        <v>4579</v>
      </c>
      <c r="H1157" s="63" t="s">
        <v>4651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6450</v>
      </c>
      <c r="G1158" s="63" t="s">
        <v>4579</v>
      </c>
      <c r="H1158" s="63" t="s">
        <v>4651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6451</v>
      </c>
      <c r="G1159" s="63" t="s">
        <v>4579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6452</v>
      </c>
      <c r="G1160" s="63" t="s">
        <v>4579</v>
      </c>
      <c r="H1160" s="63" t="s">
        <v>4649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6453</v>
      </c>
      <c r="G1161" s="63" t="s">
        <v>4579</v>
      </c>
      <c r="H1161" s="63" t="s">
        <v>4649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6454</v>
      </c>
      <c r="G1162" s="63" t="s">
        <v>4579</v>
      </c>
      <c r="H1162" s="63" t="s">
        <v>4649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6455</v>
      </c>
      <c r="G1163" s="63" t="s">
        <v>4647</v>
      </c>
      <c r="H1163" s="63" t="s">
        <v>4900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6456</v>
      </c>
      <c r="F1164" s="63" t="s">
        <v>6457</v>
      </c>
      <c r="G1164" s="63" t="s">
        <v>4647</v>
      </c>
      <c r="H1164" s="63" t="s">
        <v>4900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6458</v>
      </c>
      <c r="G1165" s="63" t="s">
        <v>4579</v>
      </c>
      <c r="H1165" s="63" t="s">
        <v>5669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6459</v>
      </c>
      <c r="G1166" s="63" t="s">
        <v>4579</v>
      </c>
      <c r="H1166" s="63" t="s">
        <v>4651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6460</v>
      </c>
      <c r="G1167" s="63" t="s">
        <v>4579</v>
      </c>
      <c r="H1167" s="63" t="s">
        <v>4651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6461</v>
      </c>
      <c r="F1168" s="63" t="s">
        <v>6462</v>
      </c>
      <c r="G1168" s="63" t="s">
        <v>4579</v>
      </c>
      <c r="H1168" s="63" t="s">
        <v>4649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448</v>
      </c>
      <c r="F1169" s="63" t="s">
        <v>6463</v>
      </c>
      <c r="G1169" s="63" t="s">
        <v>4579</v>
      </c>
      <c r="H1169" s="63" t="s">
        <v>4649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6464</v>
      </c>
      <c r="F1170" s="63" t="s">
        <v>6465</v>
      </c>
      <c r="G1170" s="63" t="s">
        <v>4579</v>
      </c>
      <c r="H1170" s="63" t="s">
        <v>4649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6466</v>
      </c>
      <c r="G1171" s="63" t="s">
        <v>4647</v>
      </c>
      <c r="H1171" s="63" t="s">
        <v>4900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6467</v>
      </c>
      <c r="F1172" s="63" t="s">
        <v>6468</v>
      </c>
      <c r="G1172" s="63" t="s">
        <v>4647</v>
      </c>
      <c r="H1172" s="63" t="s">
        <v>4900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6469</v>
      </c>
      <c r="G1173" s="63" t="s">
        <v>4579</v>
      </c>
      <c r="H1173" s="63" t="s">
        <v>4651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6470</v>
      </c>
      <c r="G1174" s="63" t="s">
        <v>4579</v>
      </c>
      <c r="H1174" s="63" t="s">
        <v>4651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6471</v>
      </c>
      <c r="G1175" s="63" t="s">
        <v>4579</v>
      </c>
      <c r="H1175" s="63" t="s">
        <v>4651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6472</v>
      </c>
      <c r="G1176" s="63" t="s">
        <v>4579</v>
      </c>
      <c r="H1176" s="63" t="s">
        <v>4651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6473</v>
      </c>
      <c r="G1177" s="63" t="s">
        <v>4596</v>
      </c>
      <c r="H1177" s="63" t="s">
        <v>6474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6475</v>
      </c>
      <c r="G1178" s="63" t="s">
        <v>4664</v>
      </c>
      <c r="H1178" s="63" t="s">
        <v>6476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6477</v>
      </c>
      <c r="G1179" s="63" t="s">
        <v>4664</v>
      </c>
      <c r="H1179" s="63" t="s">
        <v>6476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6478</v>
      </c>
      <c r="G1180" s="63" t="s">
        <v>4579</v>
      </c>
      <c r="H1180" s="63" t="s">
        <v>4651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6479</v>
      </c>
      <c r="G1181" s="63" t="s">
        <v>4579</v>
      </c>
      <c r="H1181" s="63" t="s">
        <v>4651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6480</v>
      </c>
      <c r="G1182" s="63" t="s">
        <v>4579</v>
      </c>
      <c r="H1182" s="63" t="s">
        <v>4651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6481</v>
      </c>
      <c r="F1183" s="63" t="s">
        <v>6482</v>
      </c>
      <c r="G1183" s="63" t="s">
        <v>4579</v>
      </c>
      <c r="H1183" s="63" t="s">
        <v>4649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6483</v>
      </c>
      <c r="G1184" s="63" t="s">
        <v>4579</v>
      </c>
      <c r="H1184" s="63" t="s">
        <v>4649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6484</v>
      </c>
      <c r="G1185" s="63" t="s">
        <v>4647</v>
      </c>
      <c r="H1185" s="63" t="s">
        <v>4657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6485</v>
      </c>
      <c r="G1186" s="63" t="s">
        <v>4647</v>
      </c>
      <c r="H1186" s="63" t="s">
        <v>4657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6486</v>
      </c>
      <c r="G1187" s="63" t="s">
        <v>4655</v>
      </c>
      <c r="H1187" s="63" t="s">
        <v>6487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6488</v>
      </c>
      <c r="G1188" s="63" t="s">
        <v>4579</v>
      </c>
      <c r="H1188" s="63" t="s">
        <v>4651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6489</v>
      </c>
      <c r="G1189" s="63" t="s">
        <v>4579</v>
      </c>
      <c r="H1189" s="63" t="s">
        <v>4651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6490</v>
      </c>
      <c r="G1190" s="63" t="s">
        <v>4579</v>
      </c>
      <c r="H1190" s="63" t="s">
        <v>4651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6491</v>
      </c>
      <c r="G1191" s="63" t="s">
        <v>4579</v>
      </c>
      <c r="H1191" s="63" t="s">
        <v>4651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6492</v>
      </c>
      <c r="F1192" s="63" t="s">
        <v>6493</v>
      </c>
      <c r="G1192" s="63" t="s">
        <v>4579</v>
      </c>
      <c r="H1192" s="63" t="s">
        <v>4649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6494</v>
      </c>
      <c r="G1193" s="63" t="s">
        <v>4579</v>
      </c>
      <c r="H1193" s="63" t="s">
        <v>4649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6495</v>
      </c>
      <c r="G1194" s="63" t="s">
        <v>4579</v>
      </c>
      <c r="H1194" s="63" t="s">
        <v>4649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6496</v>
      </c>
      <c r="G1195" s="63" t="s">
        <v>4647</v>
      </c>
      <c r="H1195" s="63" t="s">
        <v>4657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6497</v>
      </c>
      <c r="G1196" s="63" t="s">
        <v>4647</v>
      </c>
      <c r="H1196" s="63" t="s">
        <v>4657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6498</v>
      </c>
      <c r="G1197" s="63" t="s">
        <v>4606</v>
      </c>
      <c r="H1197" s="63" t="s">
        <v>5694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6499</v>
      </c>
      <c r="G1198" s="63" t="s">
        <v>4579</v>
      </c>
      <c r="H1198" s="63" t="s">
        <v>4651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6500</v>
      </c>
      <c r="G1199" s="63" t="s">
        <v>4579</v>
      </c>
      <c r="H1199" s="63" t="s">
        <v>4651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6501</v>
      </c>
      <c r="G1200" s="63" t="s">
        <v>4579</v>
      </c>
      <c r="H1200" s="63" t="s">
        <v>4651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6502</v>
      </c>
      <c r="G1201" s="63" t="s">
        <v>4579</v>
      </c>
      <c r="H1201" s="63" t="s">
        <v>4651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6503</v>
      </c>
      <c r="G1202" s="63" t="s">
        <v>4579</v>
      </c>
      <c r="H1202" s="63" t="s">
        <v>4649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6504</v>
      </c>
      <c r="G1203" s="63" t="s">
        <v>4579</v>
      </c>
      <c r="H1203" s="63" t="s">
        <v>4649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6505</v>
      </c>
      <c r="G1204" s="63" t="s">
        <v>4579</v>
      </c>
      <c r="H1204" s="63" t="s">
        <v>4649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6506</v>
      </c>
      <c r="G1205" s="63" t="s">
        <v>4655</v>
      </c>
      <c r="H1205" s="63" t="s">
        <v>6507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6508</v>
      </c>
      <c r="G1206" s="63" t="s">
        <v>4655</v>
      </c>
      <c r="H1206" s="63" t="s">
        <v>6507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6509</v>
      </c>
      <c r="G1207" s="63" t="s">
        <v>4655</v>
      </c>
      <c r="H1207" s="63" t="s">
        <v>6507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6510</v>
      </c>
      <c r="G1208" s="63" t="s">
        <v>4579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2887</v>
      </c>
      <c r="G1209" s="63" t="s">
        <v>4579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2856</v>
      </c>
      <c r="G1210" s="63" t="s">
        <v>4579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2881</v>
      </c>
      <c r="G1211" s="63" t="s">
        <v>4579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6511</v>
      </c>
      <c r="G1212" s="63" t="s">
        <v>4579</v>
      </c>
      <c r="H1212" s="63" t="s">
        <v>4649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6512</v>
      </c>
      <c r="G1213" s="63" t="s">
        <v>4579</v>
      </c>
      <c r="H1213" s="63" t="s">
        <v>4649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6513</v>
      </c>
      <c r="G1214" s="63" t="s">
        <v>4655</v>
      </c>
      <c r="H1214" s="63" t="s">
        <v>6514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6515</v>
      </c>
      <c r="G1215" s="63" t="s">
        <v>4655</v>
      </c>
      <c r="H1215" s="63" t="s">
        <v>4857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6516</v>
      </c>
      <c r="G1216" s="63" t="s">
        <v>4579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2840</v>
      </c>
      <c r="G1217" s="63" t="s">
        <v>4579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2820</v>
      </c>
      <c r="G1218" s="63" t="s">
        <v>4579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6517</v>
      </c>
      <c r="G1219" s="63" t="s">
        <v>4579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6518</v>
      </c>
      <c r="G1220" s="63" t="s">
        <v>4579</v>
      </c>
      <c r="H1220" s="63" t="s">
        <v>5681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6519</v>
      </c>
      <c r="G1221" s="63" t="s">
        <v>4579</v>
      </c>
      <c r="H1221" s="63" t="s">
        <v>5681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2866</v>
      </c>
      <c r="G1222" s="63" t="s">
        <v>4579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2893</v>
      </c>
      <c r="G1223" s="63" t="s">
        <v>4579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6520</v>
      </c>
      <c r="G1224" s="63" t="s">
        <v>4579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6521</v>
      </c>
      <c r="G1225" s="63" t="s">
        <v>4579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6522</v>
      </c>
      <c r="G1226" s="63" t="s">
        <v>4579</v>
      </c>
      <c r="H1226" s="63" t="s">
        <v>4649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6523</v>
      </c>
      <c r="G1227" s="63" t="s">
        <v>4579</v>
      </c>
      <c r="H1227" s="63" t="s">
        <v>4649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6524</v>
      </c>
      <c r="G1228" s="63" t="s">
        <v>4655</v>
      </c>
      <c r="H1228" s="63" t="s">
        <v>6525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6526</v>
      </c>
      <c r="G1229" s="63" t="s">
        <v>4655</v>
      </c>
      <c r="H1229" s="63" t="s">
        <v>6525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6527</v>
      </c>
      <c r="G1230" s="63" t="s">
        <v>4655</v>
      </c>
      <c r="H1230" s="63" t="s">
        <v>6528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6529</v>
      </c>
      <c r="G1231" s="63" t="s">
        <v>4579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2883</v>
      </c>
      <c r="G1232" s="63" t="s">
        <v>4579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6530</v>
      </c>
      <c r="G1233" s="63" t="s">
        <v>4579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6531</v>
      </c>
      <c r="G1234" s="63" t="s">
        <v>4579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6532</v>
      </c>
      <c r="G1235" s="63" t="s">
        <v>4579</v>
      </c>
      <c r="H1235" s="63" t="s">
        <v>4649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6533</v>
      </c>
      <c r="G1236" s="63" t="s">
        <v>4579</v>
      </c>
      <c r="H1236" s="63" t="s">
        <v>4649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6534</v>
      </c>
      <c r="G1237" s="63" t="s">
        <v>4655</v>
      </c>
      <c r="H1237" s="63" t="s">
        <v>4857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6535</v>
      </c>
      <c r="G1238" s="63" t="s">
        <v>4655</v>
      </c>
      <c r="H1238" s="63" t="s">
        <v>6536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6537</v>
      </c>
      <c r="G1239" s="63" t="s">
        <v>4579</v>
      </c>
      <c r="H1239" s="63" t="s">
        <v>4651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6538</v>
      </c>
      <c r="G1240" s="63" t="s">
        <v>4579</v>
      </c>
      <c r="H1240" s="63" t="s">
        <v>4649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6539</v>
      </c>
      <c r="G1241" s="63" t="s">
        <v>4579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6540</v>
      </c>
      <c r="G1242" s="63" t="s">
        <v>4579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4629</v>
      </c>
      <c r="G1243" s="63" t="s">
        <v>4579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6541</v>
      </c>
      <c r="G1244" s="63" t="s">
        <v>4579</v>
      </c>
      <c r="H1244" s="63" t="s">
        <v>4649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6542</v>
      </c>
      <c r="G1245" s="63" t="s">
        <v>4579</v>
      </c>
      <c r="H1245" s="63" t="s">
        <v>4649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6543</v>
      </c>
      <c r="G1246" s="63" t="s">
        <v>4655</v>
      </c>
      <c r="H1246" s="63" t="s">
        <v>5308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6544</v>
      </c>
      <c r="G1247" s="63" t="s">
        <v>4655</v>
      </c>
      <c r="H1247" s="63" t="s">
        <v>5308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2864</v>
      </c>
      <c r="G1248" s="63" t="s">
        <v>4579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6545</v>
      </c>
      <c r="G1249" s="63" t="s">
        <v>4579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2858</v>
      </c>
      <c r="G1250" s="63" t="s">
        <v>4579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6546</v>
      </c>
      <c r="G1251" s="63" t="s">
        <v>4579</v>
      </c>
      <c r="H1251" s="63" t="s">
        <v>4649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6547</v>
      </c>
      <c r="G1252" s="63" t="s">
        <v>4579</v>
      </c>
      <c r="H1252" s="63" t="s">
        <v>4649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6548</v>
      </c>
      <c r="G1253" s="63" t="s">
        <v>4655</v>
      </c>
      <c r="H1253" s="63" t="s">
        <v>6549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6550</v>
      </c>
      <c r="G1254" s="63" t="s">
        <v>4655</v>
      </c>
      <c r="H1254" s="63" t="s">
        <v>6549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6551</v>
      </c>
      <c r="G1255" s="63" t="s">
        <v>4655</v>
      </c>
      <c r="H1255" s="63" t="s">
        <v>6552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6553</v>
      </c>
      <c r="G1256" s="63" t="s">
        <v>4579</v>
      </c>
      <c r="H1256" s="63" t="s">
        <v>4649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6554</v>
      </c>
      <c r="F1257" s="63" t="s">
        <v>6555</v>
      </c>
      <c r="G1257" s="63" t="s">
        <v>4579</v>
      </c>
      <c r="H1257" s="63" t="s">
        <v>4649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6556</v>
      </c>
      <c r="G1258" s="63" t="s">
        <v>4655</v>
      </c>
      <c r="H1258" s="63" t="s">
        <v>6557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6558</v>
      </c>
      <c r="G1259" s="63" t="s">
        <v>4655</v>
      </c>
      <c r="H1259" s="63" t="s">
        <v>6557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6559</v>
      </c>
      <c r="F1260" s="63" t="s">
        <v>6560</v>
      </c>
      <c r="G1260" s="63" t="s">
        <v>4579</v>
      </c>
      <c r="H1260" s="63" t="s">
        <v>6561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6562</v>
      </c>
      <c r="G1261" s="63" t="s">
        <v>4579</v>
      </c>
      <c r="H1261" s="63" t="s">
        <v>6561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6563</v>
      </c>
      <c r="G1262" s="63" t="s">
        <v>4579</v>
      </c>
      <c r="H1262" s="63" t="s">
        <v>6561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6564</v>
      </c>
      <c r="G1263" s="63" t="s">
        <v>4579</v>
      </c>
      <c r="H1263" s="63" t="s">
        <v>6561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6565</v>
      </c>
      <c r="G1264" s="63" t="s">
        <v>4579</v>
      </c>
      <c r="H1264" s="63" t="s">
        <v>4649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6566</v>
      </c>
      <c r="G1265" s="63" t="s">
        <v>4579</v>
      </c>
      <c r="H1265" s="63" t="s">
        <v>4649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5311</v>
      </c>
      <c r="G1266" s="63" t="s">
        <v>4680</v>
      </c>
      <c r="H1266" s="63" t="s">
        <v>6567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6568</v>
      </c>
      <c r="G1267" s="63" t="s">
        <v>4680</v>
      </c>
      <c r="H1267" s="63" t="s">
        <v>6447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6569</v>
      </c>
      <c r="G1268" s="63" t="s">
        <v>4579</v>
      </c>
      <c r="H1268" s="63" t="s">
        <v>6561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6570</v>
      </c>
      <c r="G1269" s="63" t="s">
        <v>4579</v>
      </c>
      <c r="H1269" s="63" t="s">
        <v>6561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6571</v>
      </c>
      <c r="G1270" s="63" t="s">
        <v>4579</v>
      </c>
      <c r="H1270" s="63" t="s">
        <v>6561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6572</v>
      </c>
      <c r="G1271" s="63" t="s">
        <v>4579</v>
      </c>
      <c r="H1271" s="63" t="s">
        <v>6561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6573</v>
      </c>
      <c r="G1272" s="63" t="s">
        <v>4579</v>
      </c>
      <c r="H1272" s="63" t="s">
        <v>4649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6574</v>
      </c>
      <c r="G1273" s="63" t="s">
        <v>4579</v>
      </c>
      <c r="H1273" s="63" t="s">
        <v>4649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6575</v>
      </c>
      <c r="G1274" s="63" t="s">
        <v>4680</v>
      </c>
      <c r="H1274" s="63" t="s">
        <v>5321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6576</v>
      </c>
      <c r="G1275" s="63" t="s">
        <v>4680</v>
      </c>
      <c r="H1275" s="63" t="s">
        <v>6143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2878</v>
      </c>
      <c r="G1276" s="63" t="s">
        <v>4579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6577</v>
      </c>
      <c r="G1277" s="40" t="s">
        <v>4579</v>
      </c>
      <c r="H1277" s="40" t="s">
        <v>6561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6578</v>
      </c>
      <c r="G1278" s="40" t="s">
        <v>4579</v>
      </c>
      <c r="H1278" s="40" t="s">
        <v>6561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6579</v>
      </c>
      <c r="F1279" s="40" t="s">
        <v>6580</v>
      </c>
      <c r="G1279" s="40" t="s">
        <v>4579</v>
      </c>
      <c r="H1279" s="40" t="s">
        <v>6561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6581</v>
      </c>
      <c r="G1280" s="40" t="s">
        <v>4579</v>
      </c>
      <c r="H1280" s="40" t="s">
        <v>4649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6582</v>
      </c>
      <c r="G1281" s="40" t="s">
        <v>4579</v>
      </c>
      <c r="H1281" s="40" t="s">
        <v>4649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6583</v>
      </c>
      <c r="G1282" s="40" t="s">
        <v>4655</v>
      </c>
      <c r="H1282" s="40" t="s">
        <v>6487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6584</v>
      </c>
      <c r="G1283" s="40" t="s">
        <v>4647</v>
      </c>
      <c r="H1283" s="40" t="s">
        <v>4900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6585</v>
      </c>
      <c r="G1284" s="40" t="s">
        <v>4655</v>
      </c>
      <c r="H1284" s="40" t="s">
        <v>6487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6586</v>
      </c>
      <c r="F1285" s="40" t="s">
        <v>6587</v>
      </c>
      <c r="G1285" s="40" t="s">
        <v>4579</v>
      </c>
      <c r="H1285" s="40" t="s">
        <v>6561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6588</v>
      </c>
      <c r="G1286" s="40" t="s">
        <v>4579</v>
      </c>
      <c r="H1286" s="40" t="s">
        <v>6561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6589</v>
      </c>
      <c r="G1287" s="40" t="s">
        <v>4579</v>
      </c>
      <c r="H1287" s="40" t="s">
        <v>6561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6590</v>
      </c>
      <c r="F1288" s="40" t="s">
        <v>6591</v>
      </c>
      <c r="G1288" s="40" t="s">
        <v>4579</v>
      </c>
      <c r="H1288" s="40" t="s">
        <v>6561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6592</v>
      </c>
      <c r="G1289" s="40" t="s">
        <v>4604</v>
      </c>
      <c r="H1289" s="40" t="s">
        <v>5954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6593</v>
      </c>
      <c r="G1290" s="40" t="s">
        <v>4604</v>
      </c>
      <c r="H1290" s="40" t="s">
        <v>5965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6594</v>
      </c>
      <c r="G1291" s="40" t="s">
        <v>4664</v>
      </c>
      <c r="H1291" s="40" t="s">
        <v>4763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6595</v>
      </c>
      <c r="G1292" s="40" t="s">
        <v>4664</v>
      </c>
      <c r="H1292" s="40" t="s">
        <v>5994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6596</v>
      </c>
      <c r="G1293" s="40" t="s">
        <v>4579</v>
      </c>
      <c r="H1293" s="40" t="s">
        <v>4651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6597</v>
      </c>
      <c r="G1294" s="40" t="s">
        <v>4579</v>
      </c>
      <c r="H1294" s="40" t="s">
        <v>6561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6598</v>
      </c>
      <c r="G1295" s="40" t="s">
        <v>4579</v>
      </c>
      <c r="H1295" s="40" t="s">
        <v>6561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6599</v>
      </c>
      <c r="G1296" s="40" t="s">
        <v>4579</v>
      </c>
      <c r="H1296" s="40" t="s">
        <v>6561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5191</v>
      </c>
      <c r="G1297" s="40" t="s">
        <v>4596</v>
      </c>
      <c r="H1297" s="40" t="s">
        <v>6600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6601</v>
      </c>
      <c r="G1298" s="40" t="s">
        <v>4596</v>
      </c>
      <c r="H1298" s="40" t="s">
        <v>6600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6602</v>
      </c>
      <c r="G1299" s="40" t="s">
        <v>4570</v>
      </c>
      <c r="H1299" s="40" t="s">
        <v>4813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6603</v>
      </c>
      <c r="G1300" s="40" t="s">
        <v>4606</v>
      </c>
      <c r="H1300" s="40" t="s">
        <v>5380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6604</v>
      </c>
      <c r="G1301" s="40" t="s">
        <v>4606</v>
      </c>
      <c r="H1301" s="40" t="s">
        <v>4864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6605</v>
      </c>
      <c r="G1302" s="40" t="s">
        <v>4549</v>
      </c>
      <c r="H1302" s="40" t="s">
        <v>4990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6606</v>
      </c>
      <c r="G1303" s="40" t="s">
        <v>4549</v>
      </c>
      <c r="H1303" s="40" t="s">
        <v>4990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6607</v>
      </c>
      <c r="G1304" s="40" t="s">
        <v>3022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6608</v>
      </c>
      <c r="G1305" s="40" t="s">
        <v>4579</v>
      </c>
      <c r="H1305" s="40" t="s">
        <v>5681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6609</v>
      </c>
      <c r="G1306" s="40" t="s">
        <v>4579</v>
      </c>
      <c r="H1306" s="40" t="s">
        <v>5681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6610</v>
      </c>
      <c r="G1307" s="40" t="s">
        <v>4570</v>
      </c>
      <c r="H1307" s="40" t="s">
        <v>4813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6611</v>
      </c>
      <c r="G1308" s="40" t="s">
        <v>4606</v>
      </c>
      <c r="H1308" s="40" t="s">
        <v>5619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6612</v>
      </c>
      <c r="G1309" s="40" t="s">
        <v>4606</v>
      </c>
      <c r="H1309" s="40" t="s">
        <v>6204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6613</v>
      </c>
      <c r="G1310" s="40" t="s">
        <v>4549</v>
      </c>
      <c r="H1310" s="40" t="s">
        <v>4990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6614</v>
      </c>
      <c r="G1311" s="40" t="s">
        <v>4549</v>
      </c>
      <c r="H1311" s="40" t="s">
        <v>4990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6615</v>
      </c>
      <c r="G1312" s="40" t="s">
        <v>3022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6616</v>
      </c>
      <c r="G1313" s="40" t="s">
        <v>3022</v>
      </c>
      <c r="H1313" s="40" t="s">
        <v>4617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6617</v>
      </c>
      <c r="G1314" s="40" t="s">
        <v>4579</v>
      </c>
      <c r="H1314" s="40" t="s">
        <v>5681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6618</v>
      </c>
      <c r="G1315" s="40" t="s">
        <v>4579</v>
      </c>
      <c r="H1315" s="40" t="s">
        <v>5681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6619</v>
      </c>
      <c r="G1316" s="40" t="s">
        <v>4579</v>
      </c>
      <c r="H1316" s="40" t="s">
        <v>5681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6620</v>
      </c>
      <c r="G1317" s="40" t="s">
        <v>4570</v>
      </c>
      <c r="H1317" s="40" t="s">
        <v>4979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6621</v>
      </c>
      <c r="G1318" s="40" t="s">
        <v>4570</v>
      </c>
      <c r="H1318" s="40" t="s">
        <v>4734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6622</v>
      </c>
      <c r="G1319" s="40" t="s">
        <v>4680</v>
      </c>
      <c r="H1319" s="40" t="s">
        <v>6325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6623</v>
      </c>
      <c r="G1320" s="40" t="s">
        <v>4680</v>
      </c>
      <c r="H1320" s="40" t="s">
        <v>6327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5209</v>
      </c>
      <c r="G1321" s="40" t="s">
        <v>4549</v>
      </c>
      <c r="H1321" s="40" t="s">
        <v>4990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6624</v>
      </c>
      <c r="G1322" s="40" t="s">
        <v>4549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6625</v>
      </c>
      <c r="G1323" s="40" t="s">
        <v>4549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6626</v>
      </c>
      <c r="G1324" s="40" t="s">
        <v>4579</v>
      </c>
      <c r="H1324" s="40" t="s">
        <v>6561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6627</v>
      </c>
      <c r="G1325" s="40" t="s">
        <v>4579</v>
      </c>
      <c r="H1325" s="40" t="s">
        <v>5679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6628</v>
      </c>
      <c r="G1326" s="40" t="s">
        <v>4579</v>
      </c>
      <c r="H1326" s="40" t="s">
        <v>5679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6629</v>
      </c>
      <c r="G1327" s="40" t="s">
        <v>4570</v>
      </c>
      <c r="H1327" s="40" t="s">
        <v>5543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6630</v>
      </c>
      <c r="G1328" s="40" t="s">
        <v>4570</v>
      </c>
      <c r="H1328" s="40" t="s">
        <v>5671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6631</v>
      </c>
      <c r="G1329" s="40" t="s">
        <v>4606</v>
      </c>
      <c r="H1329" s="40" t="s">
        <v>5857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6632</v>
      </c>
      <c r="G1330" s="40" t="s">
        <v>4606</v>
      </c>
      <c r="H1330" s="40" t="s">
        <v>5857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6633</v>
      </c>
      <c r="G1331" s="40" t="s">
        <v>4606</v>
      </c>
      <c r="H1331" s="40" t="s">
        <v>5619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6634</v>
      </c>
      <c r="G1332" s="40" t="s">
        <v>4606</v>
      </c>
      <c r="H1332" s="40" t="s">
        <v>5619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6635</v>
      </c>
      <c r="G1333" s="40" t="s">
        <v>4549</v>
      </c>
      <c r="H1333" s="40" t="s">
        <v>5812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6636</v>
      </c>
      <c r="G1334" s="40" t="s">
        <v>4549</v>
      </c>
      <c r="H1334" s="40" t="s">
        <v>5812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6637</v>
      </c>
      <c r="G1335" s="40" t="s">
        <v>4549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5316</v>
      </c>
      <c r="G1336" s="40" t="s">
        <v>3022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6638</v>
      </c>
      <c r="G1337" s="40" t="s">
        <v>4579</v>
      </c>
      <c r="H1337" s="40" t="s">
        <v>5679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6639</v>
      </c>
      <c r="G1338" s="40" t="s">
        <v>4570</v>
      </c>
      <c r="H1338" s="40" t="s">
        <v>4571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6640</v>
      </c>
      <c r="G1339" s="40" t="s">
        <v>4579</v>
      </c>
      <c r="H1339" s="40" t="s">
        <v>5679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6641</v>
      </c>
      <c r="G1340" s="40" t="s">
        <v>4579</v>
      </c>
      <c r="H1340" s="40" t="s">
        <v>5679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6642</v>
      </c>
      <c r="G1341" s="40" t="s">
        <v>4579</v>
      </c>
      <c r="H1341" s="40" t="s">
        <v>6561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4558</v>
      </c>
      <c r="G1342" s="40" t="s">
        <v>4579</v>
      </c>
      <c r="H1342" s="40" t="s">
        <v>6561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6643</v>
      </c>
      <c r="G1343" s="40" t="s">
        <v>4549</v>
      </c>
      <c r="H1343" s="40" t="s">
        <v>5046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5204</v>
      </c>
      <c r="G1344" s="40" t="s">
        <v>3022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6644</v>
      </c>
      <c r="G1345" s="40" t="s">
        <v>4579</v>
      </c>
      <c r="H1345" s="40" t="s">
        <v>5679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6645</v>
      </c>
      <c r="G1346" s="40" t="s">
        <v>4570</v>
      </c>
      <c r="H1346" s="40" t="s">
        <v>6213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6646</v>
      </c>
      <c r="G1347" s="40" t="s">
        <v>4570</v>
      </c>
      <c r="H1347" s="40" t="s">
        <v>6053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6647</v>
      </c>
      <c r="G1348" s="40" t="s">
        <v>4680</v>
      </c>
      <c r="H1348" s="40" t="s">
        <v>6179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6648</v>
      </c>
      <c r="G1349" s="40" t="s">
        <v>4680</v>
      </c>
      <c r="H1349" s="40" t="s">
        <v>4694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6649</v>
      </c>
      <c r="G1350" s="40" t="s">
        <v>4680</v>
      </c>
      <c r="H1350" s="40" t="s">
        <v>4694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6650</v>
      </c>
      <c r="G1351" s="40" t="s">
        <v>4549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6651</v>
      </c>
      <c r="G1352" s="40" t="s">
        <v>4549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6652</v>
      </c>
      <c r="G1353" s="40" t="s">
        <v>4579</v>
      </c>
      <c r="H1353" s="40" t="s">
        <v>5679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6653</v>
      </c>
      <c r="G1354" s="40" t="s">
        <v>4579</v>
      </c>
      <c r="H1354" s="40" t="s">
        <v>5679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6654</v>
      </c>
      <c r="G1355" s="40" t="s">
        <v>4579</v>
      </c>
      <c r="H1355" s="40" t="s">
        <v>5679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6655</v>
      </c>
      <c r="G1356" s="40" t="s">
        <v>4570</v>
      </c>
      <c r="H1356" s="40" t="s">
        <v>4696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6656</v>
      </c>
      <c r="G1357" s="40" t="s">
        <v>4570</v>
      </c>
      <c r="H1357" s="40" t="s">
        <v>5646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6657</v>
      </c>
      <c r="G1358" s="40" t="s">
        <v>4680</v>
      </c>
      <c r="H1358" s="40" t="s">
        <v>4694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6658</v>
      </c>
      <c r="G1359" s="40" t="s">
        <v>4680</v>
      </c>
      <c r="H1359" s="40" t="s">
        <v>4694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6659</v>
      </c>
      <c r="G1360" s="40" t="s">
        <v>4606</v>
      </c>
      <c r="H1360" s="40" t="s">
        <v>5619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6660</v>
      </c>
      <c r="G1361" s="40" t="s">
        <v>4549</v>
      </c>
      <c r="H1361" s="40" t="s">
        <v>5046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6661</v>
      </c>
      <c r="G1362" s="40" t="s">
        <v>4549</v>
      </c>
      <c r="H1362" s="40" t="s">
        <v>4550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6662</v>
      </c>
      <c r="G1363" s="40" t="s">
        <v>4549</v>
      </c>
      <c r="H1363" s="40" t="s">
        <v>4550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6663</v>
      </c>
      <c r="G1364" s="40" t="s">
        <v>3022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6664</v>
      </c>
      <c r="G1365" s="40" t="s">
        <v>3022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6665</v>
      </c>
      <c r="G1366" s="40" t="s">
        <v>4579</v>
      </c>
      <c r="H1366" s="40" t="s">
        <v>5679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6666</v>
      </c>
      <c r="G1367" s="40" t="s">
        <v>4579</v>
      </c>
      <c r="H1367" s="40" t="s">
        <v>5679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6667</v>
      </c>
      <c r="G1368" s="40" t="s">
        <v>4579</v>
      </c>
      <c r="H1368" s="40" t="s">
        <v>5679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5199</v>
      </c>
      <c r="G1369" s="40" t="s">
        <v>4570</v>
      </c>
      <c r="H1369" s="40" t="s">
        <v>4734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6668</v>
      </c>
      <c r="G1370" s="40" t="s">
        <v>4570</v>
      </c>
      <c r="H1370" s="40" t="s">
        <v>4696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6669</v>
      </c>
      <c r="G1371" s="40" t="s">
        <v>4680</v>
      </c>
      <c r="H1371" s="40" t="s">
        <v>4694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6670</v>
      </c>
      <c r="G1372" s="40" t="s">
        <v>4549</v>
      </c>
      <c r="H1372" s="40" t="s">
        <v>5046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2728</v>
      </c>
      <c r="G1373" s="40" t="s">
        <v>3022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2771</v>
      </c>
      <c r="G1374" s="40" t="s">
        <v>3022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897</v>
      </c>
      <c r="G1375" s="40" t="s">
        <v>3022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6671</v>
      </c>
      <c r="G1376" s="40" t="s">
        <v>4579</v>
      </c>
      <c r="H1376" s="40" t="s">
        <v>5679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6672</v>
      </c>
      <c r="G1377" s="40" t="s">
        <v>4579</v>
      </c>
      <c r="H1377" s="40" t="s">
        <v>5679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6673</v>
      </c>
      <c r="G1378" s="40" t="s">
        <v>4579</v>
      </c>
      <c r="H1378" s="40" t="s">
        <v>5679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6674</v>
      </c>
      <c r="G1379" s="40" t="s">
        <v>4570</v>
      </c>
      <c r="H1379" s="40" t="s">
        <v>4696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6675</v>
      </c>
      <c r="G1380" s="40" t="s">
        <v>4570</v>
      </c>
      <c r="H1380" s="40" t="s">
        <v>6676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6677</v>
      </c>
      <c r="G1381" s="40" t="s">
        <v>4606</v>
      </c>
      <c r="H1381" s="40" t="s">
        <v>6204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6678</v>
      </c>
      <c r="G1382" s="40" t="s">
        <v>4606</v>
      </c>
      <c r="H1382" s="40" t="s">
        <v>6204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6679</v>
      </c>
      <c r="G1383" s="40" t="s">
        <v>4606</v>
      </c>
      <c r="H1383" s="40" t="s">
        <v>6680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6681</v>
      </c>
      <c r="G1384" s="40" t="s">
        <v>4549</v>
      </c>
      <c r="H1384" s="40" t="s">
        <v>5046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6682</v>
      </c>
      <c r="G1385" s="40" t="s">
        <v>4549</v>
      </c>
      <c r="H1385" s="40" t="s">
        <v>4562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6683</v>
      </c>
      <c r="G1386" s="40" t="s">
        <v>4549</v>
      </c>
      <c r="H1386" s="40" t="s">
        <v>4562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6684</v>
      </c>
      <c r="G1387" s="40" t="s">
        <v>4579</v>
      </c>
      <c r="H1387" s="40" t="s">
        <v>5679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4638</v>
      </c>
      <c r="G1388" s="40" t="s">
        <v>4579</v>
      </c>
      <c r="H1388" s="40" t="s">
        <v>5679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6685</v>
      </c>
      <c r="G1389" s="40" t="s">
        <v>4570</v>
      </c>
      <c r="H1389" s="40" t="s">
        <v>5077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6686</v>
      </c>
      <c r="G1390" s="40" t="s">
        <v>4606</v>
      </c>
      <c r="H1390" s="40" t="s">
        <v>4682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6687</v>
      </c>
      <c r="G1391" s="40" t="s">
        <v>4606</v>
      </c>
      <c r="H1391" s="40" t="s">
        <v>4682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6688</v>
      </c>
      <c r="G1392" s="40" t="s">
        <v>3022</v>
      </c>
      <c r="H1392" s="40" t="s">
        <v>6246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6689</v>
      </c>
      <c r="G1393" s="40" t="s">
        <v>3022</v>
      </c>
      <c r="H1393" s="40" t="s">
        <v>4740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6690</v>
      </c>
      <c r="G1394" s="40" t="s">
        <v>3022</v>
      </c>
      <c r="H1394" s="40" t="s">
        <v>4740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6691</v>
      </c>
      <c r="G1395" s="40" t="s">
        <v>4549</v>
      </c>
      <c r="H1395" s="40" t="s">
        <v>4562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6692</v>
      </c>
      <c r="G1396" s="40" t="s">
        <v>4549</v>
      </c>
      <c r="H1396" s="40" t="s">
        <v>4562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6693</v>
      </c>
      <c r="G1397" s="40" t="s">
        <v>4588</v>
      </c>
      <c r="H1397" s="40" t="s">
        <v>5459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6694</v>
      </c>
      <c r="G1398" s="40" t="s">
        <v>4588</v>
      </c>
      <c r="H1398" s="40" t="s">
        <v>5459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6695</v>
      </c>
      <c r="G1399" s="40" t="s">
        <v>4588</v>
      </c>
      <c r="H1399" s="40" t="s">
        <v>5459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6696</v>
      </c>
      <c r="G1400" s="40" t="s">
        <v>4664</v>
      </c>
      <c r="H1400" s="40" t="s">
        <v>4657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6697</v>
      </c>
      <c r="G1401" s="40" t="s">
        <v>4664</v>
      </c>
      <c r="H1401" s="40" t="s">
        <v>4657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6698</v>
      </c>
      <c r="G1402" s="40" t="s">
        <v>4640</v>
      </c>
      <c r="H1402" s="40" t="s">
        <v>5251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6699</v>
      </c>
      <c r="G1403" s="40" t="s">
        <v>4640</v>
      </c>
      <c r="H1403" s="40" t="s">
        <v>5251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3382</v>
      </c>
      <c r="G1404" s="40" t="s">
        <v>3022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3424</v>
      </c>
      <c r="G1405" s="40" t="s">
        <v>3022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6700</v>
      </c>
      <c r="G1406" s="40" t="s">
        <v>4549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6701</v>
      </c>
      <c r="G1407" s="40" t="s">
        <v>4549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4567</v>
      </c>
      <c r="G1408" s="40" t="s">
        <v>4579</v>
      </c>
      <c r="H1408" s="40" t="s">
        <v>5670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6702</v>
      </c>
      <c r="G1409" s="40" t="s">
        <v>4579</v>
      </c>
      <c r="H1409" s="40" t="s">
        <v>5670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6703</v>
      </c>
      <c r="G1410" s="40" t="s">
        <v>4664</v>
      </c>
      <c r="H1410" s="40" t="s">
        <v>6445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6704</v>
      </c>
      <c r="G1411" s="40" t="s">
        <v>4664</v>
      </c>
      <c r="H1411" s="40" t="s">
        <v>6445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6705</v>
      </c>
      <c r="G1412" s="40" t="s">
        <v>4640</v>
      </c>
      <c r="H1412" s="40" t="s">
        <v>5882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6706</v>
      </c>
      <c r="G1413" s="40" t="s">
        <v>4630</v>
      </c>
      <c r="H1413" s="40" t="s">
        <v>6707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6708</v>
      </c>
      <c r="G1414" s="40" t="s">
        <v>4549</v>
      </c>
      <c r="H1414" s="40" t="s">
        <v>4633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6709</v>
      </c>
      <c r="G1415" s="40" t="s">
        <v>4596</v>
      </c>
      <c r="H1415" s="40" t="s">
        <v>5642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6710</v>
      </c>
      <c r="G1416" s="40" t="s">
        <v>4596</v>
      </c>
      <c r="H1416" s="40" t="s">
        <v>5642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6711</v>
      </c>
      <c r="G1417" s="40" t="s">
        <v>4596</v>
      </c>
      <c r="H1417" s="40" t="s">
        <v>5642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6712</v>
      </c>
      <c r="G1418" s="40" t="s">
        <v>4664</v>
      </c>
      <c r="H1418" s="40" t="s">
        <v>4657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6713</v>
      </c>
      <c r="G1419" s="40" t="s">
        <v>4606</v>
      </c>
      <c r="H1419" s="40" t="s">
        <v>4607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6714</v>
      </c>
      <c r="G1420" s="40" t="s">
        <v>4604</v>
      </c>
      <c r="H1420" s="40" t="s">
        <v>6374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6715</v>
      </c>
      <c r="G1421" s="40" t="s">
        <v>4549</v>
      </c>
      <c r="H1421" s="40" t="s">
        <v>4624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4373</v>
      </c>
      <c r="G1422" s="40" t="s">
        <v>3022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6716</v>
      </c>
      <c r="G1423" s="40" t="s">
        <v>4552</v>
      </c>
      <c r="H1423" s="40" t="s">
        <v>6717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6718</v>
      </c>
      <c r="G1424" s="40" t="s">
        <v>4579</v>
      </c>
      <c r="H1424" s="40" t="s">
        <v>4649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4577</v>
      </c>
      <c r="G1425" s="40" t="s">
        <v>4579</v>
      </c>
      <c r="H1425" s="40" t="s">
        <v>4649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6719</v>
      </c>
      <c r="G1426" s="40" t="s">
        <v>4579</v>
      </c>
      <c r="H1426" s="40" t="s">
        <v>4649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6720</v>
      </c>
      <c r="G1427" s="40" t="s">
        <v>4680</v>
      </c>
      <c r="H1427" s="40" t="s">
        <v>6327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5295</v>
      </c>
      <c r="G1428" s="40" t="s">
        <v>4640</v>
      </c>
      <c r="H1428" s="40" t="s">
        <v>6721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6722</v>
      </c>
      <c r="G1429" s="40" t="s">
        <v>4552</v>
      </c>
      <c r="H1429" s="40" t="s">
        <v>6223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6723</v>
      </c>
      <c r="G1430" s="40" t="s">
        <v>4552</v>
      </c>
      <c r="H1430" s="40" t="s">
        <v>6223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6724</v>
      </c>
      <c r="G1431" s="40" t="s">
        <v>4549</v>
      </c>
      <c r="H1431" s="40" t="s">
        <v>4633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6725</v>
      </c>
      <c r="G1432" s="40" t="s">
        <v>4579</v>
      </c>
      <c r="H1432" s="40" t="s">
        <v>5339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6726</v>
      </c>
      <c r="G1433" s="40" t="s">
        <v>4579</v>
      </c>
      <c r="H1433" s="40" t="s">
        <v>5339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6727</v>
      </c>
      <c r="G1434" s="40" t="s">
        <v>4579</v>
      </c>
      <c r="H1434" s="40" t="s">
        <v>5339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6728</v>
      </c>
      <c r="G1435" s="40" t="s">
        <v>4680</v>
      </c>
      <c r="H1435" s="40" t="s">
        <v>6327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6729</v>
      </c>
      <c r="G1436" s="40" t="s">
        <v>4606</v>
      </c>
      <c r="H1436" s="40" t="s">
        <v>4607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6730</v>
      </c>
      <c r="G1437" s="40" t="s">
        <v>4606</v>
      </c>
      <c r="H1437" s="40" t="s">
        <v>4607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6731</v>
      </c>
      <c r="G1438" s="40" t="s">
        <v>4570</v>
      </c>
      <c r="H1438" s="40" t="s">
        <v>4571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6732</v>
      </c>
      <c r="G1439" s="40" t="s">
        <v>4570</v>
      </c>
      <c r="H1439" s="40" t="s">
        <v>4571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6733</v>
      </c>
      <c r="G1440" s="40" t="s">
        <v>4606</v>
      </c>
      <c r="H1440" s="40" t="s">
        <v>5857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6734</v>
      </c>
      <c r="G1441" s="40" t="s">
        <v>4606</v>
      </c>
      <c r="H1441" s="40" t="s">
        <v>5619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4999</v>
      </c>
      <c r="G1442" s="40" t="s">
        <v>4579</v>
      </c>
      <c r="H1442" s="40" t="s">
        <v>5670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6735</v>
      </c>
      <c r="G1443" s="40" t="s">
        <v>4622</v>
      </c>
      <c r="H1443" s="40" t="s">
        <v>6176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6736</v>
      </c>
      <c r="G1444" s="40" t="s">
        <v>4552</v>
      </c>
      <c r="H1444" s="40" t="s">
        <v>6256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6737</v>
      </c>
      <c r="G1445" s="40" t="s">
        <v>4552</v>
      </c>
      <c r="H1445" s="40" t="s">
        <v>6256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6738</v>
      </c>
      <c r="G1446" s="40" t="s">
        <v>4579</v>
      </c>
      <c r="H1446" s="40" t="s">
        <v>4651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2844</v>
      </c>
      <c r="G1447" s="40" t="s">
        <v>4579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6739</v>
      </c>
      <c r="G1448" s="40" t="s">
        <v>4552</v>
      </c>
      <c r="H1448" s="40" t="s">
        <v>6192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6740</v>
      </c>
      <c r="G1449" s="40" t="s">
        <v>4552</v>
      </c>
      <c r="H1449" s="40" t="s">
        <v>6194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6741</v>
      </c>
      <c r="G1450" s="40" t="s">
        <v>4579</v>
      </c>
      <c r="H1450" s="40" t="s">
        <v>5669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4594</v>
      </c>
      <c r="G1451" s="40" t="s">
        <v>4579</v>
      </c>
      <c r="H1451" s="40" t="s">
        <v>5669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6742</v>
      </c>
      <c r="G1452" s="40" t="s">
        <v>4606</v>
      </c>
      <c r="H1452" s="40" t="s">
        <v>6743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6744</v>
      </c>
      <c r="G1453" s="40" t="s">
        <v>4606</v>
      </c>
      <c r="H1453" s="40" t="s">
        <v>4781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5195</v>
      </c>
      <c r="G1454" s="40" t="s">
        <v>4622</v>
      </c>
      <c r="H1454" s="40" t="s">
        <v>4713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6745</v>
      </c>
      <c r="G1455" s="40" t="s">
        <v>4552</v>
      </c>
      <c r="H1455" s="40" t="s">
        <v>4553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6746</v>
      </c>
      <c r="G1456" s="40" t="s">
        <v>4588</v>
      </c>
      <c r="H1456" s="40" t="s">
        <v>4657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6747</v>
      </c>
      <c r="G1457" s="40" t="s">
        <v>4588</v>
      </c>
      <c r="H1457" s="40" t="s">
        <v>4657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6748</v>
      </c>
      <c r="G1458" s="40" t="s">
        <v>4588</v>
      </c>
      <c r="H1458" s="40" t="s">
        <v>4657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6749</v>
      </c>
      <c r="G1459" s="40" t="s">
        <v>4606</v>
      </c>
      <c r="H1459" s="40" t="s">
        <v>4781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6750</v>
      </c>
      <c r="G1460" s="40" t="s">
        <v>4606</v>
      </c>
      <c r="H1460" s="40" t="s">
        <v>4781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6751</v>
      </c>
      <c r="G1461" s="40" t="s">
        <v>4622</v>
      </c>
      <c r="H1461" s="40" t="s">
        <v>4839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6752</v>
      </c>
      <c r="G1462" s="40" t="s">
        <v>4579</v>
      </c>
      <c r="H1462" s="40" t="s">
        <v>6753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2885</v>
      </c>
      <c r="G1463" s="40" t="s">
        <v>4579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6754</v>
      </c>
      <c r="G1464" s="40" t="s">
        <v>4579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6755</v>
      </c>
      <c r="G1465" s="40" t="s">
        <v>4606</v>
      </c>
      <c r="H1465" s="40" t="s">
        <v>4781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6756</v>
      </c>
      <c r="G1466" s="40" t="s">
        <v>4606</v>
      </c>
      <c r="H1466" s="40" t="s">
        <v>5838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6757</v>
      </c>
      <c r="G1467" s="40" t="s">
        <v>4596</v>
      </c>
      <c r="H1467" s="40" t="s">
        <v>4598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6758</v>
      </c>
      <c r="G1468" s="40" t="s">
        <v>4596</v>
      </c>
      <c r="H1468" s="40" t="s">
        <v>5216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6759</v>
      </c>
      <c r="G1469" s="40" t="s">
        <v>4622</v>
      </c>
      <c r="H1469" s="40" t="s">
        <v>4713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6760</v>
      </c>
      <c r="G1470" s="40" t="s">
        <v>4622</v>
      </c>
      <c r="H1470" s="40" t="s">
        <v>4713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5172</v>
      </c>
      <c r="G1471" s="40" t="s">
        <v>3022</v>
      </c>
      <c r="H1471" s="40" t="s">
        <v>5622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6761</v>
      </c>
      <c r="G1472" s="40" t="s">
        <v>4622</v>
      </c>
      <c r="H1472" s="40" t="s">
        <v>4713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6762</v>
      </c>
      <c r="G1473" s="40" t="s">
        <v>4622</v>
      </c>
      <c r="H1473" s="40" t="s">
        <v>4839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6763</v>
      </c>
      <c r="G1474" s="40" t="s">
        <v>4606</v>
      </c>
      <c r="H1474" s="40" t="s">
        <v>5619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5162</v>
      </c>
      <c r="G1475" s="40" t="s">
        <v>4701</v>
      </c>
      <c r="H1475" s="40" t="s">
        <v>6764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6765</v>
      </c>
      <c r="G1476" s="40" t="s">
        <v>4549</v>
      </c>
      <c r="H1476" s="40" t="s">
        <v>4732</v>
      </c>
      <c r="I1476" s="39">
        <v>2</v>
      </c>
      <c r="J1476" s="68">
        <v>44888</v>
      </c>
    </row>
  </sheetData>
  <mergeCells count="8">
    <mergeCell ref="M35:S35"/>
    <mergeCell ref="M51:S51"/>
    <mergeCell ref="A1:B1"/>
    <mergeCell ref="AF1:AN1"/>
    <mergeCell ref="V1:AD1"/>
    <mergeCell ref="M1:S1"/>
    <mergeCell ref="D1:K1"/>
    <mergeCell ref="AP1:AX1"/>
  </mergeCells>
  <phoneticPr fontId="43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2025-12-31T05:43:25Z</dcterms:modified>
</cp:coreProperties>
</file>